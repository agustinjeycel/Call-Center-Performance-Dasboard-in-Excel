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5b51b36e4dcdd/Documents/EXCEL PROJECTS/Call Center Data Performance in Excel/"/>
    </mc:Choice>
  </mc:AlternateContent>
  <xr:revisionPtr revIDLastSave="757" documentId="8_{5D4B5538-69B9-4C8F-BB9D-08339AC3347B}" xr6:coauthVersionLast="47" xr6:coauthVersionMax="47" xr10:uidLastSave="{FA567D87-BF99-455C-BAD2-1AF633632C25}"/>
  <bookViews>
    <workbookView xWindow="0" yWindow="132" windowWidth="23040" windowHeight="11832" activeTab="4" xr2:uid="{6CB1CC7B-6B7F-4DDE-BF3C-9D219768AC21}"/>
  </bookViews>
  <sheets>
    <sheet name="README" sheetId="5" r:id="rId1"/>
    <sheet name="Call Center Data" sheetId="1" r:id="rId2"/>
    <sheet name="Worksheet" sheetId="2" r:id="rId3"/>
    <sheet name="Summary" sheetId="3" r:id="rId4"/>
    <sheet name="Dashboard" sheetId="6" r:id="rId5"/>
  </sheets>
  <externalReferences>
    <externalReference r:id="rId6"/>
  </externalReferences>
  <definedNames>
    <definedName name="_xlnm._FilterDatabase" localSheetId="2" hidden="1">Worksheet!$A$1:$P$1252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2" l="1"/>
  <c r="P18" i="2"/>
  <c r="P17" i="2"/>
  <c r="P14" i="2"/>
  <c r="P13" i="2"/>
  <c r="P12" i="2"/>
  <c r="P11" i="2"/>
  <c r="P10" i="2"/>
  <c r="H8" i="3"/>
  <c r="P7" i="2"/>
  <c r="P6" i="2"/>
  <c r="P5" i="2"/>
  <c r="H9" i="3"/>
  <c r="H7" i="3"/>
  <c r="H6" i="3"/>
  <c r="H5" i="3"/>
  <c r="H4" i="3"/>
  <c r="P2" i="2"/>
  <c r="K6" i="6"/>
  <c r="I6" i="6"/>
  <c r="G6" i="6"/>
  <c r="E6" i="6"/>
  <c r="C6" i="6"/>
  <c r="A6" i="6"/>
  <c r="P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5" i="2"/>
  <c r="J3" i="2"/>
  <c r="J4" i="2"/>
  <c r="P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2" i="2"/>
</calcChain>
</file>

<file path=xl/sharedStrings.xml><?xml version="1.0" encoding="utf-8"?>
<sst xmlns="http://schemas.openxmlformats.org/spreadsheetml/2006/main" count="185" uniqueCount="127">
  <si>
    <t>Index</t>
  </si>
  <si>
    <t>Incoming Calls</t>
  </si>
  <si>
    <t>Answered Calls</t>
  </si>
  <si>
    <t>Answer Rate</t>
  </si>
  <si>
    <t>Abandoned Calls</t>
  </si>
  <si>
    <t>Answer Speed (AVG)</t>
  </si>
  <si>
    <t>Talk Duration (AVG)</t>
  </si>
  <si>
    <t>Waiting Time (AVG)</t>
  </si>
  <si>
    <t>Service Level (20 Seconds)</t>
  </si>
  <si>
    <t>Project Overview</t>
  </si>
  <si>
    <t>Dataset Information</t>
  </si>
  <si>
    <t>Description</t>
  </si>
  <si>
    <t>Data Preparation</t>
  </si>
  <si>
    <t>Data Cleaning</t>
  </si>
  <si>
    <t>Checked for missing values</t>
  </si>
  <si>
    <t>Key Performance Indicators (KPIs)</t>
  </si>
  <si>
    <t>Slicers</t>
  </si>
  <si>
    <t>Pivot Tables</t>
  </si>
  <si>
    <t>Pivot Charts</t>
  </si>
  <si>
    <t>Workbook Structure</t>
  </si>
  <si>
    <t>Worksheet</t>
  </si>
  <si>
    <t>Purpose</t>
  </si>
  <si>
    <t>README</t>
  </si>
  <si>
    <t>Project documentation</t>
  </si>
  <si>
    <t>Raw_Data</t>
  </si>
  <si>
    <t>Original dataset</t>
  </si>
  <si>
    <t>Pivot_Tables</t>
  </si>
  <si>
    <t>Dashboard</t>
  </si>
  <si>
    <t>Conclusion</t>
  </si>
  <si>
    <t>This Excel dashboard analyzes call center performance using key operational metrics such as incoming calls, answered calls, answer rate, abandoned calls, waiting time, and service level.</t>
  </si>
  <si>
    <t>The dashboard helps monitor customer service performance and identify trends that may impact customer experience.</t>
  </si>
  <si>
    <t>Objective</t>
  </si>
  <si>
    <t>The purpose of this project is to:</t>
  </si>
  <si>
    <t>Monitor call center activity</t>
  </si>
  <si>
    <t>Track answering performance</t>
  </si>
  <si>
    <t>Measure service efficiency</t>
  </si>
  <si>
    <t>Analyze customer waiting times</t>
  </si>
  <si>
    <t>Provide insights through an interactive Excel dashboard</t>
  </si>
  <si>
    <t>The dataset contains call center performance records with the following fields:</t>
  </si>
  <si>
    <t>Column</t>
  </si>
  <si>
    <t>Total calls received</t>
  </si>
  <si>
    <t>Total calls answered</t>
  </si>
  <si>
    <t>Percentage of calls answered</t>
  </si>
  <si>
    <t>Calls abandoned before being answered</t>
  </si>
  <si>
    <t>Average time to answer a call</t>
  </si>
  <si>
    <t>Average call duration</t>
  </si>
  <si>
    <t>Average customer waiting time</t>
  </si>
  <si>
    <t>Percentage of calls answered within 20 seconds</t>
  </si>
  <si>
    <t>The following steps were performed before creating the dashboard:</t>
  </si>
  <si>
    <t>Verified data types</t>
  </si>
  <si>
    <t>Formatted percentage fields</t>
  </si>
  <si>
    <t>Formatted time-related columns</t>
  </si>
  <si>
    <t>Converted the dataset into an Excel Table</t>
  </si>
  <si>
    <t>Total Incoming Calls</t>
  </si>
  <si>
    <t>Total number of calls received.</t>
  </si>
  <si>
    <t>Total Answered Calls</t>
  </si>
  <si>
    <t>Total number of calls successfully answered.</t>
  </si>
  <si>
    <t>Average Answer Rate</t>
  </si>
  <si>
    <t>Percentage of incoming calls answered.</t>
  </si>
  <si>
    <t>Total Abandoned Calls</t>
  </si>
  <si>
    <t>Number of calls abandoned before being answered.</t>
  </si>
  <si>
    <t>Average Waiting Time</t>
  </si>
  <si>
    <t>Average time customers waited before connecting to an agent.</t>
  </si>
  <si>
    <t>Average Service Level</t>
  </si>
  <si>
    <t>Percentage of calls answered within 20 seconds.</t>
  </si>
  <si>
    <t>Dashboard Components</t>
  </si>
  <si>
    <t>KPI Cards</t>
  </si>
  <si>
    <t>Displays:</t>
  </si>
  <si>
    <t>Call Volume Trend</t>
  </si>
  <si>
    <t>Shows incoming and answered calls over time.</t>
  </si>
  <si>
    <t>Purpose:</t>
  </si>
  <si>
    <t>Identify busy periods</t>
  </si>
  <si>
    <t>Compare received versus answered calls</t>
  </si>
  <si>
    <t>Answer Rate Analysis</t>
  </si>
  <si>
    <t>Shows answer rate performance across records.</t>
  </si>
  <si>
    <t>Monitor answering efficiency</t>
  </si>
  <si>
    <t>Abandoned Calls Analysis</t>
  </si>
  <si>
    <t>Displays abandoned calls.</t>
  </si>
  <si>
    <t>Identify periods with poor service performance</t>
  </si>
  <si>
    <t>Waiting Time Analysis</t>
  </si>
  <si>
    <t>Shows average customer waiting times.</t>
  </si>
  <si>
    <t>Monitor customer experience</t>
  </si>
  <si>
    <t>Service Level Analysis</t>
  </si>
  <si>
    <t>Displays percentage of calls answered within 20 seconds.</t>
  </si>
  <si>
    <t>Evaluate service quality</t>
  </si>
  <si>
    <t>Excel Skills Demonstrated</t>
  </si>
  <si>
    <t>Excel Tables</t>
  </si>
  <si>
    <t>KPI Reporting</t>
  </si>
  <si>
    <t>Dashboard Design</t>
  </si>
  <si>
    <t>Data Visualization</t>
  </si>
  <si>
    <t>Working_Sheet</t>
  </si>
  <si>
    <t>Data preparation and calculations</t>
  </si>
  <si>
    <t>Pivot tables used for charts</t>
  </si>
  <si>
    <t>Interactive dashboard</t>
  </si>
  <si>
    <t>This project demonstrates the use of Microsoft Excel to transform raw call center data into an interactive dashboard. The dashboard provides a clear overview of operational performance and supports data-driven decision-making through KPI tracking and visual analysis.</t>
  </si>
  <si>
    <t>Calls Not Answered</t>
  </si>
  <si>
    <t>Abandonment Rate</t>
  </si>
  <si>
    <t>Answer Efficiency</t>
  </si>
  <si>
    <t>Answer Rate Numeric</t>
  </si>
  <si>
    <t>Service Level Numeric</t>
  </si>
  <si>
    <t>Avg Answer Rate</t>
  </si>
  <si>
    <t>Avg Waiting Time</t>
  </si>
  <si>
    <t>Avg Service Level</t>
  </si>
  <si>
    <t>Sum of Incoming Calls</t>
  </si>
  <si>
    <t>Sum of Answered Calls</t>
  </si>
  <si>
    <t>Sum of Abandoned Calls</t>
  </si>
  <si>
    <t>Average of Answer Rate</t>
  </si>
  <si>
    <t>CALL CENTER PERFORMANCE DASHBOARD</t>
  </si>
  <si>
    <r>
      <t>Project Name:</t>
    </r>
    <r>
      <rPr>
        <sz val="11"/>
        <color theme="1"/>
        <rFont val="Aptos Narrow"/>
        <family val="2"/>
        <scheme val="minor"/>
      </rPr>
      <t xml:space="preserve"> Call Center Performance Dashboard</t>
    </r>
  </si>
  <si>
    <r>
      <t>Tool Used:</t>
    </r>
    <r>
      <rPr>
        <sz val="11"/>
        <color theme="1"/>
        <rFont val="Aptos Narrow"/>
        <family val="2"/>
        <scheme val="minor"/>
      </rPr>
      <t xml:space="preserve"> Microsoft Excel</t>
    </r>
  </si>
  <si>
    <r>
      <t>Skills:</t>
    </r>
    <r>
      <rPr>
        <sz val="11"/>
        <color theme="1"/>
        <rFont val="Aptos Narrow"/>
        <family val="2"/>
        <scheme val="minor"/>
      </rPr>
      <t xml:space="preserve"> Pivot Tables, Pivot Charts, Slicers, KPI Analysis, Dashboard Design, Data Visualization</t>
    </r>
  </si>
  <si>
    <t>KPI SUMMARY</t>
  </si>
  <si>
    <t>Average of Waiting Time</t>
  </si>
  <si>
    <t>Average of Service Level</t>
  </si>
  <si>
    <t>Pivot Table 2: Average of Answer Rate, Service Level &amp; Waiting Time</t>
  </si>
  <si>
    <t>Pivot Table 1: Sum of Calls</t>
  </si>
  <si>
    <t>Waiting Time</t>
  </si>
  <si>
    <t>Service Level</t>
  </si>
  <si>
    <t>Answered vs Abandoned</t>
  </si>
  <si>
    <t>Performance Metrics</t>
  </si>
  <si>
    <t>Average Time Metrics</t>
  </si>
  <si>
    <t>Key Insights</t>
  </si>
  <si>
    <t>Answer  Efficiency</t>
  </si>
  <si>
    <t xml:space="preserve"> </t>
  </si>
  <si>
    <t>Answer Speed</t>
  </si>
  <si>
    <t>Talk Duration</t>
  </si>
  <si>
    <t>KEY INSIGHTS                                                                                                                                                                                                                                                                                                                                                             • Most incoming calls were successfully answered.
• Service level remained strong.
• Waiting times were manageable.
• Abandoned calls represented a small percentage of total calls.
• Overall call center performance was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</si>
</sst>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3"/>
      <name val="Calibri"/>
      <family val="2"/>
    </font>
    <font>
      <b/>
      <sz val="20"/>
      <color theme="1"/>
      <name val="Calibri"/>
      <family val="2"/>
    </font>
    <font>
      <sz val="11"/>
      <color theme="1"/>
      <name val="Aptos Display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0" fontId="0" fillId="0" borderId="0" xfId="0" applyNumberFormat="1"/>
    <xf numFmtId="21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6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17" fillId="9" borderId="0" xfId="18"/>
    <xf numFmtId="0" fontId="9" fillId="5" borderId="4" xfId="9"/>
    <xf numFmtId="0" fontId="10" fillId="6" borderId="5" xfId="10"/>
    <xf numFmtId="1" fontId="17" fillId="9" borderId="0" xfId="18" applyNumberFormat="1"/>
    <xf numFmtId="10" fontId="17" fillId="9" borderId="0" xfId="18" applyNumberFormat="1"/>
    <xf numFmtId="164" fontId="17" fillId="9" borderId="0" xfId="18" applyNumberFormat="1"/>
    <xf numFmtId="10" fontId="10" fillId="6" borderId="5" xfId="10" applyNumberFormat="1"/>
    <xf numFmtId="1" fontId="10" fillId="6" borderId="5" xfId="10" applyNumberFormat="1"/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1" fontId="9" fillId="5" borderId="4" xfId="9" applyNumberFormat="1"/>
    <xf numFmtId="10" fontId="9" fillId="5" borderId="4" xfId="9" applyNumberFormat="1"/>
    <xf numFmtId="164" fontId="9" fillId="5" borderId="4" xfId="9" applyNumberFormat="1"/>
    <xf numFmtId="164" fontId="10" fillId="6" borderId="5" xfId="10" applyNumberFormat="1"/>
    <xf numFmtId="0" fontId="16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17" fillId="35" borderId="0" xfId="9" applyFont="1" applyFill="1" applyBorder="1"/>
    <xf numFmtId="0" fontId="0" fillId="35" borderId="0" xfId="0" applyFill="1"/>
    <xf numFmtId="0" fontId="0" fillId="0" borderId="11" xfId="0" applyBorder="1"/>
    <xf numFmtId="0" fontId="9" fillId="5" borderId="11" xfId="9" applyBorder="1"/>
    <xf numFmtId="10" fontId="10" fillId="6" borderId="11" xfId="10" applyNumberFormat="1" applyBorder="1"/>
    <xf numFmtId="1" fontId="10" fillId="6" borderId="11" xfId="10" applyNumberFormat="1" applyBorder="1"/>
    <xf numFmtId="0" fontId="17" fillId="35" borderId="11" xfId="9" applyFont="1" applyFill="1" applyBorder="1"/>
    <xf numFmtId="0" fontId="0" fillId="35" borderId="11" xfId="0" applyFill="1" applyBorder="1"/>
    <xf numFmtId="0" fontId="17" fillId="35" borderId="11" xfId="0" applyFont="1" applyFill="1" applyBorder="1"/>
    <xf numFmtId="0" fontId="9" fillId="5" borderId="12" xfId="9" applyBorder="1"/>
    <xf numFmtId="164" fontId="10" fillId="6" borderId="13" xfId="10" applyNumberFormat="1" applyBorder="1"/>
    <xf numFmtId="0" fontId="0" fillId="0" borderId="0" xfId="0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[call_center_data_performance_in_excel.xlsx]Summary!PivotTable3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Sum of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Sum of Incoming Calls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Summary!$B$4</c:f>
              <c:numCache>
                <c:formatCode>0</c:formatCode>
                <c:ptCount val="1"/>
                <c:pt idx="0">
                  <c:v>248373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9-45FD-81E3-162CD036B4BA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Sum of Answered Calls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Summary!$C$4</c:f>
              <c:numCache>
                <c:formatCode>0</c:formatCode>
                <c:ptCount val="1"/>
                <c:pt idx="0">
                  <c:v>221234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9-45FD-81E3-162CD036B4BA}"/>
            </c:ext>
          </c:extLst>
        </c:ser>
        <c:ser>
          <c:idx val="2"/>
          <c:order val="2"/>
          <c:tx>
            <c:strRef>
              <c:f>Summary!$D$3</c:f>
              <c:strCache>
                <c:ptCount val="1"/>
                <c:pt idx="0">
                  <c:v>Sum of Abandoned Calls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Summary!$D$4</c:f>
              <c:numCache>
                <c:formatCode>0</c:formatCode>
                <c:ptCount val="1"/>
                <c:pt idx="0">
                  <c:v>27139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9-45FD-81E3-162CD036B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450831"/>
        <c:axId val="1676449871"/>
      </c:barChart>
      <c:catAx>
        <c:axId val="167645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49871"/>
        <c:crosses val="autoZero"/>
        <c:auto val="1"/>
        <c:lblAlgn val="ctr"/>
        <c:lblOffset val="100"/>
        <c:noMultiLvlLbl val="0"/>
      </c:catAx>
      <c:valAx>
        <c:axId val="16764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5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[call_center_data_performance_in_excel.xlsx]Summary!PivotTable4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Average of Answer Rate, Service Level &amp; Waiting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Average of Answer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Summary!$B$8</c:f>
              <c:numCache>
                <c:formatCode>0.00%</c:formatCode>
                <c:ptCount val="1"/>
                <c:pt idx="0">
                  <c:v>0.92692517985611511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4-4920-AEA0-B20F41363EC1}"/>
            </c:ext>
          </c:extLst>
        </c:ser>
        <c:ser>
          <c:idx val="1"/>
          <c:order val="1"/>
          <c:tx>
            <c:strRef>
              <c:f>Summary!$C$7</c:f>
              <c:strCache>
                <c:ptCount val="1"/>
                <c:pt idx="0">
                  <c:v>Average of Service 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Summary!$C$8</c:f>
              <c:numCache>
                <c:formatCode>0.00%</c:formatCode>
                <c:ptCount val="1"/>
                <c:pt idx="0">
                  <c:v>0.70872909672262152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4-4920-AEA0-B20F41363EC1}"/>
            </c:ext>
          </c:extLst>
        </c:ser>
        <c:ser>
          <c:idx val="2"/>
          <c:order val="2"/>
          <c:tx>
            <c:strRef>
              <c:f>Summary!$D$7</c:f>
              <c:strCache>
                <c:ptCount val="1"/>
                <c:pt idx="0">
                  <c:v>Average of Waiting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Summary!$D$8</c:f>
              <c:numCache>
                <c:formatCode>hh:mm:ss;@</c:formatCode>
                <c:ptCount val="1"/>
                <c:pt idx="0">
                  <c:v>2.6888304171477657E-3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4-4920-AEA0-B20F41363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472927"/>
        <c:axId val="1610061759"/>
      </c:barChart>
      <c:catAx>
        <c:axId val="160147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061759"/>
        <c:crosses val="autoZero"/>
        <c:auto val="1"/>
        <c:lblAlgn val="ctr"/>
        <c:lblOffset val="100"/>
        <c:noMultiLvlLbl val="0"/>
      </c:catAx>
      <c:valAx>
        <c:axId val="16100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7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Answered vs Abandoned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Summary!$H$3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D5-483B-B572-A9C83935C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D5-483B-B572-A9C83935CC9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Summary!$G$4:$G$9</c15:sqref>
                  </c15:fullRef>
                </c:ext>
              </c:extLst>
              <c:f>Summary!$G$5:$G$6</c:f>
              <c:strCache>
                <c:ptCount val="2"/>
                <c:pt idx="0">
                  <c:v>Total Answered Calls</c:v>
                </c:pt>
                <c:pt idx="1">
                  <c:v>Total Abandoned Calls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Summary!$H$4:$H$9</c15:sqref>
                  </c15:fullRef>
                </c:ext>
              </c:extLst>
              <c:f>Summary!$H$5:$H$6</c:f>
              <c:numCache>
                <c:formatCode>0</c:formatCode>
                <c:ptCount val="2"/>
                <c:pt idx="0">
                  <c:v>221234</c:v>
                </c:pt>
                <c:pt idx="1">
                  <c:v>27139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4ED9-4EA4-B88B-E522708E76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Summary!$G$27:$G$31</c15:sqref>
                  </c15:fullRef>
                </c:ext>
              </c:extLst>
              <c:f>(Summary!$G$27:$G$28,Summary!$G$30)</c:f>
              <c:strCache>
                <c:ptCount val="3"/>
                <c:pt idx="0">
                  <c:v>Answer Rate Numeric</c:v>
                </c:pt>
                <c:pt idx="1">
                  <c:v>Service Level Numeric</c:v>
                </c:pt>
                <c:pt idx="2">
                  <c:v>Abandonment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Summary!$H$27:$H$31</c15:sqref>
                  </c15:fullRef>
                </c:ext>
              </c:extLst>
              <c:f>(Summary!$H$27:$H$28,Summary!$H$30)</c:f>
              <c:numCache>
                <c:formatCode>0.00%</c:formatCode>
                <c:ptCount val="3"/>
                <c:pt idx="0">
                  <c:v>9.2692517985611556E-3</c:v>
                </c:pt>
                <c:pt idx="1">
                  <c:v>7.0872909746276932E-3</c:v>
                </c:pt>
                <c:pt idx="2">
                  <c:v>7.307656871228109E-2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B-41EF-BF6E-AB43A7A8D0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8611968"/>
        <c:axId val="1128614368"/>
      </c:barChart>
      <c:catAx>
        <c:axId val="112861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614368"/>
        <c:crosses val="autoZero"/>
        <c:auto val="1"/>
        <c:lblAlgn val="ctr"/>
        <c:lblOffset val="100"/>
        <c:noMultiLvlLbl val="0"/>
      </c:catAx>
      <c:valAx>
        <c:axId val="11286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61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Average</a:t>
            </a:r>
            <a:r>
              <a:rPr lang="en-PH" b="1" baseline="0"/>
              <a:t> Time Metrics</a:t>
            </a:r>
            <a:endParaRPr lang="en-P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Summary!$G$48:$G$51</c:f>
              <c:strCache>
                <c:ptCount val="4"/>
                <c:pt idx="0">
                  <c:v>KPI SUMMARY</c:v>
                </c:pt>
                <c:pt idx="1">
                  <c:v>Answer Speed</c:v>
                </c:pt>
                <c:pt idx="2">
                  <c:v>Talk Duration</c:v>
                </c:pt>
                <c:pt idx="3">
                  <c:v>Waiting Time</c:v>
                </c:pt>
              </c:strCache>
            </c:strRef>
          </c:cat>
          <c:val>
            <c:numRef>
              <c:f>Summary!$H$48:$H$51</c:f>
              <c:numCache>
                <c:formatCode>hh:mm:ss;@</c:formatCode>
                <c:ptCount val="4"/>
                <c:pt idx="1">
                  <c:v>2.8816761405690258E-4</c:v>
                </c:pt>
                <c:pt idx="2">
                  <c:v>1.8235134114930262E-3</c:v>
                </c:pt>
                <c:pt idx="3">
                  <c:v>2.6888304171477657E-3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F-437B-8A01-458C275C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9328"/>
        <c:axId val="1125216448"/>
      </c:barChart>
      <c:catAx>
        <c:axId val="112521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16448"/>
        <c:crosses val="autoZero"/>
        <c:auto val="1"/>
        <c:lblAlgn val="ctr"/>
        <c:lblOffset val="100"/>
        <c:noMultiLvlLbl val="0"/>
      </c:catAx>
      <c:valAx>
        <c:axId val="11252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1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Answered vs Abandoned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Summary!$H$3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7E-498B-A81C-04DC7389E1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7E-498B-A81C-04DC7389E1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Summary!$G$4:$G$9</c15:sqref>
                  </c15:fullRef>
                </c:ext>
              </c:extLst>
              <c:f>Summary!$G$5:$G$6</c:f>
              <c:strCache>
                <c:ptCount val="2"/>
                <c:pt idx="0">
                  <c:v>Total Answered Calls</c:v>
                </c:pt>
                <c:pt idx="1">
                  <c:v>Total Abandoned Calls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Summary!$H$4:$H$9</c15:sqref>
                  </c15:fullRef>
                </c:ext>
              </c:extLst>
              <c:f>Summary!$H$5:$H$6</c:f>
              <c:numCache>
                <c:formatCode>0</c:formatCode>
                <c:ptCount val="2"/>
                <c:pt idx="0">
                  <c:v>221234</c:v>
                </c:pt>
                <c:pt idx="1">
                  <c:v>27139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E47E-498B-A81C-04DC7389E1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Summary!$G$27:$G$31</c15:sqref>
                  </c15:fullRef>
                </c:ext>
              </c:extLst>
              <c:f>(Summary!$G$27:$G$28,Summary!$G$30)</c:f>
              <c:strCache>
                <c:ptCount val="3"/>
                <c:pt idx="0">
                  <c:v>Answer Rate Numeric</c:v>
                </c:pt>
                <c:pt idx="1">
                  <c:v>Service Level Numeric</c:v>
                </c:pt>
                <c:pt idx="2">
                  <c:v>Abandonment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Summary!$H$27:$H$31</c15:sqref>
                  </c15:fullRef>
                </c:ext>
              </c:extLst>
              <c:f>(Summary!$H$27:$H$28,Summary!$H$30)</c:f>
              <c:numCache>
                <c:formatCode>0.00%</c:formatCode>
                <c:ptCount val="3"/>
                <c:pt idx="0">
                  <c:v>9.2692517985611556E-3</c:v>
                </c:pt>
                <c:pt idx="1">
                  <c:v>7.0872909746276932E-3</c:v>
                </c:pt>
                <c:pt idx="2">
                  <c:v>7.307656871228109E-2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A-4F32-8DD2-94AF629FFB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8611968"/>
        <c:axId val="1128614368"/>
      </c:barChart>
      <c:catAx>
        <c:axId val="112861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614368"/>
        <c:crosses val="autoZero"/>
        <c:auto val="1"/>
        <c:lblAlgn val="ctr"/>
        <c:lblOffset val="100"/>
        <c:noMultiLvlLbl val="0"/>
      </c:catAx>
      <c:valAx>
        <c:axId val="11286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61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Average</a:t>
            </a:r>
            <a:r>
              <a:rPr lang="en-PH" b="1" baseline="0"/>
              <a:t> Time Metrics</a:t>
            </a:r>
            <a:endParaRPr lang="en-P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Summary!$G$48:$G$51</c:f>
              <c:strCache>
                <c:ptCount val="4"/>
                <c:pt idx="0">
                  <c:v>KPI SUMMARY</c:v>
                </c:pt>
                <c:pt idx="1">
                  <c:v>Answer Speed</c:v>
                </c:pt>
                <c:pt idx="2">
                  <c:v>Talk Duration</c:v>
                </c:pt>
                <c:pt idx="3">
                  <c:v>Waiting Time</c:v>
                </c:pt>
              </c:strCache>
            </c:strRef>
          </c:cat>
          <c:val>
            <c:numRef>
              <c:f>Summary!$H$48:$H$51</c:f>
              <c:numCache>
                <c:formatCode>hh:mm:ss;@</c:formatCode>
                <c:ptCount val="4"/>
                <c:pt idx="1">
                  <c:v>2.8816761405690258E-4</c:v>
                </c:pt>
                <c:pt idx="2">
                  <c:v>1.8235134114930262E-3</c:v>
                </c:pt>
                <c:pt idx="3">
                  <c:v>2.6888304171477657E-3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7-41D3-B49E-8AD3BE22A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9328"/>
        <c:axId val="1125216448"/>
      </c:barChart>
      <c:catAx>
        <c:axId val="112521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16448"/>
        <c:crosses val="autoZero"/>
        <c:auto val="1"/>
        <c:lblAlgn val="ctr"/>
        <c:lblOffset val="100"/>
        <c:noMultiLvlLbl val="0"/>
      </c:catAx>
      <c:valAx>
        <c:axId val="11252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1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9</xdr:row>
      <xdr:rowOff>175260</xdr:rowOff>
    </xdr:from>
    <xdr:to>
      <xdr:col>4</xdr:col>
      <xdr:colOff>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9F423-499E-1E6A-2FCD-6670909A0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179070</xdr:rowOff>
    </xdr:from>
    <xdr:to>
      <xdr:col>3</xdr:col>
      <xdr:colOff>1790700</xdr:colOff>
      <xdr:row>38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5ED81-0A73-BE77-BDB2-F4E3AAD18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11</xdr:row>
      <xdr:rowOff>30480</xdr:rowOff>
    </xdr:from>
    <xdr:to>
      <xdr:col>11</xdr:col>
      <xdr:colOff>167640</xdr:colOff>
      <xdr:row>22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D43EF9-C50A-8D75-F1F7-6B0659792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601980</xdr:colOff>
      <xdr:row>33</xdr:row>
      <xdr:rowOff>0</xdr:rowOff>
    </xdr:from>
    <xdr:to>
      <xdr:col>11</xdr:col>
      <xdr:colOff>312420</xdr:colOff>
      <xdr:row>45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6DF420-E995-BBE1-CF1B-73BB17E67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601980</xdr:colOff>
      <xdr:row>53</xdr:row>
      <xdr:rowOff>0</xdr:rowOff>
    </xdr:from>
    <xdr:to>
      <xdr:col>11</xdr:col>
      <xdr:colOff>419100</xdr:colOff>
      <xdr:row>64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05A8A7-E8A0-A17D-A0DE-576E08C9B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175260</xdr:rowOff>
    </xdr:from>
    <xdr:to>
      <xdr:col>5</xdr:col>
      <xdr:colOff>601980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5F2D8-0C54-43F8-A4D1-B359379D2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7620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D4DDB5-0619-4245-99A0-E823926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7620</xdr:rowOff>
    </xdr:from>
    <xdr:to>
      <xdr:col>12</xdr:col>
      <xdr:colOff>15240</xdr:colOff>
      <xdr:row>43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5D7712-5E38-4C1B-A635-15515CB78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ma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Call Center Data"/>
      <sheetName val="Worksheet"/>
      <sheetName val="Pivot Tables"/>
      <sheetName val="Dashboard"/>
      <sheetName val="Summary"/>
    </sheetNames>
    <sheetDataSet>
      <sheetData sheetId="0"/>
      <sheetData sheetId="1"/>
      <sheetData sheetId="2">
        <row r="2">
          <cell r="P2">
            <v>248373</v>
          </cell>
        </row>
        <row r="3">
          <cell r="P3">
            <v>221234</v>
          </cell>
        </row>
        <row r="4">
          <cell r="P4">
            <v>27139</v>
          </cell>
        </row>
        <row r="5">
          <cell r="P5">
            <v>0.92692517985611511</v>
          </cell>
        </row>
        <row r="6">
          <cell r="P6">
            <v>2.6888304171477657E-3</v>
          </cell>
        </row>
        <row r="7">
          <cell r="P7">
            <v>0.70872909746277013</v>
          </cell>
        </row>
      </sheetData>
      <sheetData sheetId="3"/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ycel Agustin" refreshedDate="46180.827087384256" createdVersion="8" refreshedVersion="8" minRefreshableVersion="3" recordCount="1251" xr:uid="{04655FCD-3C49-4C77-AC49-035EDA851BB1}">
  <cacheSource type="worksheet">
    <worksheetSource ref="A1:M1252" sheet="Worksheet"/>
  </cacheSource>
  <cacheFields count="13">
    <cacheField name="Incoming Calls" numFmtId="1">
      <sharedItems containsSemiMixedTypes="0" containsString="0" containsNumber="1" containsInteger="1" minValue="5" maxValue="1575"/>
    </cacheField>
    <cacheField name="Answered Calls" numFmtId="1">
      <sharedItems containsSemiMixedTypes="0" containsString="0" containsNumber="1" containsInteger="1" minValue="5" maxValue="909"/>
    </cacheField>
    <cacheField name="Answer Rate" numFmtId="10">
      <sharedItems containsSemiMixedTypes="0" containsString="0" containsNumber="1" minValue="0.221" maxValue="1"/>
    </cacheField>
    <cacheField name="Abandoned Calls" numFmtId="1">
      <sharedItems containsSemiMixedTypes="0" containsString="0" containsNumber="1" containsInteger="1" minValue="0" maxValue="704"/>
    </cacheField>
    <cacheField name="Answer Speed (AVG)" numFmtId="164">
      <sharedItems containsSemiMixedTypes="0" containsNonDate="0" containsDate="1" containsString="0" minDate="1899-12-30T00:00:02" maxDate="1899-12-30T00:05:08"/>
    </cacheField>
    <cacheField name="Talk Duration (AVG)" numFmtId="164">
      <sharedItems containsSemiMixedTypes="0" containsNonDate="0" containsDate="1" containsString="0" minDate="1899-12-30T00:00:57" maxDate="1899-12-30T00:04:48"/>
    </cacheField>
    <cacheField name="Waiting Time (AVG)" numFmtId="164">
      <sharedItems containsSemiMixedTypes="0" containsNonDate="0" containsDate="1" containsString="0" minDate="1899-12-30T00:00:03" maxDate="1899-12-30T00:25:51"/>
    </cacheField>
    <cacheField name="Service Level (20 Seconds)" numFmtId="10">
      <sharedItems containsSemiMixedTypes="0" containsString="0" containsNumber="1" minValue="0" maxValue="1"/>
    </cacheField>
    <cacheField name="Answer Rate Numeric" numFmtId="10">
      <sharedItems containsSemiMixedTypes="0" containsString="0" containsNumber="1" minValue="2.2100000000000002E-3" maxValue="0.01"/>
    </cacheField>
    <cacheField name="Service Level Numeric" numFmtId="10">
      <sharedItems containsSemiMixedTypes="0" containsString="0" containsNumber="1" minValue="0" maxValue="0.01"/>
    </cacheField>
    <cacheField name="Calls Not Answered" numFmtId="1">
      <sharedItems containsSemiMixedTypes="0" containsString="0" containsNumber="1" containsInteger="1" minValue="0" maxValue="704"/>
    </cacheField>
    <cacheField name="Abandonment Rate" numFmtId="10">
      <sharedItems containsSemiMixedTypes="0" containsString="0" containsNumber="1" minValue="0" maxValue="0.7790476190476191"/>
    </cacheField>
    <cacheField name="Answer Efficiency" numFmtId="10">
      <sharedItems containsSemiMixedTypes="0" containsString="0" containsNumber="1" minValue="0.22095238095238096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1">
  <r>
    <n v="217"/>
    <n v="204"/>
    <n v="0.94010000000000005"/>
    <n v="13"/>
    <d v="1899-12-30T00:00:17"/>
    <d v="1899-12-30T00:02:14"/>
    <d v="1899-12-30T00:02:45"/>
    <n v="0.76280000000000003"/>
    <n v="9.4009999999999996E-3"/>
    <n v="7.6280000000000002E-3"/>
    <n v="13"/>
    <n v="5.9907834101382486E-2"/>
    <n v="0.94009216589861755"/>
  </r>
  <r>
    <n v="200"/>
    <n v="182"/>
    <n v="0.91"/>
    <n v="18"/>
    <d v="1899-12-30T00:00:20"/>
    <d v="1899-12-30T00:02:22"/>
    <d v="1899-12-30T00:06:55"/>
    <n v="0.72729999999999995"/>
    <n v="9.1000000000000004E-3"/>
    <n v="7.2729999999999991E-3"/>
    <n v="18"/>
    <n v="0.09"/>
    <n v="0.91"/>
  </r>
  <r>
    <n v="216"/>
    <n v="198"/>
    <n v="0.91669999999999996"/>
    <n v="18"/>
    <d v="1899-12-30T00:00:18"/>
    <d v="1899-12-30T00:02:38"/>
    <d v="1899-12-30T00:03:50"/>
    <n v="0.74299999999999999"/>
    <n v="9.1669999999999998E-3"/>
    <n v="7.43E-3"/>
    <n v="18"/>
    <n v="8.3333333333333329E-2"/>
    <n v="0.91666666666666663"/>
  </r>
  <r>
    <n v="155"/>
    <n v="145"/>
    <n v="0.9355"/>
    <n v="10"/>
    <d v="1899-12-30T00:00:15"/>
    <d v="1899-12-30T00:02:29"/>
    <d v="1899-12-30T00:03:12"/>
    <n v="0.79610000000000003"/>
    <n v="9.3550000000000005E-3"/>
    <n v="7.9610000000000011E-3"/>
    <n v="10"/>
    <n v="6.4516129032258063E-2"/>
    <n v="0.93548387096774188"/>
  </r>
  <r>
    <n v="37"/>
    <n v="37"/>
    <n v="1"/>
    <n v="0"/>
    <d v="1899-12-30T00:00:03"/>
    <d v="1899-12-30T00:02:06"/>
    <d v="1899-12-30T00:00:35"/>
    <n v="0.97299999999999998"/>
    <n v="0.01"/>
    <n v="9.7299999999999991E-3"/>
    <n v="0"/>
    <n v="0"/>
    <n v="1"/>
  </r>
  <r>
    <n v="315"/>
    <n v="304"/>
    <n v="0.96509999999999996"/>
    <n v="11"/>
    <d v="1899-12-30T00:00:18"/>
    <d v="1899-12-30T00:01:35"/>
    <d v="1899-12-30T00:02:37"/>
    <n v="0.77170000000000005"/>
    <n v="9.6509999999999999E-3"/>
    <n v="7.7170000000000008E-3"/>
    <n v="11"/>
    <n v="3.4920634920634921E-2"/>
    <n v="0.96507936507936509"/>
  </r>
  <r>
    <n v="252"/>
    <n v="244"/>
    <n v="0.96830000000000005"/>
    <n v="8"/>
    <d v="1899-12-30T00:00:13"/>
    <d v="1899-12-30T00:01:50"/>
    <d v="1899-12-30T00:02:02"/>
    <n v="0.82"/>
    <n v="9.6830000000000006E-3"/>
    <n v="8.199999999999999E-3"/>
    <n v="8"/>
    <n v="3.1746031746031744E-2"/>
    <n v="0.96825396825396826"/>
  </r>
  <r>
    <n v="213"/>
    <n v="205"/>
    <n v="0.96240000000000003"/>
    <n v="8"/>
    <d v="1899-12-30T00:00:10"/>
    <d v="1899-12-30T00:02:10"/>
    <d v="1899-12-30T00:03:22"/>
    <n v="0.88100000000000001"/>
    <n v="9.6240000000000006E-3"/>
    <n v="8.8100000000000001E-3"/>
    <n v="8"/>
    <n v="3.7558685446009391E-2"/>
    <n v="0.96244131455399062"/>
  </r>
  <r>
    <n v="219"/>
    <n v="200"/>
    <n v="0.91320000000000001"/>
    <n v="19"/>
    <d v="1899-12-30T00:00:15"/>
    <d v="1899-12-30T00:02:18"/>
    <d v="1899-12-30T00:06:12"/>
    <n v="0.79449999999999998"/>
    <n v="9.1319999999999995E-3"/>
    <n v="7.9450000000000007E-3"/>
    <n v="19"/>
    <n v="8.6757990867579904E-2"/>
    <n v="0.91324200913242004"/>
  </r>
  <r>
    <n v="371"/>
    <n v="348"/>
    <n v="0.93799999999999994"/>
    <n v="23"/>
    <d v="1899-12-30T00:00:19"/>
    <d v="1899-12-30T00:01:40"/>
    <d v="1899-12-30T00:03:29"/>
    <n v="0.73629999999999995"/>
    <n v="9.3799999999999994E-3"/>
    <n v="7.3629999999999998E-3"/>
    <n v="23"/>
    <n v="6.1994609164420483E-2"/>
    <n v="0.93800539083557954"/>
  </r>
  <r>
    <n v="166"/>
    <n v="164"/>
    <n v="0.98799999999999999"/>
    <n v="2"/>
    <d v="1899-12-30T00:00:12"/>
    <d v="1899-12-30T00:02:10"/>
    <d v="1899-12-30T00:02:46"/>
    <n v="0.81330000000000002"/>
    <n v="9.8799999999999999E-3"/>
    <n v="8.1329999999999996E-3"/>
    <n v="2"/>
    <n v="1.2048192771084338E-2"/>
    <n v="0.98795180722891562"/>
  </r>
  <r>
    <n v="32"/>
    <n v="32"/>
    <n v="1"/>
    <n v="0"/>
    <d v="1899-12-30T00:00:02"/>
    <d v="1899-12-30T00:02:03"/>
    <d v="1899-12-30T00:00:03"/>
    <n v="1"/>
    <n v="0.01"/>
    <n v="0.01"/>
    <n v="0"/>
    <n v="0"/>
    <n v="1"/>
  </r>
  <r>
    <n v="231"/>
    <n v="222"/>
    <n v="0.96099999999999997"/>
    <n v="9"/>
    <d v="1899-12-30T00:00:08"/>
    <d v="1899-12-30T00:01:49"/>
    <d v="1899-12-30T00:02:18"/>
    <n v="0.86460000000000004"/>
    <n v="9.6100000000000005E-3"/>
    <n v="8.6460000000000009E-3"/>
    <n v="9"/>
    <n v="3.896103896103896E-2"/>
    <n v="0.96103896103896103"/>
  </r>
  <r>
    <n v="205"/>
    <n v="197"/>
    <n v="0.96099999999999997"/>
    <n v="8"/>
    <d v="1899-12-30T00:00:07"/>
    <d v="1899-12-30T00:01:52"/>
    <d v="1899-12-30T00:02:48"/>
    <n v="0.92610000000000003"/>
    <n v="9.6100000000000005E-3"/>
    <n v="9.2610000000000001E-3"/>
    <n v="8"/>
    <n v="3.9024390243902439E-2"/>
    <n v="0.96097560975609753"/>
  </r>
  <r>
    <n v="338"/>
    <n v="313"/>
    <n v="0.92600000000000005"/>
    <n v="25"/>
    <d v="1899-12-30T00:00:13"/>
    <d v="1899-12-30T00:01:51"/>
    <d v="1899-12-30T00:03:40"/>
    <n v="0.80059999999999998"/>
    <n v="9.2600000000000009E-3"/>
    <n v="8.0059999999999992E-3"/>
    <n v="25"/>
    <n v="7.3964497041420121E-2"/>
    <n v="0.92603550295857984"/>
  </r>
  <r>
    <n v="180"/>
    <n v="174"/>
    <n v="0.9667"/>
    <n v="6"/>
    <d v="1899-12-30T00:00:13"/>
    <d v="1899-12-30T00:02:18"/>
    <d v="1899-12-30T00:03:26"/>
    <n v="0.83799999999999997"/>
    <n v="9.6670000000000002E-3"/>
    <n v="8.3800000000000003E-3"/>
    <n v="6"/>
    <n v="3.3333333333333333E-2"/>
    <n v="0.96666666666666667"/>
  </r>
  <r>
    <n v="226"/>
    <n v="211"/>
    <n v="0.93359999999999999"/>
    <n v="15"/>
    <d v="1899-12-30T00:00:20"/>
    <d v="1899-12-30T00:02:04"/>
    <d v="1899-12-30T00:04:53"/>
    <n v="0.76229999999999998"/>
    <n v="9.3360000000000005E-3"/>
    <n v="7.6229999999999996E-3"/>
    <n v="15"/>
    <n v="6.637168141592921E-2"/>
    <n v="0.9336283185840708"/>
  </r>
  <r>
    <n v="226"/>
    <n v="212"/>
    <n v="0.93810000000000004"/>
    <n v="14"/>
    <d v="1899-12-30T00:00:10"/>
    <d v="1899-12-30T00:02:03"/>
    <d v="1899-12-30T00:02:45"/>
    <n v="0.84440000000000004"/>
    <n v="9.3810000000000004E-3"/>
    <n v="8.4440000000000001E-3"/>
    <n v="14"/>
    <n v="6.1946902654867256E-2"/>
    <n v="0.93805309734513276"/>
  </r>
  <r>
    <n v="45"/>
    <n v="44"/>
    <n v="0.9778"/>
    <n v="1"/>
    <d v="1899-12-30T00:00:02"/>
    <d v="1899-12-30T00:02:04"/>
    <d v="1899-12-30T00:00:55"/>
    <n v="0.9778"/>
    <n v="9.7780000000000002E-3"/>
    <n v="9.7780000000000002E-3"/>
    <n v="1"/>
    <n v="2.2222222222222223E-2"/>
    <n v="0.97777777777777775"/>
  </r>
  <r>
    <n v="218"/>
    <n v="194"/>
    <n v="0.88990000000000002"/>
    <n v="24"/>
    <d v="1899-12-30T00:00:26"/>
    <d v="1899-12-30T00:02:43"/>
    <d v="1899-12-30T00:06:28"/>
    <n v="0.68979999999999997"/>
    <n v="8.8990000000000007E-3"/>
    <n v="6.8979999999999996E-3"/>
    <n v="24"/>
    <n v="0.11009174311926606"/>
    <n v="0.88990825688073394"/>
  </r>
  <r>
    <n v="187"/>
    <n v="174"/>
    <n v="0.93049999999999999"/>
    <n v="13"/>
    <d v="1899-12-30T00:00:15"/>
    <d v="1899-12-30T00:02:16"/>
    <d v="1899-12-30T00:04:39"/>
    <n v="0.81520000000000004"/>
    <n v="9.3050000000000008E-3"/>
    <n v="8.1519999999999995E-3"/>
    <n v="13"/>
    <n v="6.9518716577540107E-2"/>
    <n v="0.93048128342245995"/>
  </r>
  <r>
    <n v="191"/>
    <n v="184"/>
    <n v="0.96340000000000003"/>
    <n v="7"/>
    <d v="1899-12-30T00:00:10"/>
    <d v="1899-12-30T00:02:09"/>
    <d v="1899-12-30T00:03:40"/>
    <n v="0.85640000000000005"/>
    <n v="9.6340000000000002E-3"/>
    <n v="8.5640000000000004E-3"/>
    <n v="7"/>
    <n v="3.6649214659685861E-2"/>
    <n v="0.96335078534031415"/>
  </r>
  <r>
    <n v="188"/>
    <n v="174"/>
    <n v="0.92549999999999999"/>
    <n v="14"/>
    <d v="1899-12-30T00:00:15"/>
    <d v="1899-12-30T00:02:25"/>
    <d v="1899-12-30T00:03:09"/>
    <n v="0.76880000000000004"/>
    <n v="9.2549999999999993E-3"/>
    <n v="7.6880000000000004E-3"/>
    <n v="14"/>
    <n v="7.4468085106382975E-2"/>
    <n v="0.92553191489361697"/>
  </r>
  <r>
    <n v="154"/>
    <n v="148"/>
    <n v="0.96099999999999997"/>
    <n v="6"/>
    <d v="1899-12-30T00:00:10"/>
    <d v="1899-12-30T00:02:27"/>
    <d v="1899-12-30T00:03:36"/>
    <n v="0.85060000000000002"/>
    <n v="9.6100000000000005E-3"/>
    <n v="8.5059999999999997E-3"/>
    <n v="6"/>
    <n v="3.896103896103896E-2"/>
    <n v="0.96103896103896103"/>
  </r>
  <r>
    <n v="166"/>
    <n v="150"/>
    <n v="0.90359999999999996"/>
    <n v="16"/>
    <d v="1899-12-30T00:00:18"/>
    <d v="1899-12-30T00:02:26"/>
    <d v="1899-12-30T00:04:38"/>
    <n v="0.76829999999999998"/>
    <n v="9.0359999999999989E-3"/>
    <n v="7.6829999999999997E-3"/>
    <n v="16"/>
    <n v="9.6385542168674704E-2"/>
    <n v="0.90361445783132532"/>
  </r>
  <r>
    <n v="58"/>
    <n v="57"/>
    <n v="0.98280000000000001"/>
    <n v="1"/>
    <d v="1899-12-30T00:00:04"/>
    <d v="1899-12-30T00:02:26"/>
    <d v="1899-12-30T00:00:58"/>
    <n v="0.94830000000000003"/>
    <n v="9.8279999999999999E-3"/>
    <n v="9.4830000000000001E-3"/>
    <n v="1"/>
    <n v="1.7241379310344827E-2"/>
    <n v="0.98275862068965514"/>
  </r>
  <r>
    <n v="160"/>
    <n v="153"/>
    <n v="0.95630000000000004"/>
    <n v="7"/>
    <d v="1899-12-30T00:00:10"/>
    <d v="1899-12-30T00:02:23"/>
    <d v="1899-12-30T00:02:45"/>
    <n v="0.84909999999999997"/>
    <n v="9.5630000000000003E-3"/>
    <n v="8.4910000000000003E-3"/>
    <n v="7"/>
    <n v="4.3749999999999997E-2"/>
    <n v="0.95625000000000004"/>
  </r>
  <r>
    <n v="86"/>
    <n v="79"/>
    <n v="0.91859999999999997"/>
    <n v="7"/>
    <d v="1899-12-30T00:00:32"/>
    <d v="1899-12-30T00:02:43"/>
    <d v="1899-12-30T00:04:40"/>
    <n v="0.61629999999999996"/>
    <n v="9.1859999999999997E-3"/>
    <n v="6.1629999999999992E-3"/>
    <n v="7"/>
    <n v="8.1395348837209308E-2"/>
    <n v="0.91860465116279066"/>
  </r>
  <r>
    <n v="180"/>
    <n v="170"/>
    <n v="0.94440000000000002"/>
    <n v="10"/>
    <d v="1899-12-30T00:00:23"/>
    <d v="1899-12-30T00:02:31"/>
    <d v="1899-12-30T00:05:45"/>
    <n v="0.77529999999999999"/>
    <n v="9.444000000000001E-3"/>
    <n v="7.7529999999999995E-3"/>
    <n v="10"/>
    <n v="5.5555555555555552E-2"/>
    <n v="0.94444444444444442"/>
  </r>
  <r>
    <n v="210"/>
    <n v="192"/>
    <n v="0.9143"/>
    <n v="18"/>
    <d v="1899-12-30T00:00:26"/>
    <d v="1899-12-30T00:02:16"/>
    <d v="1899-12-30T00:05:35"/>
    <n v="0.67459999999999998"/>
    <n v="9.1430000000000001E-3"/>
    <n v="6.7459999999999994E-3"/>
    <n v="18"/>
    <n v="8.5714285714285715E-2"/>
    <n v="0.91428571428571426"/>
  </r>
  <r>
    <n v="163"/>
    <n v="157"/>
    <n v="0.96319999999999995"/>
    <n v="6"/>
    <d v="1899-12-30T00:00:14"/>
    <d v="1899-12-30T00:02:19"/>
    <d v="1899-12-30T00:02:55"/>
    <n v="0.81369999999999998"/>
    <n v="9.6319999999999999E-3"/>
    <n v="8.1370000000000001E-3"/>
    <n v="6"/>
    <n v="3.6809815950920248E-2"/>
    <n v="0.96319018404907975"/>
  </r>
  <r>
    <n v="143"/>
    <n v="140"/>
    <n v="0.97899999999999998"/>
    <n v="3"/>
    <d v="1899-12-30T00:00:15"/>
    <d v="1899-12-30T00:02:20"/>
    <d v="1899-12-30T00:04:43"/>
    <n v="0.82520000000000004"/>
    <n v="9.7900000000000001E-3"/>
    <n v="8.2520000000000007E-3"/>
    <n v="3"/>
    <n v="2.097902097902098E-2"/>
    <n v="0.97902097902097907"/>
  </r>
  <r>
    <n v="57"/>
    <n v="55"/>
    <n v="0.96489999999999998"/>
    <n v="2"/>
    <d v="1899-12-30T00:00:06"/>
    <d v="1899-12-30T00:02:03"/>
    <d v="1899-12-30T00:01:50"/>
    <n v="0.9123"/>
    <n v="9.6489999999999996E-3"/>
    <n v="9.1229999999999992E-3"/>
    <n v="2"/>
    <n v="3.5087719298245612E-2"/>
    <n v="0.96491228070175439"/>
  </r>
  <r>
    <n v="179"/>
    <n v="172"/>
    <n v="0.96089999999999998"/>
    <n v="7"/>
    <d v="1899-12-30T00:00:13"/>
    <d v="1899-12-30T00:02:17"/>
    <d v="1899-12-30T00:03:23"/>
    <n v="0.82489999999999997"/>
    <n v="9.6089999999999995E-3"/>
    <n v="8.2489999999999994E-3"/>
    <n v="7"/>
    <n v="3.9106145251396648E-2"/>
    <n v="0.96089385474860334"/>
  </r>
  <r>
    <n v="194"/>
    <n v="184"/>
    <n v="0.94850000000000001"/>
    <n v="10"/>
    <d v="1899-12-30T00:00:24"/>
    <d v="1899-12-30T00:02:24"/>
    <d v="1899-12-30T00:03:19"/>
    <n v="0.70099999999999996"/>
    <n v="9.4850000000000004E-3"/>
    <n v="7.0099999999999997E-3"/>
    <n v="10"/>
    <n v="5.1546391752577317E-2"/>
    <n v="0.94845360824742264"/>
  </r>
  <r>
    <n v="201"/>
    <n v="196"/>
    <n v="0.97509999999999997"/>
    <n v="5"/>
    <d v="1899-12-30T00:00:15"/>
    <d v="1899-12-30T00:02:16"/>
    <d v="1899-12-30T00:04:53"/>
    <n v="0.81589999999999996"/>
    <n v="9.7509999999999993E-3"/>
    <n v="8.1589999999999996E-3"/>
    <n v="5"/>
    <n v="2.4875621890547265E-2"/>
    <n v="0.97512437810945274"/>
  </r>
  <r>
    <n v="218"/>
    <n v="189"/>
    <n v="0.86699999999999999"/>
    <n v="29"/>
    <d v="1899-12-30T00:00:32"/>
    <d v="1899-12-30T00:02:37"/>
    <d v="1899-12-30T00:08:04"/>
    <n v="0.57410000000000005"/>
    <n v="8.6700000000000006E-3"/>
    <n v="5.7410000000000004E-3"/>
    <n v="29"/>
    <n v="0.13302752293577982"/>
    <n v="0.8669724770642202"/>
  </r>
  <r>
    <n v="194"/>
    <n v="190"/>
    <n v="0.97940000000000005"/>
    <n v="4"/>
    <d v="1899-12-30T00:00:16"/>
    <d v="1899-12-30T00:02:22"/>
    <d v="1899-12-30T00:02:02"/>
    <n v="0.81769999999999998"/>
    <n v="9.7940000000000006E-3"/>
    <n v="8.1770000000000002E-3"/>
    <n v="4"/>
    <n v="2.0618556701030927E-2"/>
    <n v="0.97938144329896903"/>
  </r>
  <r>
    <n v="227"/>
    <n v="219"/>
    <n v="0.96479999999999999"/>
    <n v="8"/>
    <d v="1899-12-30T00:00:15"/>
    <d v="1899-12-30T00:02:44"/>
    <d v="1899-12-30T00:03:55"/>
    <n v="0.83630000000000004"/>
    <n v="9.6480000000000003E-3"/>
    <n v="8.3630000000000006E-3"/>
    <n v="8"/>
    <n v="3.5242290748898682E-2"/>
    <n v="0.96475770925110127"/>
  </r>
  <r>
    <n v="52"/>
    <n v="52"/>
    <n v="1"/>
    <n v="0"/>
    <d v="1899-12-30T00:00:09"/>
    <d v="1899-12-30T00:02:16"/>
    <d v="1899-12-30T00:00:52"/>
    <n v="0.94230000000000003"/>
    <n v="0.01"/>
    <n v="9.4230000000000008E-3"/>
    <n v="0"/>
    <n v="0"/>
    <n v="1"/>
  </r>
  <r>
    <n v="385"/>
    <n v="370"/>
    <n v="0.96099999999999997"/>
    <n v="15"/>
    <d v="1899-12-30T00:00:20"/>
    <d v="1899-12-30T00:02:11"/>
    <d v="1899-12-30T00:03:10"/>
    <n v="0.76190000000000002"/>
    <n v="9.6100000000000005E-3"/>
    <n v="7.6189999999999999E-3"/>
    <n v="15"/>
    <n v="3.896103896103896E-2"/>
    <n v="0.96103896103896103"/>
  </r>
  <r>
    <n v="137"/>
    <n v="130"/>
    <n v="0.94889999999999997"/>
    <n v="7"/>
    <d v="1899-12-30T00:00:16"/>
    <d v="1899-12-30T00:02:26"/>
    <d v="1899-12-30T00:09:47"/>
    <n v="0.7591"/>
    <n v="9.4889999999999992E-3"/>
    <n v="7.5909999999999997E-3"/>
    <n v="7"/>
    <n v="5.1094890510948905E-2"/>
    <n v="0.94890510948905105"/>
  </r>
  <r>
    <n v="254"/>
    <n v="252"/>
    <n v="0.99209999999999998"/>
    <n v="2"/>
    <d v="1899-12-30T00:00:10"/>
    <d v="1899-12-30T00:02:08"/>
    <d v="1899-12-30T00:01:10"/>
    <n v="0.91339999999999999"/>
    <n v="9.9209999999999993E-3"/>
    <n v="9.1339999999999998E-3"/>
    <n v="2"/>
    <n v="7.874015748031496E-3"/>
    <n v="0.99212598425196852"/>
  </r>
  <r>
    <n v="211"/>
    <n v="206"/>
    <n v="0.97629999999999995"/>
    <n v="5"/>
    <d v="1899-12-30T00:00:11"/>
    <d v="1899-12-30T00:02:24"/>
    <d v="1899-12-30T00:04:37"/>
    <n v="0.87139999999999995"/>
    <n v="9.7629999999999991E-3"/>
    <n v="8.7139999999999995E-3"/>
    <n v="5"/>
    <n v="2.3696682464454975E-2"/>
    <n v="0.976303317535545"/>
  </r>
  <r>
    <n v="282"/>
    <n v="279"/>
    <n v="0.98939999999999995"/>
    <n v="3"/>
    <d v="1899-12-30T00:00:07"/>
    <d v="1899-12-30T00:02:18"/>
    <d v="1899-12-30T00:01:11"/>
    <n v="0.93210000000000004"/>
    <n v="9.894E-3"/>
    <n v="9.3210000000000012E-3"/>
    <n v="3"/>
    <n v="1.0638297872340425E-2"/>
    <n v="0.98936170212765961"/>
  </r>
  <r>
    <n v="262"/>
    <n v="260"/>
    <n v="0.99239999999999995"/>
    <n v="2"/>
    <d v="1899-12-30T00:00:08"/>
    <d v="1899-12-30T00:02:31"/>
    <d v="1899-12-30T00:01:13"/>
    <n v="0.90800000000000003"/>
    <n v="9.9239999999999988E-3"/>
    <n v="9.0799999999999995E-3"/>
    <n v="2"/>
    <n v="7.6335877862595417E-3"/>
    <n v="0.99236641221374045"/>
  </r>
  <r>
    <n v="65"/>
    <n v="63"/>
    <n v="0.96919999999999995"/>
    <n v="2"/>
    <d v="1899-12-30T00:00:12"/>
    <d v="1899-12-30T00:02:22"/>
    <d v="1899-12-30T00:02:10"/>
    <n v="0.85940000000000005"/>
    <n v="9.6919999999999992E-3"/>
    <n v="8.5940000000000009E-3"/>
    <n v="2"/>
    <n v="3.0769230769230771E-2"/>
    <n v="0.96923076923076923"/>
  </r>
  <r>
    <n v="325"/>
    <n v="323"/>
    <n v="0.99380000000000002"/>
    <n v="2"/>
    <d v="1899-12-30T00:00:05"/>
    <d v="1899-12-30T00:02:13"/>
    <d v="1899-12-30T00:01:14"/>
    <n v="0.96899999999999997"/>
    <n v="9.9380000000000007E-3"/>
    <n v="9.689999999999999E-3"/>
    <n v="2"/>
    <n v="6.1538461538461538E-3"/>
    <n v="0.99384615384615382"/>
  </r>
  <r>
    <n v="235"/>
    <n v="230"/>
    <n v="0.97870000000000001"/>
    <n v="5"/>
    <d v="1899-12-30T00:00:05"/>
    <d v="1899-12-30T00:02:19"/>
    <d v="1899-12-30T00:00:58"/>
    <n v="0.96140000000000003"/>
    <n v="9.7870000000000006E-3"/>
    <n v="9.614000000000001E-3"/>
    <n v="5"/>
    <n v="2.1276595744680851E-2"/>
    <n v="0.97872340425531912"/>
  </r>
  <r>
    <n v="215"/>
    <n v="212"/>
    <n v="0.98599999999999999"/>
    <n v="3"/>
    <d v="1899-12-30T00:00:05"/>
    <d v="1899-12-30T00:02:14"/>
    <d v="1899-12-30T00:00:58"/>
    <n v="0.95809999999999995"/>
    <n v="9.8600000000000007E-3"/>
    <n v="9.5809999999999992E-3"/>
    <n v="3"/>
    <n v="1.3953488372093023E-2"/>
    <n v="0.98604651162790702"/>
  </r>
  <r>
    <n v="85"/>
    <n v="85"/>
    <n v="1"/>
    <n v="0"/>
    <d v="1899-12-30T00:00:03"/>
    <d v="1899-12-30T00:02:26"/>
    <d v="1899-12-30T00:00:55"/>
    <n v="0.97650000000000003"/>
    <n v="0.01"/>
    <n v="9.7650000000000011E-3"/>
    <n v="0"/>
    <n v="0"/>
    <n v="1"/>
  </r>
  <r>
    <n v="195"/>
    <n v="195"/>
    <n v="1"/>
    <n v="0"/>
    <d v="1899-12-30T00:00:05"/>
    <d v="1899-12-30T00:02:24"/>
    <d v="1899-12-30T00:02:13"/>
    <n v="0.97440000000000004"/>
    <n v="0.01"/>
    <n v="9.7440000000000009E-3"/>
    <n v="0"/>
    <n v="0"/>
    <n v="1"/>
  </r>
  <r>
    <n v="188"/>
    <n v="182"/>
    <n v="0.96809999999999996"/>
    <n v="6"/>
    <d v="1899-12-30T00:00:15"/>
    <d v="1899-12-30T00:02:14"/>
    <d v="1899-12-30T00:01:51"/>
    <n v="0.83609999999999995"/>
    <n v="9.6810000000000004E-3"/>
    <n v="8.3610000000000004E-3"/>
    <n v="6"/>
    <n v="3.1914893617021274E-2"/>
    <n v="0.96808510638297873"/>
  </r>
  <r>
    <n v="58"/>
    <n v="58"/>
    <n v="1"/>
    <n v="0"/>
    <d v="1899-12-30T00:00:06"/>
    <d v="1899-12-30T00:02:22"/>
    <d v="1899-12-30T00:00:52"/>
    <n v="0.94830000000000003"/>
    <n v="0.01"/>
    <n v="9.4830000000000001E-3"/>
    <n v="0"/>
    <n v="0"/>
    <n v="1"/>
  </r>
  <r>
    <n v="251"/>
    <n v="247"/>
    <n v="0.98409999999999997"/>
    <n v="4"/>
    <d v="1899-12-30T00:00:14"/>
    <d v="1899-12-30T00:02:16"/>
    <d v="1899-12-30T00:01:53"/>
    <n v="0.83530000000000004"/>
    <n v="9.8409999999999991E-3"/>
    <n v="8.353000000000001E-3"/>
    <n v="4"/>
    <n v="1.5936254980079681E-2"/>
    <n v="0.98406374501992033"/>
  </r>
  <r>
    <n v="181"/>
    <n v="178"/>
    <n v="0.98340000000000005"/>
    <n v="3"/>
    <d v="1899-12-30T00:00:12"/>
    <d v="1899-12-30T00:02:24"/>
    <d v="1899-12-30T00:01:57"/>
    <n v="0.8619"/>
    <n v="9.8340000000000007E-3"/>
    <n v="8.6189999999999999E-3"/>
    <n v="3"/>
    <n v="1.6574585635359115E-2"/>
    <n v="0.98342541436464093"/>
  </r>
  <r>
    <n v="228"/>
    <n v="213"/>
    <n v="0.93420000000000003"/>
    <n v="15"/>
    <d v="1899-12-30T00:00:26"/>
    <d v="1899-12-30T00:02:16"/>
    <d v="1899-12-30T00:03:07"/>
    <n v="0.63560000000000005"/>
    <n v="9.3419999999999996E-3"/>
    <n v="6.3560000000000005E-3"/>
    <n v="15"/>
    <n v="6.5789473684210523E-2"/>
    <n v="0.93421052631578949"/>
  </r>
  <r>
    <n v="165"/>
    <n v="163"/>
    <n v="0.9879"/>
    <n v="2"/>
    <d v="1899-12-30T00:00:09"/>
    <d v="1899-12-30T00:02:25"/>
    <d v="1899-12-30T00:02:20"/>
    <n v="0.90239999999999998"/>
    <n v="9.8790000000000006E-3"/>
    <n v="9.023999999999999E-3"/>
    <n v="2"/>
    <n v="1.2121212121212121E-2"/>
    <n v="0.98787878787878791"/>
  </r>
  <r>
    <n v="185"/>
    <n v="179"/>
    <n v="0.96760000000000002"/>
    <n v="6"/>
    <d v="1899-12-30T00:00:17"/>
    <d v="1899-12-30T00:02:17"/>
    <d v="1899-12-30T00:02:33"/>
    <n v="0.78569999999999995"/>
    <n v="9.6760000000000006E-3"/>
    <n v="7.8569999999999994E-3"/>
    <n v="6"/>
    <n v="3.2432432432432434E-2"/>
    <n v="0.96756756756756757"/>
  </r>
  <r>
    <n v="172"/>
    <n v="164"/>
    <n v="0.95350000000000001"/>
    <n v="8"/>
    <d v="1899-12-30T00:00:18"/>
    <d v="1899-12-30T00:02:27"/>
    <d v="1899-12-30T00:04:09"/>
    <n v="0.77059999999999995"/>
    <n v="9.5350000000000001E-3"/>
    <n v="7.7059999999999993E-3"/>
    <n v="8"/>
    <n v="4.6511627906976744E-2"/>
    <n v="0.95348837209302328"/>
  </r>
  <r>
    <n v="57"/>
    <n v="51"/>
    <n v="0.89470000000000005"/>
    <n v="6"/>
    <d v="1899-12-30T00:00:07"/>
    <d v="1899-12-30T00:01:47"/>
    <d v="1899-12-30T00:03:40"/>
    <n v="0.90569999999999995"/>
    <n v="8.9470000000000001E-3"/>
    <n v="9.0569999999999991E-3"/>
    <n v="6"/>
    <n v="0.10526315789473684"/>
    <n v="0.89473684210526316"/>
  </r>
  <r>
    <n v="200"/>
    <n v="192"/>
    <n v="0.96"/>
    <n v="8"/>
    <d v="1899-12-30T00:00:10"/>
    <d v="1899-12-30T00:02:18"/>
    <d v="1899-12-30T00:02:49"/>
    <n v="0.86429999999999996"/>
    <n v="9.5999999999999992E-3"/>
    <n v="8.6429999999999996E-3"/>
    <n v="8"/>
    <n v="0.04"/>
    <n v="0.96"/>
  </r>
  <r>
    <n v="202"/>
    <n v="199"/>
    <n v="0.98509999999999998"/>
    <n v="3"/>
    <d v="1899-12-30T00:00:08"/>
    <d v="1899-12-30T00:02:05"/>
    <d v="1899-12-30T00:01:17"/>
    <n v="0.91"/>
    <n v="9.8510000000000004E-3"/>
    <n v="9.1000000000000004E-3"/>
    <n v="3"/>
    <n v="1.4851485148514851E-2"/>
    <n v="0.98514851485148514"/>
  </r>
  <r>
    <n v="217"/>
    <n v="212"/>
    <n v="0.97699999999999998"/>
    <n v="5"/>
    <d v="1899-12-30T00:00:07"/>
    <d v="1899-12-30T00:01:55"/>
    <d v="1899-12-30T00:01:50"/>
    <n v="0.94420000000000004"/>
    <n v="9.7699999999999992E-3"/>
    <n v="9.4420000000000007E-3"/>
    <n v="5"/>
    <n v="2.3041474654377881E-2"/>
    <n v="0.97695852534562211"/>
  </r>
  <r>
    <n v="225"/>
    <n v="223"/>
    <n v="0.99109999999999998"/>
    <n v="2"/>
    <d v="1899-12-30T00:00:09"/>
    <d v="1899-12-30T00:02:09"/>
    <d v="1899-12-30T00:01:06"/>
    <n v="0.91930000000000001"/>
    <n v="9.9109999999999997E-3"/>
    <n v="9.1929999999999998E-3"/>
    <n v="2"/>
    <n v="8.8888888888888889E-3"/>
    <n v="0.99111111111111116"/>
  </r>
  <r>
    <n v="235"/>
    <n v="231"/>
    <n v="0.98299999999999998"/>
    <n v="4"/>
    <d v="1899-12-30T00:00:08"/>
    <d v="1899-12-30T00:02:19"/>
    <d v="1899-12-30T00:01:06"/>
    <n v="0.95709999999999995"/>
    <n v="9.8300000000000002E-3"/>
    <n v="9.5709999999999996E-3"/>
    <n v="4"/>
    <n v="1.7021276595744681E-2"/>
    <n v="0.98297872340425529"/>
  </r>
  <r>
    <n v="202"/>
    <n v="201"/>
    <n v="0.995"/>
    <n v="1"/>
    <d v="1899-12-30T00:00:08"/>
    <d v="1899-12-30T00:02:21"/>
    <d v="1899-12-30T00:01:53"/>
    <n v="0.94550000000000001"/>
    <n v="9.9500000000000005E-3"/>
    <n v="9.4549999999999999E-3"/>
    <n v="1"/>
    <n v="4.9504950495049506E-3"/>
    <n v="0.99504950495049505"/>
  </r>
  <r>
    <n v="43"/>
    <n v="39"/>
    <n v="0.90700000000000003"/>
    <n v="4"/>
    <d v="1899-12-30T00:00:11"/>
    <d v="1899-12-30T00:02:15"/>
    <d v="1899-12-30T00:01:50"/>
    <n v="0.76190000000000002"/>
    <n v="9.0699999999999999E-3"/>
    <n v="7.6189999999999999E-3"/>
    <n v="4"/>
    <n v="9.3023255813953487E-2"/>
    <n v="0.90697674418604646"/>
  </r>
  <r>
    <n v="194"/>
    <n v="187"/>
    <n v="0.96389999999999998"/>
    <n v="7"/>
    <d v="1899-12-30T00:00:10"/>
    <d v="1899-12-30T00:02:27"/>
    <d v="1899-12-30T00:02:30"/>
    <n v="0.87429999999999997"/>
    <n v="9.639E-3"/>
    <n v="8.742999999999999E-3"/>
    <n v="7"/>
    <n v="3.608247422680412E-2"/>
    <n v="0.96391752577319589"/>
  </r>
  <r>
    <n v="202"/>
    <n v="199"/>
    <n v="0.98509999999999998"/>
    <n v="3"/>
    <d v="1899-12-30T00:00:13"/>
    <d v="1899-12-30T00:02:23"/>
    <d v="1899-12-30T00:01:58"/>
    <n v="0.86070000000000002"/>
    <n v="9.8510000000000004E-3"/>
    <n v="8.6070000000000001E-3"/>
    <n v="3"/>
    <n v="1.4851485148514851E-2"/>
    <n v="0.98514851485148514"/>
  </r>
  <r>
    <n v="146"/>
    <n v="140"/>
    <n v="0.95889999999999997"/>
    <n v="6"/>
    <d v="1899-12-30T00:00:12"/>
    <d v="1899-12-30T00:02:13"/>
    <d v="1899-12-30T00:04:35"/>
    <n v="0.83450000000000002"/>
    <n v="9.5890000000000003E-3"/>
    <n v="8.345E-3"/>
    <n v="6"/>
    <n v="4.1095890410958902E-2"/>
    <n v="0.95890410958904104"/>
  </r>
  <r>
    <n v="147"/>
    <n v="145"/>
    <n v="0.98640000000000005"/>
    <n v="2"/>
    <d v="1899-12-30T00:00:09"/>
    <d v="1899-12-30T00:02:15"/>
    <d v="1899-12-30T00:00:58"/>
    <n v="0.91159999999999997"/>
    <n v="9.8640000000000012E-3"/>
    <n v="9.1159999999999991E-3"/>
    <n v="2"/>
    <n v="1.3605442176870748E-2"/>
    <n v="0.98639455782312924"/>
  </r>
  <r>
    <n v="155"/>
    <n v="145"/>
    <n v="0.9355"/>
    <n v="10"/>
    <d v="1899-12-30T00:00:12"/>
    <d v="1899-12-30T00:02:33"/>
    <d v="1899-12-30T00:04:33"/>
    <n v="0.82240000000000002"/>
    <n v="9.3550000000000005E-3"/>
    <n v="8.2240000000000004E-3"/>
    <n v="10"/>
    <n v="6.4516129032258063E-2"/>
    <n v="0.93548387096774188"/>
  </r>
  <r>
    <n v="157"/>
    <n v="156"/>
    <n v="0.99360000000000004"/>
    <n v="1"/>
    <d v="1899-12-30T00:00:09"/>
    <d v="1899-12-30T00:02:24"/>
    <d v="1899-12-30T00:00:53"/>
    <n v="0.92949999999999999"/>
    <n v="9.9360000000000004E-3"/>
    <n v="9.2949999999999994E-3"/>
    <n v="1"/>
    <n v="6.369426751592357E-3"/>
    <n v="0.99363057324840764"/>
  </r>
  <r>
    <n v="38"/>
    <n v="36"/>
    <n v="0.94740000000000002"/>
    <n v="2"/>
    <d v="1899-12-30T00:00:13"/>
    <d v="1899-12-30T00:02:11"/>
    <d v="1899-12-30T00:00:59"/>
    <n v="0.83779999999999999"/>
    <n v="9.4739999999999998E-3"/>
    <n v="8.378E-3"/>
    <n v="2"/>
    <n v="5.2631578947368418E-2"/>
    <n v="0.94736842105263153"/>
  </r>
  <r>
    <n v="166"/>
    <n v="162"/>
    <n v="0.97589999999999999"/>
    <n v="4"/>
    <d v="1899-12-30T00:00:09"/>
    <d v="1899-12-30T00:02:29"/>
    <d v="1899-12-30T00:02:45"/>
    <n v="0.89090000000000003"/>
    <n v="9.7590000000000003E-3"/>
    <n v="8.9090000000000003E-3"/>
    <n v="4"/>
    <n v="2.4096385542168676E-2"/>
    <n v="0.97590361445783136"/>
  </r>
  <r>
    <n v="226"/>
    <n v="216"/>
    <n v="0.95579999999999998"/>
    <n v="10"/>
    <d v="1899-12-30T00:00:13"/>
    <d v="1899-12-30T00:02:15"/>
    <d v="1899-12-30T00:01:46"/>
    <n v="0.8145"/>
    <n v="9.5580000000000005E-3"/>
    <n v="8.1449999999999995E-3"/>
    <n v="10"/>
    <n v="4.4247787610619468E-2"/>
    <n v="0.95575221238938057"/>
  </r>
  <r>
    <n v="253"/>
    <n v="247"/>
    <n v="0.97629999999999995"/>
    <n v="6"/>
    <d v="1899-12-30T00:00:10"/>
    <d v="1899-12-30T00:01:54"/>
    <d v="1899-12-30T00:01:17"/>
    <n v="0.88490000000000002"/>
    <n v="9.7629999999999991E-3"/>
    <n v="8.849000000000001E-3"/>
    <n v="6"/>
    <n v="2.3715415019762844E-2"/>
    <n v="0.97628458498023718"/>
  </r>
  <r>
    <n v="134"/>
    <n v="134"/>
    <n v="1"/>
    <n v="0"/>
    <d v="1899-12-30T00:00:03"/>
    <d v="1899-12-30T00:02:13"/>
    <d v="1899-12-30T00:00:26"/>
    <n v="1"/>
    <n v="0.01"/>
    <n v="0.01"/>
    <n v="0"/>
    <n v="0"/>
    <n v="1"/>
  </r>
  <r>
    <n v="70"/>
    <n v="67"/>
    <n v="0.95709999999999995"/>
    <n v="3"/>
    <d v="1899-12-30T00:00:12"/>
    <d v="1899-12-30T00:02:01"/>
    <d v="1899-12-30T00:01:16"/>
    <n v="0.83819999999999995"/>
    <n v="9.5709999999999996E-3"/>
    <n v="8.3819999999999988E-3"/>
    <n v="3"/>
    <n v="4.2857142857142858E-2"/>
    <n v="0.95714285714285718"/>
  </r>
  <r>
    <n v="83"/>
    <n v="82"/>
    <n v="0.98799999999999999"/>
    <n v="1"/>
    <d v="1899-12-30T00:00:07"/>
    <d v="1899-12-30T00:02:03"/>
    <d v="1899-12-30T00:01:16"/>
    <n v="0.95179999999999998"/>
    <n v="9.8799999999999999E-3"/>
    <n v="9.5180000000000004E-3"/>
    <n v="1"/>
    <n v="1.2048192771084338E-2"/>
    <n v="0.98795180722891562"/>
  </r>
  <r>
    <n v="42"/>
    <n v="40"/>
    <n v="0.95240000000000002"/>
    <n v="2"/>
    <d v="1899-12-30T00:00:08"/>
    <d v="1899-12-30T00:01:51"/>
    <d v="1899-12-30T00:01:36"/>
    <n v="0.90239999999999998"/>
    <n v="9.5239999999999995E-3"/>
    <n v="9.023999999999999E-3"/>
    <n v="2"/>
    <n v="4.7619047619047616E-2"/>
    <n v="0.95238095238095233"/>
  </r>
  <r>
    <n v="66"/>
    <n v="64"/>
    <n v="0.96970000000000001"/>
    <n v="2"/>
    <d v="1899-12-30T00:00:05"/>
    <d v="1899-12-30T00:02:00"/>
    <d v="1899-12-30T00:01:39"/>
    <n v="0.95450000000000002"/>
    <n v="9.6970000000000008E-3"/>
    <n v="9.5449999999999997E-3"/>
    <n v="2"/>
    <n v="3.0303030303030304E-2"/>
    <n v="0.96969696969696972"/>
  </r>
  <r>
    <n v="153"/>
    <n v="146"/>
    <n v="0.95420000000000005"/>
    <n v="7"/>
    <d v="1899-12-30T00:00:20"/>
    <d v="1899-12-30T00:02:08"/>
    <d v="1899-12-30T00:04:32"/>
    <n v="0.76"/>
    <n v="9.5420000000000001E-3"/>
    <n v="7.6E-3"/>
    <n v="7"/>
    <n v="4.5751633986928102E-2"/>
    <n v="0.95424836601307195"/>
  </r>
  <r>
    <n v="141"/>
    <n v="135"/>
    <n v="0.95740000000000003"/>
    <n v="6"/>
    <d v="1899-12-30T00:00:23"/>
    <d v="1899-12-30T00:02:06"/>
    <d v="1899-12-30T00:02:15"/>
    <n v="0.66910000000000003"/>
    <n v="9.5740000000000009E-3"/>
    <n v="6.6909999999999999E-3"/>
    <n v="6"/>
    <n v="4.2553191489361701E-2"/>
    <n v="0.95744680851063835"/>
  </r>
  <r>
    <n v="146"/>
    <n v="143"/>
    <n v="0.97950000000000004"/>
    <n v="3"/>
    <d v="1899-12-30T00:00:17"/>
    <d v="1899-12-30T00:01:57"/>
    <d v="1899-12-30T00:02:27"/>
    <n v="0.78320000000000001"/>
    <n v="9.7949999999999999E-3"/>
    <n v="7.8320000000000004E-3"/>
    <n v="3"/>
    <n v="2.0547945205479451E-2"/>
    <n v="0.97945205479452058"/>
  </r>
  <r>
    <n v="144"/>
    <n v="140"/>
    <n v="0.97219999999999995"/>
    <n v="4"/>
    <d v="1899-12-30T00:00:12"/>
    <d v="1899-12-30T00:01:53"/>
    <d v="1899-12-30T00:02:05"/>
    <n v="0.84030000000000005"/>
    <n v="9.7219999999999997E-3"/>
    <n v="8.4030000000000007E-3"/>
    <n v="4"/>
    <n v="2.7777777777777776E-2"/>
    <n v="0.97222222222222221"/>
  </r>
  <r>
    <n v="105"/>
    <n v="103"/>
    <n v="0.98099999999999998"/>
    <n v="2"/>
    <d v="1899-12-30T00:00:17"/>
    <d v="1899-12-30T00:01:55"/>
    <d v="1899-12-30T00:02:01"/>
    <n v="0.76190000000000002"/>
    <n v="9.8099999999999993E-3"/>
    <n v="7.6189999999999999E-3"/>
    <n v="2"/>
    <n v="1.9047619047619049E-2"/>
    <n v="0.98095238095238091"/>
  </r>
  <r>
    <n v="36"/>
    <n v="35"/>
    <n v="0.97219999999999995"/>
    <n v="1"/>
    <d v="1899-12-30T00:00:16"/>
    <d v="1899-12-30T00:01:54"/>
    <d v="1899-12-30T00:01:31"/>
    <n v="0.77139999999999997"/>
    <n v="9.7219999999999997E-3"/>
    <n v="7.7139999999999995E-3"/>
    <n v="1"/>
    <n v="2.7777777777777776E-2"/>
    <n v="0.97222222222222221"/>
  </r>
  <r>
    <n v="61"/>
    <n v="57"/>
    <n v="0.93440000000000001"/>
    <n v="4"/>
    <d v="1899-12-30T00:00:04"/>
    <d v="1899-12-30T00:02:00"/>
    <d v="1899-12-30T00:03:41"/>
    <n v="0.91669999999999996"/>
    <n v="9.3439999999999999E-3"/>
    <n v="9.1669999999999998E-3"/>
    <n v="4"/>
    <n v="6.5573770491803282E-2"/>
    <n v="0.93442622950819676"/>
  </r>
  <r>
    <n v="60"/>
    <n v="58"/>
    <n v="0.9667"/>
    <n v="2"/>
    <d v="1899-12-30T00:00:11"/>
    <d v="1899-12-30T00:02:08"/>
    <d v="1899-12-30T00:01:34"/>
    <n v="0.85"/>
    <n v="9.6670000000000002E-3"/>
    <n v="8.5000000000000006E-3"/>
    <n v="2"/>
    <n v="3.3333333333333333E-2"/>
    <n v="0.96666666666666667"/>
  </r>
  <r>
    <n v="18"/>
    <n v="17"/>
    <n v="0.94440000000000002"/>
    <n v="1"/>
    <d v="1899-12-30T00:00:05"/>
    <d v="1899-12-30T00:02:39"/>
    <d v="1899-12-30T00:00:20"/>
    <n v="1"/>
    <n v="9.444000000000001E-3"/>
    <n v="0.01"/>
    <n v="1"/>
    <n v="5.5555555555555552E-2"/>
    <n v="0.94444444444444442"/>
  </r>
  <r>
    <n v="206"/>
    <n v="202"/>
    <n v="0.98060000000000003"/>
    <n v="4"/>
    <d v="1899-12-30T00:00:09"/>
    <d v="1899-12-30T00:01:54"/>
    <d v="1899-12-30T00:01:10"/>
    <n v="0.89270000000000005"/>
    <n v="9.8060000000000005E-3"/>
    <n v="8.9270000000000009E-3"/>
    <n v="4"/>
    <n v="1.9417475728155338E-2"/>
    <n v="0.98058252427184467"/>
  </r>
  <r>
    <n v="194"/>
    <n v="193"/>
    <n v="0.99480000000000002"/>
    <n v="1"/>
    <d v="1899-12-30T00:00:11"/>
    <d v="1899-12-30T00:01:57"/>
    <d v="1899-12-30T00:01:34"/>
    <n v="0.84970000000000001"/>
    <n v="9.9480000000000002E-3"/>
    <n v="8.4969999999999993E-3"/>
    <n v="1"/>
    <n v="5.1546391752577319E-3"/>
    <n v="0.99484536082474229"/>
  </r>
  <r>
    <n v="206"/>
    <n v="200"/>
    <n v="0.97089999999999999"/>
    <n v="6"/>
    <d v="1899-12-30T00:00:10"/>
    <d v="1899-12-30T00:02:08"/>
    <d v="1899-12-30T00:02:00"/>
    <n v="0.86270000000000002"/>
    <n v="9.7090000000000006E-3"/>
    <n v="8.627000000000001E-3"/>
    <n v="6"/>
    <n v="2.9126213592233011E-2"/>
    <n v="0.970873786407767"/>
  </r>
  <r>
    <n v="53"/>
    <n v="53"/>
    <n v="1"/>
    <n v="0"/>
    <d v="1899-12-30T00:00:18"/>
    <d v="1899-12-30T00:02:08"/>
    <d v="1899-12-30T00:02:10"/>
    <n v="0.77359999999999995"/>
    <n v="0.01"/>
    <n v="7.7359999999999998E-3"/>
    <n v="0"/>
    <n v="0"/>
    <n v="1"/>
  </r>
  <r>
    <n v="147"/>
    <n v="145"/>
    <n v="0.98640000000000005"/>
    <n v="2"/>
    <d v="1899-12-30T00:00:09"/>
    <d v="1899-12-30T00:01:50"/>
    <d v="1899-12-30T00:01:24"/>
    <n v="0.88360000000000005"/>
    <n v="9.8640000000000012E-3"/>
    <n v="8.8360000000000001E-3"/>
    <n v="2"/>
    <n v="1.3605442176870748E-2"/>
    <n v="0.98639455782312924"/>
  </r>
  <r>
    <n v="201"/>
    <n v="197"/>
    <n v="0.98009999999999997"/>
    <n v="4"/>
    <d v="1899-12-30T00:00:09"/>
    <d v="1899-12-30T00:01:59"/>
    <d v="1899-12-30T00:02:23"/>
    <n v="0.90949999999999998"/>
    <n v="9.8009999999999989E-3"/>
    <n v="9.0949999999999989E-3"/>
    <n v="4"/>
    <n v="1.9900497512437811E-2"/>
    <n v="0.98009950248756217"/>
  </r>
  <r>
    <n v="202"/>
    <n v="198"/>
    <n v="0.98019999999999996"/>
    <n v="4"/>
    <d v="1899-12-30T00:00:10"/>
    <d v="1899-12-30T00:02:09"/>
    <d v="1899-12-30T00:01:11"/>
    <n v="0.88500000000000001"/>
    <n v="9.8019999999999999E-3"/>
    <n v="8.8500000000000002E-3"/>
    <n v="4"/>
    <n v="1.9801980198019802E-2"/>
    <n v="0.98019801980198018"/>
  </r>
  <r>
    <n v="226"/>
    <n v="219"/>
    <n v="0.96899999999999997"/>
    <n v="7"/>
    <d v="1899-12-30T00:00:10"/>
    <d v="1899-12-30T00:02:12"/>
    <d v="1899-12-30T00:02:45"/>
    <n v="0.88"/>
    <n v="9.689999999999999E-3"/>
    <n v="8.8000000000000005E-3"/>
    <n v="7"/>
    <n v="3.0973451327433628E-2"/>
    <n v="0.96902654867256632"/>
  </r>
  <r>
    <n v="167"/>
    <n v="163"/>
    <n v="0.97599999999999998"/>
    <n v="4"/>
    <d v="1899-12-30T00:00:07"/>
    <d v="1899-12-30T00:02:09"/>
    <d v="1899-12-30T00:01:50"/>
    <n v="0.92769999999999997"/>
    <n v="9.7599999999999996E-3"/>
    <n v="9.2770000000000005E-3"/>
    <n v="4"/>
    <n v="2.3952095808383235E-2"/>
    <n v="0.9760479041916168"/>
  </r>
  <r>
    <n v="164"/>
    <n v="164"/>
    <n v="1"/>
    <n v="0"/>
    <d v="1899-12-30T00:00:11"/>
    <d v="1899-12-30T00:02:17"/>
    <d v="1899-12-30T00:01:45"/>
    <n v="0.89019999999999999"/>
    <n v="0.01"/>
    <n v="8.9020000000000002E-3"/>
    <n v="0"/>
    <n v="0"/>
    <n v="1"/>
  </r>
  <r>
    <n v="42"/>
    <n v="41"/>
    <n v="0.97619999999999996"/>
    <n v="1"/>
    <d v="1899-12-30T00:00:11"/>
    <d v="1899-12-30T00:02:09"/>
    <d v="1899-12-30T00:01:18"/>
    <n v="0.878"/>
    <n v="9.7619999999999998E-3"/>
    <n v="8.7799999999999996E-3"/>
    <n v="1"/>
    <n v="2.3809523809523808E-2"/>
    <n v="0.97619047619047616"/>
  </r>
  <r>
    <n v="79"/>
    <n v="78"/>
    <n v="0.98729999999999996"/>
    <n v="1"/>
    <d v="1899-12-30T00:00:07"/>
    <d v="1899-12-30T00:02:23"/>
    <d v="1899-12-30T00:00:48"/>
    <n v="0.94869999999999999"/>
    <n v="9.8729999999999998E-3"/>
    <n v="9.4870000000000006E-3"/>
    <n v="1"/>
    <n v="1.2658227848101266E-2"/>
    <n v="0.98734177215189878"/>
  </r>
  <r>
    <n v="165"/>
    <n v="162"/>
    <n v="0.98180000000000001"/>
    <n v="3"/>
    <d v="1899-12-30T00:00:09"/>
    <d v="1899-12-30T00:02:09"/>
    <d v="1899-12-30T00:01:50"/>
    <n v="0.89700000000000002"/>
    <n v="9.8180000000000003E-3"/>
    <n v="8.9700000000000005E-3"/>
    <n v="3"/>
    <n v="1.8181818181818181E-2"/>
    <n v="0.98181818181818181"/>
  </r>
  <r>
    <n v="180"/>
    <n v="174"/>
    <n v="0.9667"/>
    <n v="6"/>
    <d v="1899-12-30T00:00:16"/>
    <d v="1899-12-30T00:02:16"/>
    <d v="1899-12-30T00:01:43"/>
    <n v="0.77780000000000005"/>
    <n v="9.6670000000000002E-3"/>
    <n v="7.7780000000000002E-3"/>
    <n v="6"/>
    <n v="3.3333333333333333E-2"/>
    <n v="0.96666666666666667"/>
  </r>
  <r>
    <n v="179"/>
    <n v="176"/>
    <n v="0.98319999999999996"/>
    <n v="3"/>
    <d v="1899-12-30T00:00:10"/>
    <d v="1899-12-30T00:02:26"/>
    <d v="1899-12-30T00:01:50"/>
    <n v="0.87639999999999996"/>
    <n v="9.8320000000000005E-3"/>
    <n v="8.7639999999999992E-3"/>
    <n v="3"/>
    <n v="1.6759776536312849E-2"/>
    <n v="0.98324022346368711"/>
  </r>
  <r>
    <n v="217"/>
    <n v="215"/>
    <n v="0.99080000000000001"/>
    <n v="2"/>
    <d v="1899-12-30T00:00:08"/>
    <d v="1899-12-30T00:02:08"/>
    <d v="1899-12-30T00:02:07"/>
    <n v="0.91710000000000003"/>
    <n v="9.9080000000000001E-3"/>
    <n v="9.1710000000000003E-3"/>
    <n v="2"/>
    <n v="9.2165898617511521E-3"/>
    <n v="0.99078341013824889"/>
  </r>
  <r>
    <n v="171"/>
    <n v="167"/>
    <n v="0.97660000000000002"/>
    <n v="4"/>
    <d v="1899-12-30T00:00:10"/>
    <d v="1899-12-30T00:02:15"/>
    <d v="1899-12-30T00:01:50"/>
    <n v="0.86470000000000002"/>
    <n v="9.7660000000000004E-3"/>
    <n v="8.6470000000000002E-3"/>
    <n v="4"/>
    <n v="2.3391812865497075E-2"/>
    <n v="0.97660818713450293"/>
  </r>
  <r>
    <n v="37"/>
    <n v="37"/>
    <n v="1"/>
    <n v="0"/>
    <d v="1899-12-30T00:00:09"/>
    <d v="1899-12-30T00:01:57"/>
    <d v="1899-12-30T00:01:22"/>
    <n v="0.8649"/>
    <n v="0.01"/>
    <n v="8.6490000000000004E-3"/>
    <n v="0"/>
    <n v="0"/>
    <n v="1"/>
  </r>
  <r>
    <n v="215"/>
    <n v="206"/>
    <n v="0.95809999999999995"/>
    <n v="9"/>
    <d v="1899-12-30T00:00:18"/>
    <d v="1899-12-30T00:02:09"/>
    <d v="1899-12-30T00:02:45"/>
    <n v="0.8095"/>
    <n v="9.5809999999999992E-3"/>
    <n v="8.0949999999999998E-3"/>
    <n v="9"/>
    <n v="4.1860465116279069E-2"/>
    <n v="0.95813953488372094"/>
  </r>
  <r>
    <n v="218"/>
    <n v="212"/>
    <n v="0.97250000000000003"/>
    <n v="6"/>
    <d v="1899-12-30T00:00:16"/>
    <d v="1899-12-30T00:02:17"/>
    <d v="1899-12-30T00:02:09"/>
    <n v="0.84260000000000002"/>
    <n v="9.725000000000001E-3"/>
    <n v="8.4259999999999995E-3"/>
    <n v="6"/>
    <n v="2.7522935779816515E-2"/>
    <n v="0.97247706422018354"/>
  </r>
  <r>
    <n v="205"/>
    <n v="202"/>
    <n v="0.98540000000000005"/>
    <n v="3"/>
    <d v="1899-12-30T00:00:11"/>
    <d v="1899-12-30T00:02:25"/>
    <d v="1899-12-30T00:01:37"/>
    <n v="0.90690000000000004"/>
    <n v="9.8539999999999999E-3"/>
    <n v="9.0690000000000007E-3"/>
    <n v="3"/>
    <n v="1.4634146341463415E-2"/>
    <n v="0.98536585365853657"/>
  </r>
  <r>
    <n v="195"/>
    <n v="190"/>
    <n v="0.97440000000000004"/>
    <n v="5"/>
    <d v="1899-12-30T00:00:12"/>
    <d v="1899-12-30T00:02:22"/>
    <d v="1899-12-30T00:01:14"/>
    <n v="0.8901"/>
    <n v="9.7440000000000009E-3"/>
    <n v="8.9009999999999992E-3"/>
    <n v="5"/>
    <n v="2.564102564102564E-2"/>
    <n v="0.97435897435897434"/>
  </r>
  <r>
    <n v="181"/>
    <n v="176"/>
    <n v="0.97240000000000004"/>
    <n v="5"/>
    <d v="1899-12-30T00:00:13"/>
    <d v="1899-12-30T00:02:13"/>
    <d v="1899-12-30T00:01:16"/>
    <n v="0.82220000000000004"/>
    <n v="9.724E-3"/>
    <n v="8.2220000000000001E-3"/>
    <n v="5"/>
    <n v="2.7624309392265192E-2"/>
    <n v="0.97237569060773477"/>
  </r>
  <r>
    <n v="212"/>
    <n v="206"/>
    <n v="0.97170000000000001"/>
    <n v="6"/>
    <d v="1899-12-30T00:00:11"/>
    <d v="1899-12-30T00:02:20"/>
    <d v="1899-12-30T00:01:49"/>
    <n v="0.89419999999999999"/>
    <n v="9.7169999999999999E-3"/>
    <n v="8.9420000000000003E-3"/>
    <n v="6"/>
    <n v="2.8301886792452831E-2"/>
    <n v="0.97169811320754718"/>
  </r>
  <r>
    <n v="33"/>
    <n v="32"/>
    <n v="0.96970000000000001"/>
    <n v="1"/>
    <d v="1899-12-30T00:00:08"/>
    <d v="1899-12-30T00:02:28"/>
    <d v="1899-12-30T00:00:55"/>
    <n v="0.90910000000000002"/>
    <n v="9.6970000000000008E-3"/>
    <n v="9.0910000000000001E-3"/>
    <n v="1"/>
    <n v="3.0303030303030304E-2"/>
    <n v="0.96969696969696972"/>
  </r>
  <r>
    <n v="298"/>
    <n v="287"/>
    <n v="0.96309999999999996"/>
    <n v="11"/>
    <d v="1899-12-30T00:00:13"/>
    <d v="1899-12-30T00:01:35"/>
    <d v="1899-12-30T00:02:51"/>
    <n v="0.83330000000000004"/>
    <n v="9.6309999999999989E-3"/>
    <n v="8.3330000000000001E-3"/>
    <n v="11"/>
    <n v="3.6912751677852351E-2"/>
    <n v="0.96308724832214765"/>
  </r>
  <r>
    <n v="158"/>
    <n v="156"/>
    <n v="0.98729999999999996"/>
    <n v="2"/>
    <d v="1899-12-30T00:00:11"/>
    <d v="1899-12-30T00:02:23"/>
    <d v="1899-12-30T00:01:32"/>
    <n v="0.89810000000000001"/>
    <n v="9.8729999999999998E-3"/>
    <n v="8.9809999999999994E-3"/>
    <n v="2"/>
    <n v="1.2658227848101266E-2"/>
    <n v="0.98734177215189878"/>
  </r>
  <r>
    <n v="156"/>
    <n v="154"/>
    <n v="0.98719999999999997"/>
    <n v="2"/>
    <d v="1899-12-30T00:00:12"/>
    <d v="1899-12-30T00:02:13"/>
    <d v="1899-12-30T00:01:01"/>
    <n v="0.85809999999999997"/>
    <n v="9.8719999999999988E-3"/>
    <n v="8.5810000000000001E-3"/>
    <n v="2"/>
    <n v="1.282051282051282E-2"/>
    <n v="0.98717948717948723"/>
  </r>
  <r>
    <n v="163"/>
    <n v="163"/>
    <n v="1"/>
    <n v="0"/>
    <d v="1899-12-30T00:00:10"/>
    <d v="1899-12-30T00:02:02"/>
    <d v="1899-12-30T00:02:46"/>
    <n v="0.9264"/>
    <n v="0.01"/>
    <n v="9.2639999999999997E-3"/>
    <n v="0"/>
    <n v="0"/>
    <n v="1"/>
  </r>
  <r>
    <n v="98"/>
    <n v="98"/>
    <n v="1"/>
    <n v="0"/>
    <d v="1899-12-30T00:00:07"/>
    <d v="1899-12-30T00:02:10"/>
    <d v="1899-12-30T00:01:10"/>
    <n v="0.93879999999999997"/>
    <n v="0.01"/>
    <n v="9.3880000000000005E-3"/>
    <n v="0"/>
    <n v="0"/>
    <n v="1"/>
  </r>
  <r>
    <n v="255"/>
    <n v="249"/>
    <n v="0.97650000000000003"/>
    <n v="6"/>
    <d v="1899-12-30T00:00:15"/>
    <d v="1899-12-30T00:02:19"/>
    <d v="1899-12-30T00:05:31"/>
    <n v="0.82679999999999998"/>
    <n v="9.7650000000000011E-3"/>
    <n v="8.2679999999999993E-3"/>
    <n v="6"/>
    <n v="2.3529411764705882E-2"/>
    <n v="0.97647058823529409"/>
  </r>
  <r>
    <n v="50"/>
    <n v="49"/>
    <n v="0.98"/>
    <n v="1"/>
    <d v="1899-12-30T00:00:08"/>
    <d v="1899-12-30T00:02:02"/>
    <d v="1899-12-30T00:00:57"/>
    <n v="0.92"/>
    <n v="9.7999999999999997E-3"/>
    <n v="9.1999999999999998E-3"/>
    <n v="1"/>
    <n v="0.02"/>
    <n v="0.98"/>
  </r>
  <r>
    <n v="290"/>
    <n v="289"/>
    <n v="0.99660000000000004"/>
    <n v="1"/>
    <d v="1899-12-30T00:00:12"/>
    <d v="1899-12-30T00:02:01"/>
    <d v="1899-12-30T00:01:10"/>
    <n v="0.89270000000000005"/>
    <n v="9.9660000000000009E-3"/>
    <n v="8.9270000000000009E-3"/>
    <n v="1"/>
    <n v="3.4482758620689655E-3"/>
    <n v="0.99655172413793103"/>
  </r>
  <r>
    <n v="296"/>
    <n v="281"/>
    <n v="0.94930000000000003"/>
    <n v="15"/>
    <d v="1899-12-30T00:00:22"/>
    <d v="1899-12-30T00:02:08"/>
    <d v="1899-12-30T00:04:30"/>
    <n v="0.73540000000000005"/>
    <n v="9.4929999999999997E-3"/>
    <n v="7.3540000000000003E-3"/>
    <n v="15"/>
    <n v="5.0675675675675678E-2"/>
    <n v="0.94932432432432434"/>
  </r>
  <r>
    <n v="260"/>
    <n v="257"/>
    <n v="0.98850000000000005"/>
    <n v="3"/>
    <d v="1899-12-30T00:00:17"/>
    <d v="1899-12-30T00:02:13"/>
    <d v="1899-12-30T00:01:20"/>
    <n v="0.87160000000000004"/>
    <n v="9.8849999999999997E-3"/>
    <n v="8.7159999999999998E-3"/>
    <n v="3"/>
    <n v="1.1538461538461539E-2"/>
    <n v="0.9884615384615385"/>
  </r>
  <r>
    <n v="201"/>
    <n v="193"/>
    <n v="0.96020000000000005"/>
    <n v="8"/>
    <d v="1899-12-30T00:00:19"/>
    <d v="1899-12-30T00:02:23"/>
    <d v="1899-12-30T00:02:02"/>
    <n v="0.76770000000000005"/>
    <n v="9.6020000000000012E-3"/>
    <n v="7.6770000000000007E-3"/>
    <n v="8"/>
    <n v="3.9800995024875621E-2"/>
    <n v="0.96019900497512434"/>
  </r>
  <r>
    <n v="132"/>
    <n v="131"/>
    <n v="0.99239999999999995"/>
    <n v="1"/>
    <d v="1899-12-30T00:00:17"/>
    <d v="1899-12-30T00:02:13"/>
    <d v="1899-12-30T00:01:30"/>
    <n v="0.76519999999999999"/>
    <n v="9.9239999999999988E-3"/>
    <n v="7.6519999999999999E-3"/>
    <n v="1"/>
    <n v="7.575757575757576E-3"/>
    <n v="0.99242424242424243"/>
  </r>
  <r>
    <n v="167"/>
    <n v="165"/>
    <n v="0.98799999999999999"/>
    <n v="2"/>
    <d v="1899-12-30T00:00:09"/>
    <d v="1899-12-30T00:02:06"/>
    <d v="1899-12-30T00:00:57"/>
    <n v="0.92120000000000002"/>
    <n v="9.8799999999999999E-3"/>
    <n v="9.2119999999999997E-3"/>
    <n v="2"/>
    <n v="1.1976047904191617E-2"/>
    <n v="0.9880239520958084"/>
  </r>
  <r>
    <n v="85"/>
    <n v="79"/>
    <n v="0.9294"/>
    <n v="6"/>
    <d v="1899-12-30T00:00:18"/>
    <d v="1899-12-30T00:02:25"/>
    <d v="1899-12-30T00:01:53"/>
    <n v="0.77380000000000004"/>
    <n v="9.2940000000000002E-3"/>
    <n v="7.7380000000000001E-3"/>
    <n v="6"/>
    <n v="7.0588235294117646E-2"/>
    <n v="0.92941176470588238"/>
  </r>
  <r>
    <n v="244"/>
    <n v="236"/>
    <n v="0.96719999999999995"/>
    <n v="8"/>
    <d v="1899-12-30T00:00:21"/>
    <d v="1899-12-30T00:02:29"/>
    <d v="1899-12-30T00:01:56"/>
    <n v="0.75619999999999998"/>
    <n v="9.672E-3"/>
    <n v="7.5620000000000001E-3"/>
    <n v="8"/>
    <n v="3.2786885245901641E-2"/>
    <n v="0.96721311475409832"/>
  </r>
  <r>
    <n v="186"/>
    <n v="182"/>
    <n v="0.97850000000000004"/>
    <n v="4"/>
    <d v="1899-12-30T00:00:14"/>
    <d v="1899-12-30T00:02:13"/>
    <d v="1899-12-30T00:01:38"/>
    <n v="0.7903"/>
    <n v="9.7850000000000003E-3"/>
    <n v="7.9030000000000003E-3"/>
    <n v="4"/>
    <n v="2.1505376344086023E-2"/>
    <n v="0.978494623655914"/>
  </r>
  <r>
    <n v="278"/>
    <n v="264"/>
    <n v="0.9496"/>
    <n v="14"/>
    <d v="1899-12-30T00:00:19"/>
    <d v="1899-12-30T00:02:20"/>
    <d v="1899-12-30T00:02:10"/>
    <n v="0.76839999999999997"/>
    <n v="9.4959999999999992E-3"/>
    <n v="7.6839999999999999E-3"/>
    <n v="14"/>
    <n v="5.0359712230215826E-2"/>
    <n v="0.94964028776978415"/>
  </r>
  <r>
    <n v="272"/>
    <n v="268"/>
    <n v="0.98529999999999995"/>
    <n v="4"/>
    <d v="1899-12-30T00:00:15"/>
    <d v="1899-12-30T00:02:30"/>
    <d v="1899-12-30T00:01:45"/>
    <n v="0.8"/>
    <n v="9.8529999999999989E-3"/>
    <n v="8.0000000000000002E-3"/>
    <n v="4"/>
    <n v="1.4705882352941176E-2"/>
    <n v="0.98529411764705888"/>
  </r>
  <r>
    <n v="218"/>
    <n v="206"/>
    <n v="0.94499999999999995"/>
    <n v="12"/>
    <d v="1899-12-30T00:00:25"/>
    <d v="1899-12-30T00:02:21"/>
    <d v="1899-12-30T00:03:41"/>
    <n v="0.67279999999999995"/>
    <n v="9.4500000000000001E-3"/>
    <n v="6.7279999999999996E-3"/>
    <n v="12"/>
    <n v="5.5045871559633031E-2"/>
    <n v="0.94495412844036697"/>
  </r>
  <r>
    <n v="152"/>
    <n v="148"/>
    <n v="0.97370000000000001"/>
    <n v="4"/>
    <d v="1899-12-30T00:00:14"/>
    <d v="1899-12-30T00:02:18"/>
    <d v="1899-12-30T00:01:25"/>
    <n v="0.83330000000000004"/>
    <n v="9.7370000000000009E-3"/>
    <n v="8.3330000000000001E-3"/>
    <n v="4"/>
    <n v="2.6315789473684209E-2"/>
    <n v="0.97368421052631582"/>
  </r>
  <r>
    <n v="48"/>
    <n v="43"/>
    <n v="0.89580000000000004"/>
    <n v="5"/>
    <d v="1899-12-30T00:00:22"/>
    <d v="1899-12-30T00:02:01"/>
    <d v="1899-12-30T00:01:21"/>
    <n v="0.69569999999999999"/>
    <n v="8.9580000000000007E-3"/>
    <n v="6.9569999999999996E-3"/>
    <n v="5"/>
    <n v="0.10416666666666667"/>
    <n v="0.89583333333333337"/>
  </r>
  <r>
    <n v="186"/>
    <n v="181"/>
    <n v="0.97309999999999997"/>
    <n v="5"/>
    <d v="1899-12-30T00:00:14"/>
    <d v="1899-12-30T00:02:20"/>
    <d v="1899-12-30T00:01:49"/>
    <n v="0.84950000000000003"/>
    <n v="9.7310000000000001E-3"/>
    <n v="8.4950000000000008E-3"/>
    <n v="5"/>
    <n v="2.6881720430107527E-2"/>
    <n v="0.9731182795698925"/>
  </r>
  <r>
    <n v="182"/>
    <n v="180"/>
    <n v="0.98899999999999999"/>
    <n v="2"/>
    <d v="1899-12-30T00:00:08"/>
    <d v="1899-12-30T00:02:10"/>
    <d v="1899-12-30T00:00:58"/>
    <n v="0.93369999999999997"/>
    <n v="9.8899999999999995E-3"/>
    <n v="9.3369999999999998E-3"/>
    <n v="2"/>
    <n v="1.098901098901099E-2"/>
    <n v="0.98901098901098905"/>
  </r>
  <r>
    <n v="192"/>
    <n v="188"/>
    <n v="0.97919999999999996"/>
    <n v="4"/>
    <d v="1899-12-30T00:00:20"/>
    <d v="1899-12-30T00:01:58"/>
    <d v="1899-12-30T00:01:56"/>
    <n v="0.76190000000000002"/>
    <n v="9.7920000000000004E-3"/>
    <n v="7.6189999999999999E-3"/>
    <n v="4"/>
    <n v="2.0833333333333332E-2"/>
    <n v="0.97916666666666663"/>
  </r>
  <r>
    <n v="155"/>
    <n v="148"/>
    <n v="0.95479999999999998"/>
    <n v="7"/>
    <d v="1899-12-30T00:00:14"/>
    <d v="1899-12-30T00:02:24"/>
    <d v="1899-12-30T00:02:18"/>
    <n v="0.85329999999999995"/>
    <n v="9.5479999999999992E-3"/>
    <n v="8.5329999999999989E-3"/>
    <n v="7"/>
    <n v="4.5161290322580643E-2"/>
    <n v="0.95483870967741935"/>
  </r>
  <r>
    <n v="144"/>
    <n v="142"/>
    <n v="0.98609999999999998"/>
    <n v="2"/>
    <d v="1899-12-30T00:00:11"/>
    <d v="1899-12-30T00:02:19"/>
    <d v="1899-12-30T00:01:05"/>
    <n v="0.90210000000000001"/>
    <n v="9.861E-3"/>
    <n v="9.0209999999999995E-3"/>
    <n v="2"/>
    <n v="1.3888888888888888E-2"/>
    <n v="0.98611111111111116"/>
  </r>
  <r>
    <n v="164"/>
    <n v="162"/>
    <n v="0.98780000000000001"/>
    <n v="2"/>
    <d v="1899-12-30T00:00:12"/>
    <d v="1899-12-30T00:02:35"/>
    <d v="1899-12-30T00:01:50"/>
    <n v="0.85370000000000001"/>
    <n v="9.8779999999999996E-3"/>
    <n v="8.5369999999999994E-3"/>
    <n v="2"/>
    <n v="1.2195121951219513E-2"/>
    <n v="0.98780487804878048"/>
  </r>
  <r>
    <n v="27"/>
    <n v="26"/>
    <n v="0.96299999999999997"/>
    <n v="1"/>
    <d v="1899-12-30T00:00:11"/>
    <d v="1899-12-30T00:02:04"/>
    <d v="1899-12-30T00:01:17"/>
    <n v="0.81479999999999997"/>
    <n v="9.6299999999999997E-3"/>
    <n v="8.147999999999999E-3"/>
    <n v="1"/>
    <n v="3.7037037037037035E-2"/>
    <n v="0.96296296296296291"/>
  </r>
  <r>
    <n v="177"/>
    <n v="175"/>
    <n v="0.98870000000000002"/>
    <n v="2"/>
    <d v="1899-12-30T00:00:11"/>
    <d v="1899-12-30T00:02:19"/>
    <d v="1899-12-30T00:01:35"/>
    <n v="0.90859999999999996"/>
    <n v="9.887E-3"/>
    <n v="9.0860000000000003E-3"/>
    <n v="2"/>
    <n v="1.1299435028248588E-2"/>
    <n v="0.98870056497175141"/>
  </r>
  <r>
    <n v="134"/>
    <n v="131"/>
    <n v="0.97760000000000002"/>
    <n v="3"/>
    <d v="1899-12-30T00:00:14"/>
    <d v="1899-12-30T00:02:23"/>
    <d v="1899-12-30T00:01:39"/>
    <n v="0.81340000000000001"/>
    <n v="9.776E-3"/>
    <n v="8.1340000000000006E-3"/>
    <n v="3"/>
    <n v="2.2388059701492536E-2"/>
    <n v="0.97761194029850751"/>
  </r>
  <r>
    <n v="125"/>
    <n v="120"/>
    <n v="0.96"/>
    <n v="5"/>
    <d v="1899-12-30T00:00:14"/>
    <d v="1899-12-30T00:02:20"/>
    <d v="1899-12-30T00:02:52"/>
    <n v="0.84550000000000003"/>
    <n v="9.5999999999999992E-3"/>
    <n v="8.4550000000000007E-3"/>
    <n v="5"/>
    <n v="0.04"/>
    <n v="0.96"/>
  </r>
  <r>
    <n v="167"/>
    <n v="163"/>
    <n v="0.97599999999999998"/>
    <n v="4"/>
    <d v="1899-12-30T00:00:16"/>
    <d v="1899-12-30T00:02:24"/>
    <d v="1899-12-30T00:01:12"/>
    <n v="0.81210000000000004"/>
    <n v="9.7599999999999996E-3"/>
    <n v="8.1209999999999997E-3"/>
    <n v="4"/>
    <n v="2.3952095808383235E-2"/>
    <n v="0.9760479041916168"/>
  </r>
  <r>
    <n v="169"/>
    <n v="167"/>
    <n v="0.98819999999999997"/>
    <n v="2"/>
    <d v="1899-12-30T00:00:09"/>
    <d v="1899-12-30T00:02:14"/>
    <d v="1899-12-30T00:01:44"/>
    <n v="0.89939999999999998"/>
    <n v="9.8820000000000002E-3"/>
    <n v="8.9940000000000003E-3"/>
    <n v="2"/>
    <n v="1.1834319526627219E-2"/>
    <n v="0.98816568047337283"/>
  </r>
  <r>
    <n v="162"/>
    <n v="160"/>
    <n v="0.98770000000000002"/>
    <n v="2"/>
    <d v="1899-12-30T00:00:16"/>
    <d v="1899-12-30T00:02:15"/>
    <d v="1899-12-30T00:01:31"/>
    <n v="0.83130000000000004"/>
    <n v="9.8770000000000004E-3"/>
    <n v="8.3130000000000009E-3"/>
    <n v="2"/>
    <n v="1.2345679012345678E-2"/>
    <n v="0.98765432098765427"/>
  </r>
  <r>
    <n v="25"/>
    <n v="25"/>
    <n v="1"/>
    <n v="0"/>
    <d v="1899-12-30T00:00:16"/>
    <d v="1899-12-30T00:02:35"/>
    <d v="1899-12-30T00:00:58"/>
    <n v="0.76"/>
    <n v="0.01"/>
    <n v="7.6E-3"/>
    <n v="0"/>
    <n v="0"/>
    <n v="1"/>
  </r>
  <r>
    <n v="157"/>
    <n v="146"/>
    <n v="0.92989999999999995"/>
    <n v="11"/>
    <d v="1899-12-30T00:00:17"/>
    <d v="1899-12-30T00:02:17"/>
    <d v="1899-12-30T00:01:51"/>
    <n v="0.7974"/>
    <n v="9.299E-3"/>
    <n v="7.9740000000000002E-3"/>
    <n v="11"/>
    <n v="7.0063694267515922E-2"/>
    <n v="0.92993630573248409"/>
  </r>
  <r>
    <n v="166"/>
    <n v="154"/>
    <n v="0.92769999999999997"/>
    <n v="12"/>
    <d v="1899-12-30T00:00:25"/>
    <d v="1899-12-30T00:02:18"/>
    <d v="1899-12-30T00:03:39"/>
    <n v="0.66259999999999997"/>
    <n v="9.2770000000000005E-3"/>
    <n v="6.6259999999999999E-3"/>
    <n v="12"/>
    <n v="7.2289156626506021E-2"/>
    <n v="0.92771084337349397"/>
  </r>
  <r>
    <n v="58"/>
    <n v="55"/>
    <n v="0.94830000000000003"/>
    <n v="3"/>
    <d v="1899-12-30T00:00:16"/>
    <d v="1899-12-30T00:02:11"/>
    <d v="1899-12-30T00:02:45"/>
    <n v="0.74139999999999995"/>
    <n v="9.4830000000000001E-3"/>
    <n v="7.4139999999999996E-3"/>
    <n v="3"/>
    <n v="5.1724137931034482E-2"/>
    <n v="0.94827586206896552"/>
  </r>
  <r>
    <n v="75"/>
    <n v="74"/>
    <n v="0.98670000000000002"/>
    <n v="1"/>
    <d v="1899-12-30T00:00:15"/>
    <d v="1899-12-30T00:02:13"/>
    <d v="1899-12-30T00:03:18"/>
    <n v="0.84"/>
    <n v="9.8670000000000008E-3"/>
    <n v="8.3999999999999995E-3"/>
    <n v="1"/>
    <n v="1.3333333333333334E-2"/>
    <n v="0.98666666666666669"/>
  </r>
  <r>
    <n v="28"/>
    <n v="28"/>
    <n v="1"/>
    <n v="0"/>
    <d v="1899-12-30T00:00:07"/>
    <d v="1899-12-30T00:02:28"/>
    <d v="1899-12-30T00:00:51"/>
    <n v="0.96430000000000005"/>
    <n v="0.01"/>
    <n v="9.6430000000000005E-3"/>
    <n v="0"/>
    <n v="0"/>
    <n v="1"/>
  </r>
  <r>
    <n v="108"/>
    <n v="107"/>
    <n v="0.99070000000000003"/>
    <n v="1"/>
    <d v="1899-12-30T00:00:09"/>
    <d v="1899-12-30T00:02:11"/>
    <d v="1899-12-30T00:00:59"/>
    <n v="0.94440000000000002"/>
    <n v="9.9070000000000009E-3"/>
    <n v="9.444000000000001E-3"/>
    <n v="1"/>
    <n v="9.2592592592592587E-3"/>
    <n v="0.9907407407407407"/>
  </r>
  <r>
    <n v="21"/>
    <n v="21"/>
    <n v="1"/>
    <n v="0"/>
    <d v="1899-12-30T00:00:07"/>
    <d v="1899-12-30T00:02:58"/>
    <d v="1899-12-30T00:00:58"/>
    <n v="0.95240000000000002"/>
    <n v="0.01"/>
    <n v="9.5239999999999995E-3"/>
    <n v="0"/>
    <n v="0"/>
    <n v="1"/>
  </r>
  <r>
    <n v="189"/>
    <n v="182"/>
    <n v="0.96299999999999997"/>
    <n v="7"/>
    <d v="1899-12-30T00:00:21"/>
    <d v="1899-12-30T00:02:10"/>
    <d v="1899-12-30T00:04:46"/>
    <n v="0.76339999999999997"/>
    <n v="9.6299999999999997E-3"/>
    <n v="7.6339999999999993E-3"/>
    <n v="7"/>
    <n v="3.7037037037037035E-2"/>
    <n v="0.96296296296296291"/>
  </r>
  <r>
    <n v="161"/>
    <n v="155"/>
    <n v="0.9627"/>
    <n v="6"/>
    <d v="1899-12-30T00:00:19"/>
    <d v="1899-12-30T00:02:27"/>
    <d v="1899-12-30T00:01:50"/>
    <n v="0.71879999999999999"/>
    <n v="9.6270000000000001E-3"/>
    <n v="7.1879999999999999E-3"/>
    <n v="6"/>
    <n v="3.7267080745341616E-2"/>
    <n v="0.96273291925465843"/>
  </r>
  <r>
    <n v="155"/>
    <n v="151"/>
    <n v="0.97419999999999995"/>
    <n v="4"/>
    <d v="1899-12-30T00:00:17"/>
    <d v="1899-12-30T00:02:20"/>
    <d v="1899-12-30T00:01:49"/>
    <n v="0.80520000000000003"/>
    <n v="9.7419999999999989E-3"/>
    <n v="8.0520000000000001E-3"/>
    <n v="4"/>
    <n v="2.5806451612903226E-2"/>
    <n v="0.97419354838709682"/>
  </r>
  <r>
    <n v="161"/>
    <n v="150"/>
    <n v="0.93169999999999997"/>
    <n v="11"/>
    <d v="1899-12-30T00:00:17"/>
    <d v="1899-12-30T00:02:22"/>
    <d v="1899-12-30T00:02:45"/>
    <n v="0.75319999999999998"/>
    <n v="9.3169999999999989E-3"/>
    <n v="7.5319999999999996E-3"/>
    <n v="11"/>
    <n v="6.8322981366459631E-2"/>
    <n v="0.93167701863354035"/>
  </r>
  <r>
    <n v="132"/>
    <n v="129"/>
    <n v="0.97729999999999995"/>
    <n v="3"/>
    <d v="1899-12-30T00:00:27"/>
    <d v="1899-12-30T00:02:22"/>
    <d v="1899-12-30T00:02:34"/>
    <n v="0.65149999999999997"/>
    <n v="9.7729999999999987E-3"/>
    <n v="6.515E-3"/>
    <n v="3"/>
    <n v="2.2727272727272728E-2"/>
    <n v="0.97727272727272729"/>
  </r>
  <r>
    <n v="122"/>
    <n v="119"/>
    <n v="0.97540000000000004"/>
    <n v="3"/>
    <d v="1899-12-30T00:00:16"/>
    <d v="1899-12-30T00:02:24"/>
    <d v="1899-12-30T00:01:50"/>
    <n v="0.8"/>
    <n v="9.7540000000000005E-3"/>
    <n v="8.0000000000000002E-3"/>
    <n v="3"/>
    <n v="2.4590163934426229E-2"/>
    <n v="0.97540983606557374"/>
  </r>
  <r>
    <n v="17"/>
    <n v="17"/>
    <n v="1"/>
    <n v="0"/>
    <d v="1899-12-30T00:00:21"/>
    <d v="1899-12-30T00:02:40"/>
    <d v="1899-12-30T00:00:58"/>
    <n v="0.76470000000000005"/>
    <n v="0.01"/>
    <n v="7.6470000000000002E-3"/>
    <n v="0"/>
    <n v="0"/>
    <n v="1"/>
  </r>
  <r>
    <n v="45"/>
    <n v="45"/>
    <n v="1"/>
    <n v="0"/>
    <d v="1899-12-30T00:00:06"/>
    <d v="1899-12-30T00:02:06"/>
    <d v="1899-12-30T00:00:57"/>
    <n v="0.9556"/>
    <n v="0.01"/>
    <n v="9.5560000000000003E-3"/>
    <n v="0"/>
    <n v="0"/>
    <n v="1"/>
  </r>
  <r>
    <n v="177"/>
    <n v="172"/>
    <n v="0.9718"/>
    <n v="5"/>
    <d v="1899-12-30T00:00:20"/>
    <d v="1899-12-30T00:02:23"/>
    <d v="1899-12-30T00:02:51"/>
    <n v="0.76"/>
    <n v="9.7179999999999992E-3"/>
    <n v="7.6E-3"/>
    <n v="5"/>
    <n v="2.8248587570621469E-2"/>
    <n v="0.97175141242937857"/>
  </r>
  <r>
    <n v="133"/>
    <n v="132"/>
    <n v="0.99250000000000005"/>
    <n v="1"/>
    <d v="1899-12-30T00:00:10"/>
    <d v="1899-12-30T00:02:25"/>
    <d v="1899-12-30T00:00:59"/>
    <n v="0.93230000000000002"/>
    <n v="9.9249999999999998E-3"/>
    <n v="9.3229999999999997E-3"/>
    <n v="1"/>
    <n v="7.5187969924812026E-3"/>
    <n v="0.99248120300751874"/>
  </r>
  <r>
    <n v="177"/>
    <n v="167"/>
    <n v="0.94350000000000001"/>
    <n v="10"/>
    <d v="1899-12-30T00:00:15"/>
    <d v="1899-12-30T00:02:22"/>
    <d v="1899-12-30T00:04:35"/>
    <n v="0.83240000000000003"/>
    <n v="9.4350000000000007E-3"/>
    <n v="8.3239999999999998E-3"/>
    <n v="10"/>
    <n v="5.6497175141242938E-2"/>
    <n v="0.94350282485875703"/>
  </r>
  <r>
    <n v="127"/>
    <n v="124"/>
    <n v="0.97640000000000005"/>
    <n v="3"/>
    <d v="1899-12-30T00:00:16"/>
    <d v="1899-12-30T00:02:22"/>
    <d v="1899-12-30T00:01:45"/>
    <n v="0.81889999999999996"/>
    <n v="9.7640000000000001E-3"/>
    <n v="8.1890000000000001E-3"/>
    <n v="3"/>
    <n v="2.3622047244094488E-2"/>
    <n v="0.97637795275590555"/>
  </r>
  <r>
    <n v="148"/>
    <n v="147"/>
    <n v="0.99319999999999997"/>
    <n v="1"/>
    <d v="1899-12-30T00:00:16"/>
    <d v="1899-12-30T00:02:11"/>
    <d v="1899-12-30T00:03:11"/>
    <n v="0.83109999999999995"/>
    <n v="9.9319999999999999E-3"/>
    <n v="8.3109999999999989E-3"/>
    <n v="1"/>
    <n v="6.7567567567567571E-3"/>
    <n v="0.9932432432432432"/>
  </r>
  <r>
    <n v="23"/>
    <n v="23"/>
    <n v="1"/>
    <n v="0"/>
    <d v="1899-12-30T00:00:32"/>
    <d v="1899-12-30T00:02:02"/>
    <d v="1899-12-30T00:02:43"/>
    <n v="0.6522"/>
    <n v="0.01"/>
    <n v="6.522E-3"/>
    <n v="0"/>
    <n v="0"/>
    <n v="1"/>
  </r>
  <r>
    <n v="141"/>
    <n v="134"/>
    <n v="0.95040000000000002"/>
    <n v="7"/>
    <d v="1899-12-30T00:00:24"/>
    <d v="1899-12-30T00:02:38"/>
    <d v="1899-12-30T00:02:29"/>
    <n v="0.72140000000000004"/>
    <n v="9.5040000000000003E-3"/>
    <n v="7.2140000000000008E-3"/>
    <n v="7"/>
    <n v="4.9645390070921988E-2"/>
    <n v="0.95035460992907805"/>
  </r>
  <r>
    <n v="124"/>
    <n v="120"/>
    <n v="0.9677"/>
    <n v="4"/>
    <d v="1899-12-30T00:00:20"/>
    <d v="1899-12-30T00:02:33"/>
    <d v="1899-12-30T00:02:58"/>
    <n v="0.8226"/>
    <n v="9.6769999999999998E-3"/>
    <n v="8.2260000000000007E-3"/>
    <n v="4"/>
    <n v="3.2258064516129031E-2"/>
    <n v="0.967741935483871"/>
  </r>
  <r>
    <n v="165"/>
    <n v="156"/>
    <n v="0.94550000000000001"/>
    <n v="9"/>
    <d v="1899-12-30T00:00:25"/>
    <d v="1899-12-30T00:02:21"/>
    <d v="1899-12-30T00:02:38"/>
    <n v="0.70550000000000002"/>
    <n v="9.4549999999999999E-3"/>
    <n v="7.0550000000000005E-3"/>
    <n v="9"/>
    <n v="5.4545454545454543E-2"/>
    <n v="0.94545454545454544"/>
  </r>
  <r>
    <n v="168"/>
    <n v="166"/>
    <n v="0.98809999999999998"/>
    <n v="2"/>
    <d v="1899-12-30T00:00:21"/>
    <d v="1899-12-30T00:02:33"/>
    <d v="1899-12-30T00:03:43"/>
    <n v="0.80120000000000002"/>
    <n v="9.8809999999999992E-3"/>
    <n v="8.012E-3"/>
    <n v="2"/>
    <n v="1.1904761904761904E-2"/>
    <n v="0.98809523809523814"/>
  </r>
  <r>
    <n v="198"/>
    <n v="188"/>
    <n v="0.94950000000000001"/>
    <n v="10"/>
    <d v="1899-12-30T00:00:22"/>
    <d v="1899-12-30T00:02:32"/>
    <d v="1899-12-30T00:02:45"/>
    <n v="0.70920000000000005"/>
    <n v="9.495E-3"/>
    <n v="7.0920000000000002E-3"/>
    <n v="10"/>
    <n v="5.0505050505050504E-2"/>
    <n v="0.9494949494949495"/>
  </r>
  <r>
    <n v="139"/>
    <n v="133"/>
    <n v="0.95679999999999998"/>
    <n v="6"/>
    <d v="1899-12-30T00:00:17"/>
    <d v="1899-12-30T00:02:40"/>
    <d v="1899-12-30T00:03:03"/>
    <n v="0.80149999999999999"/>
    <n v="9.5680000000000001E-3"/>
    <n v="8.0149999999999996E-3"/>
    <n v="6"/>
    <n v="4.3165467625899283E-2"/>
    <n v="0.95683453237410077"/>
  </r>
  <r>
    <n v="46"/>
    <n v="45"/>
    <n v="0.97829999999999995"/>
    <n v="1"/>
    <d v="1899-12-30T00:00:10"/>
    <d v="1899-12-30T00:02:14"/>
    <d v="1899-12-30T00:01:16"/>
    <n v="0.88890000000000002"/>
    <n v="9.783E-3"/>
    <n v="8.8890000000000011E-3"/>
    <n v="1"/>
    <n v="2.1739130434782608E-2"/>
    <n v="0.97826086956521741"/>
  </r>
  <r>
    <n v="184"/>
    <n v="174"/>
    <n v="0.94569999999999999"/>
    <n v="10"/>
    <d v="1899-12-30T00:00:23"/>
    <d v="1899-12-30T00:02:37"/>
    <d v="1899-12-30T00:04:35"/>
    <n v="0.76539999999999997"/>
    <n v="9.4570000000000001E-3"/>
    <n v="7.6539999999999993E-3"/>
    <n v="10"/>
    <n v="5.434782608695652E-2"/>
    <n v="0.94565217391304346"/>
  </r>
  <r>
    <n v="207"/>
    <n v="190"/>
    <n v="0.91790000000000005"/>
    <n v="17"/>
    <d v="1899-12-30T00:00:21"/>
    <d v="1899-12-30T00:02:23"/>
    <d v="1899-12-30T00:04:06"/>
    <n v="0.71360000000000001"/>
    <n v="9.1789999999999997E-3"/>
    <n v="7.136E-3"/>
    <n v="17"/>
    <n v="8.2125603864734303E-2"/>
    <n v="0.91787439613526567"/>
  </r>
  <r>
    <n v="191"/>
    <n v="180"/>
    <n v="0.94240000000000002"/>
    <n v="11"/>
    <d v="1899-12-30T00:00:21"/>
    <d v="1899-12-30T00:02:32"/>
    <d v="1899-12-30T00:01:53"/>
    <n v="0.76500000000000001"/>
    <n v="9.4240000000000001E-3"/>
    <n v="7.6500000000000005E-3"/>
    <n v="11"/>
    <n v="5.7591623036649213E-2"/>
    <n v="0.94240837696335078"/>
  </r>
  <r>
    <n v="213"/>
    <n v="204"/>
    <n v="0.9577"/>
    <n v="9"/>
    <d v="1899-12-30T00:00:24"/>
    <d v="1899-12-30T00:02:26"/>
    <d v="1899-12-30T00:02:46"/>
    <n v="0.69669999999999999"/>
    <n v="9.5770000000000004E-3"/>
    <n v="6.9670000000000001E-3"/>
    <n v="9"/>
    <n v="4.2253521126760563E-2"/>
    <n v="0.95774647887323938"/>
  </r>
  <r>
    <n v="483"/>
    <n v="451"/>
    <n v="0.93369999999999997"/>
    <n v="32"/>
    <d v="1899-12-30T00:00:16"/>
    <d v="1899-12-30T00:00:57"/>
    <d v="1899-12-30T00:08:45"/>
    <n v="0.79200000000000004"/>
    <n v="9.3369999999999998E-3"/>
    <n v="7.92E-3"/>
    <n v="32"/>
    <n v="6.6252587991718431E-2"/>
    <n v="0.9337474120082816"/>
  </r>
  <r>
    <n v="547"/>
    <n v="526"/>
    <n v="0.96160000000000001"/>
    <n v="21"/>
    <d v="1899-12-30T00:00:19"/>
    <d v="1899-12-30T00:01:21"/>
    <d v="1899-12-30T00:03:54"/>
    <n v="0.81579999999999997"/>
    <n v="9.6159999999999995E-3"/>
    <n v="8.1580000000000003E-3"/>
    <n v="21"/>
    <n v="3.8391224862888484E-2"/>
    <n v="0.96160877513711152"/>
  </r>
  <r>
    <n v="54"/>
    <n v="53"/>
    <n v="0.98150000000000004"/>
    <n v="1"/>
    <d v="1899-12-30T00:00:25"/>
    <d v="1899-12-30T00:02:36"/>
    <d v="1899-12-30T00:01:18"/>
    <n v="0.70369999999999999"/>
    <n v="9.8150000000000008E-3"/>
    <n v="7.0369999999999999E-3"/>
    <n v="1"/>
    <n v="1.8518518518518517E-2"/>
    <n v="0.98148148148148151"/>
  </r>
  <r>
    <n v="275"/>
    <n v="261"/>
    <n v="0.94910000000000005"/>
    <n v="14"/>
    <d v="1899-12-30T00:00:22"/>
    <d v="1899-12-30T00:02:13"/>
    <d v="1899-12-30T00:02:12"/>
    <n v="0.74439999999999995"/>
    <n v="9.4910000000000012E-3"/>
    <n v="7.4439999999999992E-3"/>
    <n v="14"/>
    <n v="5.0909090909090911E-2"/>
    <n v="0.9490909090909091"/>
  </r>
  <r>
    <n v="205"/>
    <n v="195"/>
    <n v="0.95120000000000005"/>
    <n v="10"/>
    <d v="1899-12-30T00:00:24"/>
    <d v="1899-12-30T00:02:34"/>
    <d v="1899-12-30T00:03:00"/>
    <n v="0.70789999999999997"/>
    <n v="9.5119999999999996E-3"/>
    <n v="7.0789999999999994E-3"/>
    <n v="10"/>
    <n v="4.878048780487805E-2"/>
    <n v="0.95121951219512191"/>
  </r>
  <r>
    <n v="80"/>
    <n v="77"/>
    <n v="0.96250000000000002"/>
    <n v="3"/>
    <d v="1899-12-30T00:00:10"/>
    <d v="1899-12-30T00:02:11"/>
    <d v="1899-12-30T00:01:33"/>
    <n v="0.89610000000000001"/>
    <n v="9.6249999999999999E-3"/>
    <n v="8.9610000000000002E-3"/>
    <n v="3"/>
    <n v="3.7499999999999999E-2"/>
    <n v="0.96250000000000002"/>
  </r>
  <r>
    <n v="200"/>
    <n v="195"/>
    <n v="0.97499999999999998"/>
    <n v="5"/>
    <d v="1899-12-30T00:00:21"/>
    <d v="1899-12-30T00:02:30"/>
    <d v="1899-12-30T00:02:48"/>
    <n v="0.75249999999999995"/>
    <n v="9.75E-3"/>
    <n v="7.5249999999999996E-3"/>
    <n v="5"/>
    <n v="2.5000000000000001E-2"/>
    <n v="0.97499999999999998"/>
  </r>
  <r>
    <n v="154"/>
    <n v="150"/>
    <n v="0.97399999999999998"/>
    <n v="4"/>
    <d v="1899-12-30T00:00:21"/>
    <d v="1899-12-30T00:02:29"/>
    <d v="1899-12-30T00:02:45"/>
    <n v="0.74339999999999995"/>
    <n v="9.7400000000000004E-3"/>
    <n v="7.4339999999999996E-3"/>
    <n v="4"/>
    <n v="2.5974025974025976E-2"/>
    <n v="0.97402597402597402"/>
  </r>
  <r>
    <n v="163"/>
    <n v="155"/>
    <n v="0.95089999999999997"/>
    <n v="8"/>
    <d v="1899-12-30T00:00:23"/>
    <d v="1899-12-30T00:02:18"/>
    <d v="1899-12-30T00:02:26"/>
    <n v="0.74519999999999997"/>
    <n v="9.5090000000000001E-3"/>
    <n v="7.4519999999999994E-3"/>
    <n v="8"/>
    <n v="4.9079754601226995E-2"/>
    <n v="0.95092024539877296"/>
  </r>
  <r>
    <n v="12"/>
    <n v="12"/>
    <n v="1"/>
    <n v="0"/>
    <d v="1899-12-30T00:00:25"/>
    <d v="1899-12-30T00:03:37"/>
    <d v="1899-12-30T00:01:28"/>
    <n v="0.66669999999999996"/>
    <n v="0.01"/>
    <n v="6.6669999999999993E-3"/>
    <n v="0"/>
    <n v="0"/>
    <n v="1"/>
  </r>
  <r>
    <n v="218"/>
    <n v="212"/>
    <n v="0.97250000000000003"/>
    <n v="6"/>
    <d v="1899-12-30T00:00:20"/>
    <d v="1899-12-30T00:01:56"/>
    <d v="1899-12-30T00:04:11"/>
    <n v="0.75929999999999997"/>
    <n v="9.725000000000001E-3"/>
    <n v="7.5929999999999999E-3"/>
    <n v="6"/>
    <n v="2.7522935779816515E-2"/>
    <n v="0.97247706422018354"/>
  </r>
  <r>
    <n v="172"/>
    <n v="163"/>
    <n v="0.94769999999999999"/>
    <n v="9"/>
    <d v="1899-12-30T00:00:18"/>
    <d v="1899-12-30T00:02:09"/>
    <d v="1899-12-30T00:01:53"/>
    <n v="0.81930000000000003"/>
    <n v="9.4769999999999993E-3"/>
    <n v="8.1930000000000006E-3"/>
    <n v="9"/>
    <n v="5.232558139534884E-2"/>
    <n v="0.94767441860465118"/>
  </r>
  <r>
    <n v="205"/>
    <n v="194"/>
    <n v="0.94630000000000003"/>
    <n v="11"/>
    <d v="1899-12-30T00:00:18"/>
    <d v="1899-12-30T00:02:24"/>
    <d v="1899-12-30T00:01:41"/>
    <n v="0.80600000000000005"/>
    <n v="9.4630000000000009E-3"/>
    <n v="8.0600000000000012E-3"/>
    <n v="11"/>
    <n v="5.3658536585365853E-2"/>
    <n v="0.9463414634146341"/>
  </r>
  <r>
    <n v="178"/>
    <n v="168"/>
    <n v="0.94379999999999997"/>
    <n v="10"/>
    <d v="1899-12-30T00:00:23"/>
    <d v="1899-12-30T00:02:28"/>
    <d v="1899-12-30T00:02:50"/>
    <n v="0.68969999999999998"/>
    <n v="9.4380000000000002E-3"/>
    <n v="6.8969999999999995E-3"/>
    <n v="10"/>
    <n v="5.6179775280898875E-2"/>
    <n v="0.9438202247191011"/>
  </r>
  <r>
    <n v="214"/>
    <n v="201"/>
    <n v="0.93930000000000002"/>
    <n v="13"/>
    <d v="1899-12-30T00:00:23"/>
    <d v="1899-12-30T00:02:11"/>
    <d v="1899-12-30T00:02:24"/>
    <n v="0.6603"/>
    <n v="9.3930000000000003E-3"/>
    <n v="6.6030000000000004E-3"/>
    <n v="13"/>
    <n v="6.0747663551401869E-2"/>
    <n v="0.93925233644859818"/>
  </r>
  <r>
    <n v="169"/>
    <n v="161"/>
    <n v="0.95269999999999999"/>
    <n v="8"/>
    <d v="1899-12-30T00:00:23"/>
    <d v="1899-12-30T00:02:17"/>
    <d v="1899-12-30T00:04:35"/>
    <n v="0.71689999999999998"/>
    <n v="9.5270000000000007E-3"/>
    <n v="7.169E-3"/>
    <n v="8"/>
    <n v="4.7337278106508875E-2"/>
    <n v="0.9526627218934911"/>
  </r>
  <r>
    <n v="46"/>
    <n v="46"/>
    <n v="1"/>
    <n v="0"/>
    <d v="1899-12-30T00:00:25"/>
    <d v="1899-12-30T00:02:24"/>
    <d v="1899-12-30T00:01:35"/>
    <n v="0.71740000000000004"/>
    <n v="0.01"/>
    <n v="7.1740000000000007E-3"/>
    <n v="0"/>
    <n v="0"/>
    <n v="1"/>
  </r>
  <r>
    <n v="183"/>
    <n v="177"/>
    <n v="0.96719999999999995"/>
    <n v="6"/>
    <d v="1899-12-30T00:00:18"/>
    <d v="1899-12-30T00:02:30"/>
    <d v="1899-12-30T00:01:07"/>
    <n v="0.81110000000000004"/>
    <n v="9.672E-3"/>
    <n v="8.1110000000000002E-3"/>
    <n v="6"/>
    <n v="3.2786885245901641E-2"/>
    <n v="0.96721311475409832"/>
  </r>
  <r>
    <n v="208"/>
    <n v="190"/>
    <n v="0.91349999999999998"/>
    <n v="18"/>
    <d v="1899-12-30T00:00:21"/>
    <d v="1899-12-30T00:02:25"/>
    <d v="1899-12-30T00:01:50"/>
    <n v="0.74109999999999998"/>
    <n v="9.134999999999999E-3"/>
    <n v="7.4110000000000001E-3"/>
    <n v="18"/>
    <n v="8.6538461538461536E-2"/>
    <n v="0.91346153846153844"/>
  </r>
  <r>
    <n v="234"/>
    <n v="224"/>
    <n v="0.95730000000000004"/>
    <n v="10"/>
    <d v="1899-12-30T00:00:22"/>
    <d v="1899-12-30T00:02:15"/>
    <d v="1899-12-30T00:03:20"/>
    <n v="0.74139999999999995"/>
    <n v="9.5729999999999999E-3"/>
    <n v="7.4139999999999996E-3"/>
    <n v="10"/>
    <n v="4.2735042735042736E-2"/>
    <n v="0.95726495726495731"/>
  </r>
  <r>
    <n v="204"/>
    <n v="194"/>
    <n v="0.95099999999999996"/>
    <n v="10"/>
    <d v="1899-12-30T00:00:18"/>
    <d v="1899-12-30T00:02:17"/>
    <d v="1899-12-30T00:01:50"/>
    <n v="0.78710000000000002"/>
    <n v="9.5099999999999994E-3"/>
    <n v="7.8709999999999995E-3"/>
    <n v="10"/>
    <n v="4.9019607843137254E-2"/>
    <n v="0.9509803921568627"/>
  </r>
  <r>
    <n v="204"/>
    <n v="189"/>
    <n v="0.92649999999999999"/>
    <n v="15"/>
    <d v="1899-12-30T00:00:21"/>
    <d v="1899-12-30T00:02:15"/>
    <d v="1899-12-30T00:03:56"/>
    <n v="0.70789999999999997"/>
    <n v="9.2650000000000007E-3"/>
    <n v="7.0789999999999994E-3"/>
    <n v="15"/>
    <n v="7.3529411764705885E-2"/>
    <n v="0.92647058823529416"/>
  </r>
  <r>
    <n v="99"/>
    <n v="99"/>
    <n v="1"/>
    <n v="0"/>
    <d v="1899-12-30T00:00:16"/>
    <d v="1899-12-30T00:02:25"/>
    <d v="1899-12-30T00:01:02"/>
    <n v="0.82830000000000004"/>
    <n v="0.01"/>
    <n v="8.2830000000000004E-3"/>
    <n v="0"/>
    <n v="0"/>
    <n v="1"/>
  </r>
  <r>
    <n v="29"/>
    <n v="27"/>
    <n v="0.93100000000000005"/>
    <n v="2"/>
    <d v="1899-12-30T00:00:19"/>
    <d v="1899-12-30T00:02:47"/>
    <d v="1899-12-30T00:02:22"/>
    <n v="0.78569999999999995"/>
    <n v="9.3100000000000006E-3"/>
    <n v="7.8569999999999994E-3"/>
    <n v="2"/>
    <n v="6.8965517241379309E-2"/>
    <n v="0.93103448275862066"/>
  </r>
  <r>
    <n v="167"/>
    <n v="159"/>
    <n v="0.95209999999999995"/>
    <n v="8"/>
    <d v="1899-12-30T00:00:23"/>
    <d v="1899-12-30T00:02:28"/>
    <d v="1899-12-30T00:04:35"/>
    <n v="0.70479999999999998"/>
    <n v="9.5209999999999999E-3"/>
    <n v="7.0479999999999996E-3"/>
    <n v="8"/>
    <n v="4.790419161676647E-2"/>
    <n v="0.95209580838323349"/>
  </r>
  <r>
    <n v="164"/>
    <n v="161"/>
    <n v="0.98170000000000002"/>
    <n v="3"/>
    <d v="1899-12-30T00:00:17"/>
    <d v="1899-12-30T00:02:35"/>
    <d v="1899-12-30T00:01:37"/>
    <n v="0.81710000000000005"/>
    <n v="9.8169999999999993E-3"/>
    <n v="8.1710000000000012E-3"/>
    <n v="3"/>
    <n v="1.8292682926829267E-2"/>
    <n v="0.98170731707317072"/>
  </r>
  <r>
    <n v="158"/>
    <n v="147"/>
    <n v="0.9304"/>
    <n v="11"/>
    <d v="1899-12-30T00:00:21"/>
    <d v="1899-12-30T00:02:34"/>
    <d v="1899-12-30T00:02:03"/>
    <n v="0.72440000000000004"/>
    <n v="9.3039999999999998E-3"/>
    <n v="7.2440000000000004E-3"/>
    <n v="11"/>
    <n v="6.9620253164556958E-2"/>
    <n v="0.930379746835443"/>
  </r>
  <r>
    <n v="165"/>
    <n v="161"/>
    <n v="0.9758"/>
    <n v="4"/>
    <d v="1899-12-30T00:00:17"/>
    <d v="1899-12-30T00:02:26"/>
    <d v="1899-12-30T00:01:06"/>
    <n v="0.77910000000000001"/>
    <n v="9.7579999999999993E-3"/>
    <n v="7.7910000000000002E-3"/>
    <n v="4"/>
    <n v="2.4242424242424242E-2"/>
    <n v="0.97575757575757571"/>
  </r>
  <r>
    <n v="129"/>
    <n v="124"/>
    <n v="0.96120000000000005"/>
    <n v="5"/>
    <d v="1899-12-30T00:00:23"/>
    <d v="1899-12-30T00:02:28"/>
    <d v="1899-12-30T00:01:50"/>
    <n v="0.7087"/>
    <n v="9.6120000000000008E-3"/>
    <n v="7.0869999999999995E-3"/>
    <n v="5"/>
    <n v="3.875968992248062E-2"/>
    <n v="0.96124031007751942"/>
  </r>
  <r>
    <n v="155"/>
    <n v="149"/>
    <n v="0.96130000000000004"/>
    <n v="6"/>
    <d v="1899-12-30T00:00:23"/>
    <d v="1899-12-30T00:02:26"/>
    <d v="1899-12-30T00:04:19"/>
    <n v="0.74509999999999998"/>
    <n v="9.613E-3"/>
    <n v="7.4510000000000002E-3"/>
    <n v="6"/>
    <n v="3.870967741935484E-2"/>
    <n v="0.96129032258064517"/>
  </r>
  <r>
    <n v="24"/>
    <n v="22"/>
    <n v="0.91669999999999996"/>
    <n v="2"/>
    <d v="1899-12-30T00:00:28"/>
    <d v="1899-12-30T00:02:24"/>
    <d v="1899-12-30T00:01:21"/>
    <n v="0.54169999999999996"/>
    <n v="9.1669999999999998E-3"/>
    <n v="5.4169999999999999E-3"/>
    <n v="2"/>
    <n v="8.3333333333333329E-2"/>
    <n v="0.91666666666666663"/>
  </r>
  <r>
    <n v="209"/>
    <n v="200"/>
    <n v="0.95689999999999997"/>
    <n v="9"/>
    <d v="1899-12-30T00:00:23"/>
    <d v="1899-12-30T00:02:24"/>
    <d v="1899-12-30T00:02:11"/>
    <n v="0.66669999999999996"/>
    <n v="9.5689999999999994E-3"/>
    <n v="6.6669999999999993E-3"/>
    <n v="9"/>
    <n v="4.3062200956937802E-2"/>
    <n v="0.9569377990430622"/>
  </r>
  <r>
    <n v="239"/>
    <n v="226"/>
    <n v="0.9456"/>
    <n v="13"/>
    <d v="1899-12-30T00:00:26"/>
    <d v="1899-12-30T00:02:19"/>
    <d v="1899-12-30T00:02:50"/>
    <n v="0.67230000000000001"/>
    <n v="9.4559999999999991E-3"/>
    <n v="6.7229999999999998E-3"/>
    <n v="13"/>
    <n v="5.4393305439330547E-2"/>
    <n v="0.94560669456066948"/>
  </r>
  <r>
    <n v="229"/>
    <n v="210"/>
    <n v="0.91700000000000004"/>
    <n v="19"/>
    <d v="1899-12-30T00:00:29"/>
    <d v="1899-12-30T00:02:23"/>
    <d v="1899-12-30T00:08:16"/>
    <n v="0.64159999999999995"/>
    <n v="9.1700000000000011E-3"/>
    <n v="6.4159999999999998E-3"/>
    <n v="19"/>
    <n v="8.296943231441048E-2"/>
    <n v="0.91703056768558955"/>
  </r>
  <r>
    <n v="194"/>
    <n v="172"/>
    <n v="0.88660000000000005"/>
    <n v="22"/>
    <d v="1899-12-30T00:00:23"/>
    <d v="1899-12-30T00:02:20"/>
    <d v="1899-12-30T00:06:16"/>
    <n v="0.66139999999999999"/>
    <n v="8.8660000000000006E-3"/>
    <n v="6.6140000000000001E-3"/>
    <n v="22"/>
    <n v="0.1134020618556701"/>
    <n v="0.88659793814432986"/>
  </r>
  <r>
    <n v="202"/>
    <n v="179"/>
    <n v="0.8861"/>
    <n v="23"/>
    <d v="1899-12-30T00:00:24"/>
    <d v="1899-12-30T00:02:16"/>
    <d v="1899-12-30T00:02:50"/>
    <n v="0.64429999999999998"/>
    <n v="8.8610000000000008E-3"/>
    <n v="6.4429999999999999E-3"/>
    <n v="23"/>
    <n v="0.11386138613861387"/>
    <n v="0.88613861386138615"/>
  </r>
  <r>
    <n v="268"/>
    <n v="254"/>
    <n v="0.94779999999999998"/>
    <n v="14"/>
    <d v="1899-12-30T00:00:15"/>
    <d v="1899-12-30T00:01:51"/>
    <d v="1899-12-30T00:02:40"/>
    <n v="0.81130000000000002"/>
    <n v="9.4780000000000003E-3"/>
    <n v="8.1130000000000004E-3"/>
    <n v="14"/>
    <n v="5.2238805970149252E-2"/>
    <n v="0.94776119402985071"/>
  </r>
  <r>
    <n v="52"/>
    <n v="49"/>
    <n v="0.94230000000000003"/>
    <n v="3"/>
    <d v="1899-12-30T00:00:18"/>
    <d v="1899-12-30T00:02:18"/>
    <d v="1899-12-30T00:02:17"/>
    <n v="0.76470000000000005"/>
    <n v="9.4230000000000008E-3"/>
    <n v="7.6470000000000002E-3"/>
    <n v="3"/>
    <n v="5.7692307692307696E-2"/>
    <n v="0.94230769230769229"/>
  </r>
  <r>
    <n v="414"/>
    <n v="397"/>
    <n v="0.95889999999999997"/>
    <n v="17"/>
    <d v="1899-12-30T00:00:23"/>
    <d v="1899-12-30T00:01:58"/>
    <d v="1899-12-30T00:05:32"/>
    <n v="0.70730000000000004"/>
    <n v="9.5890000000000003E-3"/>
    <n v="7.0730000000000003E-3"/>
    <n v="17"/>
    <n v="4.1062801932367152E-2"/>
    <n v="0.95893719806763289"/>
  </r>
  <r>
    <n v="346"/>
    <n v="325"/>
    <n v="0.93930000000000002"/>
    <n v="21"/>
    <d v="1899-12-30T00:00:27"/>
    <d v="1899-12-30T00:02:22"/>
    <d v="1899-12-30T00:02:45"/>
    <n v="0.65690000000000004"/>
    <n v="9.3930000000000003E-3"/>
    <n v="6.5690000000000002E-3"/>
    <n v="21"/>
    <n v="6.0693641618497107E-2"/>
    <n v="0.93930635838150289"/>
  </r>
  <r>
    <n v="187"/>
    <n v="179"/>
    <n v="0.95720000000000005"/>
    <n v="8"/>
    <d v="1899-12-30T00:00:25"/>
    <d v="1899-12-30T00:02:14"/>
    <d v="1899-12-30T00:02:59"/>
    <n v="0.67030000000000001"/>
    <n v="9.5720000000000006E-3"/>
    <n v="6.7029999999999998E-3"/>
    <n v="8"/>
    <n v="4.2780748663101602E-2"/>
    <n v="0.95721925133689845"/>
  </r>
  <r>
    <n v="203"/>
    <n v="186"/>
    <n v="0.9163"/>
    <n v="17"/>
    <d v="1899-12-30T00:00:24"/>
    <d v="1899-12-30T00:02:38"/>
    <d v="1899-12-30T00:04:35"/>
    <n v="0.69589999999999996"/>
    <n v="9.1629999999999993E-3"/>
    <n v="6.9589999999999999E-3"/>
    <n v="17"/>
    <n v="8.3743842364532015E-2"/>
    <n v="0.91625615763546797"/>
  </r>
  <r>
    <n v="204"/>
    <n v="194"/>
    <n v="0.95099999999999996"/>
    <n v="10"/>
    <d v="1899-12-30T00:00:18"/>
    <d v="1899-12-30T00:02:33"/>
    <d v="1899-12-30T00:02:02"/>
    <n v="0.82410000000000005"/>
    <n v="9.5099999999999994E-3"/>
    <n v="8.2410000000000001E-3"/>
    <n v="10"/>
    <n v="4.9019607843137254E-2"/>
    <n v="0.9509803921568627"/>
  </r>
  <r>
    <n v="126"/>
    <n v="121"/>
    <n v="0.96030000000000004"/>
    <n v="5"/>
    <d v="1899-12-30T00:00:21"/>
    <d v="1899-12-30T00:02:32"/>
    <d v="1899-12-30T00:01:51"/>
    <n v="0.70630000000000004"/>
    <n v="9.6030000000000004E-3"/>
    <n v="7.0630000000000007E-3"/>
    <n v="5"/>
    <n v="3.968253968253968E-2"/>
    <n v="0.96031746031746035"/>
  </r>
  <r>
    <n v="36"/>
    <n v="36"/>
    <n v="1"/>
    <n v="0"/>
    <d v="1899-12-30T00:00:17"/>
    <d v="1899-12-30T00:02:07"/>
    <d v="1899-12-30T00:01:31"/>
    <n v="0.77780000000000005"/>
    <n v="0.01"/>
    <n v="7.7780000000000002E-3"/>
    <n v="0"/>
    <n v="0"/>
    <n v="1"/>
  </r>
  <r>
    <n v="180"/>
    <n v="165"/>
    <n v="0.91669999999999996"/>
    <n v="15"/>
    <d v="1899-12-30T00:00:27"/>
    <d v="1899-12-30T00:02:30"/>
    <d v="1899-12-30T00:02:19"/>
    <n v="0.66090000000000004"/>
    <n v="9.1669999999999998E-3"/>
    <n v="6.6090000000000003E-3"/>
    <n v="15"/>
    <n v="8.3333333333333329E-2"/>
    <n v="0.91666666666666663"/>
  </r>
  <r>
    <n v="169"/>
    <n v="162"/>
    <n v="0.95860000000000001"/>
    <n v="7"/>
    <d v="1899-12-30T00:00:20"/>
    <d v="1899-12-30T00:02:25"/>
    <d v="1899-12-30T00:01:53"/>
    <n v="0.74560000000000004"/>
    <n v="9.5860000000000008E-3"/>
    <n v="7.4560000000000008E-3"/>
    <n v="7"/>
    <n v="4.142011834319527E-2"/>
    <n v="0.95857988165680474"/>
  </r>
  <r>
    <n v="155"/>
    <n v="151"/>
    <n v="0.97419999999999995"/>
    <n v="4"/>
    <d v="1899-12-30T00:00:21"/>
    <d v="1899-12-30T00:02:20"/>
    <d v="1899-12-30T00:02:45"/>
    <n v="0.7097"/>
    <n v="9.7419999999999989E-3"/>
    <n v="7.097E-3"/>
    <n v="4"/>
    <n v="2.5806451612903226E-2"/>
    <n v="0.97419354838709682"/>
  </r>
  <r>
    <n v="169"/>
    <n v="137"/>
    <n v="0.81069999999999998"/>
    <n v="32"/>
    <d v="1899-12-30T00:00:38"/>
    <d v="1899-12-30T00:02:24"/>
    <d v="1899-12-30T00:05:30"/>
    <n v="0.40360000000000001"/>
    <n v="8.1069999999999996E-3"/>
    <n v="4.0360000000000005E-3"/>
    <n v="32"/>
    <n v="0.1893491124260355"/>
    <n v="0.81065088757396453"/>
  </r>
  <r>
    <n v="61"/>
    <n v="45"/>
    <n v="0.73770000000000002"/>
    <n v="16"/>
    <d v="1899-12-30T00:00:32"/>
    <d v="1899-12-30T00:02:49"/>
    <d v="1899-12-30T00:05:30"/>
    <n v="0.4098"/>
    <n v="7.3769999999999999E-3"/>
    <n v="4.0980000000000001E-3"/>
    <n v="16"/>
    <n v="0.26229508196721313"/>
    <n v="0.73770491803278693"/>
  </r>
  <r>
    <n v="167"/>
    <n v="136"/>
    <n v="0.81440000000000001"/>
    <n v="31"/>
    <d v="1899-12-30T00:00:42"/>
    <d v="1899-12-30T00:02:36"/>
    <d v="1899-12-30T00:05:28"/>
    <n v="0.35980000000000001"/>
    <n v="8.1440000000000002E-3"/>
    <n v="3.5980000000000001E-3"/>
    <n v="31"/>
    <n v="0.18562874251497005"/>
    <n v="0.81437125748502992"/>
  </r>
  <r>
    <n v="32"/>
    <n v="27"/>
    <n v="0.84379999999999999"/>
    <n v="5"/>
    <d v="1899-12-30T00:00:35"/>
    <d v="1899-12-30T00:02:22"/>
    <d v="1899-12-30T00:03:10"/>
    <n v="0.53129999999999999"/>
    <n v="8.4379999999999993E-3"/>
    <n v="5.313E-3"/>
    <n v="5"/>
    <n v="0.15625"/>
    <n v="0.84375"/>
  </r>
  <r>
    <n v="229"/>
    <n v="148"/>
    <n v="0.64629999999999999"/>
    <n v="81"/>
    <d v="1899-12-30T00:00:36"/>
    <d v="1899-12-30T00:02:48"/>
    <d v="1899-12-30T00:10:39"/>
    <n v="0.43180000000000002"/>
    <n v="6.463E-3"/>
    <n v="4.3179999999999998E-3"/>
    <n v="81"/>
    <n v="0.35371179039301309"/>
    <n v="0.64628820960698685"/>
  </r>
  <r>
    <n v="208"/>
    <n v="204"/>
    <n v="0.98080000000000001"/>
    <n v="4"/>
    <d v="1899-12-30T00:00:19"/>
    <d v="1899-12-30T00:03:06"/>
    <d v="1899-12-30T00:05:14"/>
    <n v="0.77669999999999995"/>
    <n v="9.8080000000000007E-3"/>
    <n v="7.7669999999999996E-3"/>
    <n v="4"/>
    <n v="1.9230769230769232E-2"/>
    <n v="0.98076923076923073"/>
  </r>
  <r>
    <n v="175"/>
    <n v="168"/>
    <n v="0.96"/>
    <n v="7"/>
    <d v="1899-12-30T00:00:25"/>
    <d v="1899-12-30T00:02:51"/>
    <d v="1899-12-30T00:03:44"/>
    <n v="0.6512"/>
    <n v="9.5999999999999992E-3"/>
    <n v="6.5120000000000004E-3"/>
    <n v="7"/>
    <n v="0.04"/>
    <n v="0.96"/>
  </r>
  <r>
    <n v="177"/>
    <n v="167"/>
    <n v="0.94350000000000001"/>
    <n v="10"/>
    <d v="1899-12-30T00:00:22"/>
    <d v="1899-12-30T00:02:41"/>
    <d v="1899-12-30T00:04:24"/>
    <n v="0.68389999999999995"/>
    <n v="9.4350000000000007E-3"/>
    <n v="6.8389999999999996E-3"/>
    <n v="10"/>
    <n v="5.6497175141242938E-2"/>
    <n v="0.94350282485875703"/>
  </r>
  <r>
    <n v="822"/>
    <n v="767"/>
    <n v="0.93310000000000004"/>
    <n v="55"/>
    <d v="1899-12-30T00:00:24"/>
    <d v="1899-12-30T00:01:25"/>
    <d v="1899-12-30T00:04:35"/>
    <n v="0.64400000000000002"/>
    <n v="9.3310000000000008E-3"/>
    <n v="6.4400000000000004E-3"/>
    <n v="55"/>
    <n v="6.6909975669099758E-2"/>
    <n v="0.93309002433090027"/>
  </r>
  <r>
    <n v="87"/>
    <n v="85"/>
    <n v="0.97699999999999998"/>
    <n v="2"/>
    <d v="1899-12-30T00:00:23"/>
    <d v="1899-12-30T00:02:25"/>
    <d v="1899-12-30T00:02:17"/>
    <n v="0.67820000000000003"/>
    <n v="9.7699999999999992E-3"/>
    <n v="6.7819999999999998E-3"/>
    <n v="2"/>
    <n v="2.2988505747126436E-2"/>
    <n v="0.97701149425287359"/>
  </r>
  <r>
    <n v="41"/>
    <n v="39"/>
    <n v="0.95120000000000005"/>
    <n v="2"/>
    <d v="1899-12-30T00:00:15"/>
    <d v="1899-12-30T00:02:42"/>
    <d v="1899-12-30T00:01:18"/>
    <n v="0.82499999999999996"/>
    <n v="9.5119999999999996E-3"/>
    <n v="8.2500000000000004E-3"/>
    <n v="2"/>
    <n v="4.878048780487805E-2"/>
    <n v="0.95121951219512191"/>
  </r>
  <r>
    <n v="280"/>
    <n v="257"/>
    <n v="0.91790000000000005"/>
    <n v="23"/>
    <d v="1899-12-30T00:00:31"/>
    <d v="1899-12-30T00:02:33"/>
    <d v="1899-12-30T00:07:55"/>
    <n v="0.63870000000000005"/>
    <n v="9.1789999999999997E-3"/>
    <n v="6.3870000000000003E-3"/>
    <n v="23"/>
    <n v="8.2142857142857142E-2"/>
    <n v="0.91785714285714282"/>
  </r>
  <r>
    <n v="199"/>
    <n v="192"/>
    <n v="0.96479999999999999"/>
    <n v="7"/>
    <d v="1899-12-30T00:00:22"/>
    <d v="1899-12-30T00:02:46"/>
    <d v="1899-12-30T00:02:48"/>
    <n v="0.73870000000000002"/>
    <n v="9.6480000000000003E-3"/>
    <n v="7.3870000000000003E-3"/>
    <n v="7"/>
    <n v="3.5175879396984924E-2"/>
    <n v="0.96482412060301503"/>
  </r>
  <r>
    <n v="252"/>
    <n v="239"/>
    <n v="0.94840000000000002"/>
    <n v="13"/>
    <d v="1899-12-30T00:00:29"/>
    <d v="1899-12-30T00:02:29"/>
    <d v="1899-12-30T00:03:36"/>
    <n v="0.6492"/>
    <n v="9.4839999999999994E-3"/>
    <n v="6.4920000000000004E-3"/>
    <n v="13"/>
    <n v="5.1587301587301584E-2"/>
    <n v="0.94841269841269837"/>
  </r>
  <r>
    <n v="220"/>
    <n v="208"/>
    <n v="0.94550000000000001"/>
    <n v="12"/>
    <d v="1899-12-30T00:00:20"/>
    <d v="1899-12-30T00:02:36"/>
    <d v="1899-12-30T00:02:45"/>
    <n v="0.75590000000000002"/>
    <n v="9.4549999999999999E-3"/>
    <n v="7.5589999999999997E-3"/>
    <n v="12"/>
    <n v="5.4545454545454543E-2"/>
    <n v="0.94545454545454544"/>
  </r>
  <r>
    <n v="206"/>
    <n v="193"/>
    <n v="0.93689999999999996"/>
    <n v="13"/>
    <d v="1899-12-30T00:00:24"/>
    <d v="1899-12-30T00:02:27"/>
    <d v="1899-12-30T00:03:37"/>
    <n v="0.75490000000000002"/>
    <n v="9.3689999999999989E-3"/>
    <n v="7.5490000000000002E-3"/>
    <n v="13"/>
    <n v="6.3106796116504854E-2"/>
    <n v="0.93689320388349517"/>
  </r>
  <r>
    <n v="217"/>
    <n v="206"/>
    <n v="0.94930000000000003"/>
    <n v="11"/>
    <d v="1899-12-30T00:00:22"/>
    <d v="1899-12-30T00:02:26"/>
    <d v="1899-12-30T00:02:02"/>
    <n v="0.71030000000000004"/>
    <n v="9.4929999999999997E-3"/>
    <n v="7.1030000000000008E-3"/>
    <n v="11"/>
    <n v="5.0691244239631339E-2"/>
    <n v="0.94930875576036866"/>
  </r>
  <r>
    <n v="24"/>
    <n v="24"/>
    <n v="1"/>
    <n v="0"/>
    <d v="1899-12-30T00:00:19"/>
    <d v="1899-12-30T00:02:50"/>
    <d v="1899-12-30T00:01:07"/>
    <n v="0.79169999999999996"/>
    <n v="0.01"/>
    <n v="7.9170000000000004E-3"/>
    <n v="0"/>
    <n v="0"/>
    <n v="1"/>
  </r>
  <r>
    <n v="248"/>
    <n v="238"/>
    <n v="0.9597"/>
    <n v="10"/>
    <d v="1899-12-30T00:00:13"/>
    <d v="1899-12-30T00:02:27"/>
    <d v="1899-12-30T00:01:50"/>
    <n v="0.85250000000000004"/>
    <n v="9.5969999999999996E-3"/>
    <n v="8.5249999999999996E-3"/>
    <n v="10"/>
    <n v="4.0322580645161289E-2"/>
    <n v="0.95967741935483875"/>
  </r>
  <r>
    <n v="222"/>
    <n v="212"/>
    <n v="0.95499999999999996"/>
    <n v="10"/>
    <d v="1899-12-30T00:00:20"/>
    <d v="1899-12-30T00:02:25"/>
    <d v="1899-12-30T00:03:41"/>
    <n v="0.77729999999999999"/>
    <n v="9.5499999999999995E-3"/>
    <n v="7.7729999999999995E-3"/>
    <n v="10"/>
    <n v="4.5045045045045043E-2"/>
    <n v="0.95495495495495497"/>
  </r>
  <r>
    <n v="190"/>
    <n v="178"/>
    <n v="0.93679999999999997"/>
    <n v="12"/>
    <d v="1899-12-30T00:00:32"/>
    <d v="1899-12-30T00:02:27"/>
    <d v="1899-12-30T00:02:45"/>
    <n v="0.55079999999999996"/>
    <n v="9.3679999999999996E-3"/>
    <n v="5.5079999999999999E-3"/>
    <n v="12"/>
    <n v="6.3157894736842107E-2"/>
    <n v="0.93684210526315792"/>
  </r>
  <r>
    <n v="238"/>
    <n v="231"/>
    <n v="0.97060000000000002"/>
    <n v="7"/>
    <d v="1899-12-30T00:00:20"/>
    <d v="1899-12-30T00:02:27"/>
    <d v="1899-12-30T00:02:03"/>
    <n v="0.79659999999999997"/>
    <n v="9.7059999999999994E-3"/>
    <n v="7.9659999999999991E-3"/>
    <n v="7"/>
    <n v="2.9411764705882353E-2"/>
    <n v="0.97058823529411764"/>
  </r>
  <r>
    <n v="214"/>
    <n v="205"/>
    <n v="0.95789999999999997"/>
    <n v="9"/>
    <d v="1899-12-30T00:00:20"/>
    <d v="1899-12-30T00:02:34"/>
    <d v="1899-12-30T00:02:34"/>
    <n v="0.79049999999999998"/>
    <n v="9.578999999999999E-3"/>
    <n v="7.9050000000000006E-3"/>
    <n v="9"/>
    <n v="4.2056074766355138E-2"/>
    <n v="0.95794392523364491"/>
  </r>
  <r>
    <n v="186"/>
    <n v="176"/>
    <n v="0.94620000000000004"/>
    <n v="10"/>
    <d v="1899-12-30T00:00:23"/>
    <d v="1899-12-30T00:02:15"/>
    <d v="1899-12-30T00:05:03"/>
    <n v="0.70879999999999999"/>
    <n v="9.4619999999999999E-3"/>
    <n v="7.0879999999999997E-3"/>
    <n v="10"/>
    <n v="5.3763440860215055E-2"/>
    <n v="0.94623655913978499"/>
  </r>
  <r>
    <n v="21"/>
    <n v="20"/>
    <n v="0.95240000000000002"/>
    <n v="1"/>
    <d v="1899-12-30T00:00:14"/>
    <d v="1899-12-30T00:02:25"/>
    <d v="1899-12-30T00:00:54"/>
    <n v="0.85"/>
    <n v="9.5239999999999995E-3"/>
    <n v="8.5000000000000006E-3"/>
    <n v="1"/>
    <n v="4.7619047619047616E-2"/>
    <n v="0.95238095238095233"/>
  </r>
  <r>
    <n v="169"/>
    <n v="157"/>
    <n v="0.92900000000000005"/>
    <n v="12"/>
    <d v="1899-12-30T00:00:21"/>
    <d v="1899-12-30T00:02:29"/>
    <d v="1899-12-30T00:04:30"/>
    <n v="0.77710000000000001"/>
    <n v="9.2899999999999996E-3"/>
    <n v="7.7710000000000001E-3"/>
    <n v="12"/>
    <n v="7.1005917159763315E-2"/>
    <n v="0.92899408284023666"/>
  </r>
  <r>
    <n v="149"/>
    <n v="141"/>
    <n v="0.94630000000000003"/>
    <n v="8"/>
    <d v="1899-12-30T00:00:16"/>
    <d v="1899-12-30T00:02:38"/>
    <d v="1899-12-30T00:02:37"/>
    <n v="0.79049999999999998"/>
    <n v="9.4630000000000009E-3"/>
    <n v="7.9050000000000006E-3"/>
    <n v="8"/>
    <n v="5.3691275167785234E-2"/>
    <n v="0.94630872483221473"/>
  </r>
  <r>
    <n v="171"/>
    <n v="164"/>
    <n v="0.95909999999999995"/>
    <n v="7"/>
    <d v="1899-12-30T00:00:19"/>
    <d v="1899-12-30T00:02:22"/>
    <d v="1899-12-30T00:03:49"/>
    <n v="0.77190000000000003"/>
    <n v="9.5909999999999988E-3"/>
    <n v="7.7190000000000002E-3"/>
    <n v="7"/>
    <n v="4.0935672514619881E-2"/>
    <n v="0.95906432748538006"/>
  </r>
  <r>
    <n v="127"/>
    <n v="122"/>
    <n v="0.96060000000000001"/>
    <n v="5"/>
    <d v="1899-12-30T00:00:13"/>
    <d v="1899-12-30T00:02:22"/>
    <d v="1899-12-30T00:01:25"/>
    <n v="0.878"/>
    <n v="9.606E-3"/>
    <n v="8.7799999999999996E-3"/>
    <n v="5"/>
    <n v="3.937007874015748E-2"/>
    <n v="0.96062992125984248"/>
  </r>
  <r>
    <n v="21"/>
    <n v="21"/>
    <n v="1"/>
    <n v="0"/>
    <d v="1899-12-30T00:00:08"/>
    <d v="1899-12-30T00:03:03"/>
    <d v="1899-12-30T00:00:58"/>
    <n v="0.90480000000000005"/>
    <n v="0.01"/>
    <n v="9.0480000000000005E-3"/>
    <n v="0"/>
    <n v="0"/>
    <n v="1"/>
  </r>
  <r>
    <n v="5"/>
    <n v="5"/>
    <n v="1"/>
    <n v="0"/>
    <d v="1899-12-30T00:00:14"/>
    <d v="1899-12-30T00:02:37"/>
    <d v="1899-12-30T00:00:59"/>
    <n v="0.8"/>
    <n v="0.01"/>
    <n v="8.0000000000000002E-3"/>
    <n v="0"/>
    <n v="0"/>
    <n v="1"/>
  </r>
  <r>
    <n v="33"/>
    <n v="32"/>
    <n v="0.96970000000000001"/>
    <n v="1"/>
    <d v="1899-12-30T00:00:26"/>
    <d v="1899-12-30T00:02:04"/>
    <d v="1899-12-30T00:01:45"/>
    <n v="0.66669999999999996"/>
    <n v="9.6970000000000008E-3"/>
    <n v="6.6669999999999993E-3"/>
    <n v="1"/>
    <n v="3.0303030303030304E-2"/>
    <n v="0.96969696969696972"/>
  </r>
  <r>
    <n v="145"/>
    <n v="139"/>
    <n v="0.95860000000000001"/>
    <n v="6"/>
    <d v="1899-12-30T00:00:20"/>
    <d v="1899-12-30T00:02:28"/>
    <d v="1899-12-30T00:03:41"/>
    <n v="0.79020000000000001"/>
    <n v="9.5860000000000008E-3"/>
    <n v="7.9019999999999993E-3"/>
    <n v="6"/>
    <n v="4.1379310344827586E-2"/>
    <n v="0.95862068965517244"/>
  </r>
  <r>
    <n v="129"/>
    <n v="127"/>
    <n v="0.98450000000000004"/>
    <n v="2"/>
    <d v="1899-12-30T00:00:19"/>
    <d v="1899-12-30T00:02:13"/>
    <d v="1899-12-30T00:01:49"/>
    <n v="0.75590000000000002"/>
    <n v="9.8449999999999996E-3"/>
    <n v="7.5589999999999997E-3"/>
    <n v="2"/>
    <n v="1.5503875968992248E-2"/>
    <n v="0.98449612403100772"/>
  </r>
  <r>
    <n v="194"/>
    <n v="178"/>
    <n v="0.91749999999999998"/>
    <n v="16"/>
    <d v="1899-12-30T00:00:26"/>
    <d v="1899-12-30T00:02:36"/>
    <d v="1899-12-30T00:05:20"/>
    <n v="0.67190000000000005"/>
    <n v="9.1749999999999991E-3"/>
    <n v="6.7190000000000001E-3"/>
    <n v="16"/>
    <n v="8.247422680412371E-2"/>
    <n v="0.91752577319587625"/>
  </r>
  <r>
    <n v="194"/>
    <n v="187"/>
    <n v="0.96389999999999998"/>
    <n v="7"/>
    <d v="1899-12-30T00:00:24"/>
    <d v="1899-12-30T00:02:25"/>
    <d v="1899-12-30T00:03:44"/>
    <n v="0.77249999999999996"/>
    <n v="9.639E-3"/>
    <n v="7.7249999999999992E-3"/>
    <n v="7"/>
    <n v="3.608247422680412E-2"/>
    <n v="0.96391752577319589"/>
  </r>
  <r>
    <n v="202"/>
    <n v="195"/>
    <n v="0.96530000000000005"/>
    <n v="7"/>
    <d v="1899-12-30T00:00:21"/>
    <d v="1899-12-30T00:02:21"/>
    <d v="1899-12-30T00:02:59"/>
    <n v="0.74750000000000005"/>
    <n v="9.6530000000000001E-3"/>
    <n v="7.4750000000000007E-3"/>
    <n v="7"/>
    <n v="3.4653465346534656E-2"/>
    <n v="0.96534653465346532"/>
  </r>
  <r>
    <n v="214"/>
    <n v="208"/>
    <n v="0.97199999999999998"/>
    <n v="6"/>
    <d v="1899-12-30T00:00:13"/>
    <d v="1899-12-30T00:02:19"/>
    <d v="1899-12-30T00:00:57"/>
    <n v="0.88149999999999995"/>
    <n v="9.7199999999999995E-3"/>
    <n v="8.8149999999999999E-3"/>
    <n v="6"/>
    <n v="2.8037383177570093E-2"/>
    <n v="0.9719626168224299"/>
  </r>
  <r>
    <n v="28"/>
    <n v="28"/>
    <n v="1"/>
    <n v="0"/>
    <d v="1899-12-30T00:00:13"/>
    <d v="1899-12-30T00:02:13"/>
    <d v="1899-12-30T00:01:18"/>
    <n v="0.89290000000000003"/>
    <n v="0.01"/>
    <n v="8.9289999999999994E-3"/>
    <n v="0"/>
    <n v="0"/>
    <n v="1"/>
  </r>
  <r>
    <n v="191"/>
    <n v="187"/>
    <n v="0.97909999999999997"/>
    <n v="4"/>
    <d v="1899-12-30T00:00:15"/>
    <d v="1899-12-30T00:02:23"/>
    <d v="1899-12-30T00:01:40"/>
    <n v="0.82540000000000002"/>
    <n v="9.7909999999999994E-3"/>
    <n v="8.2540000000000009E-3"/>
    <n v="4"/>
    <n v="2.0942408376963352E-2"/>
    <n v="0.97905759162303663"/>
  </r>
  <r>
    <n v="205"/>
    <n v="197"/>
    <n v="0.96099999999999997"/>
    <n v="8"/>
    <d v="1899-12-30T00:00:21"/>
    <d v="1899-12-30T00:02:27"/>
    <d v="1899-12-30T00:02:23"/>
    <n v="0.74380000000000002"/>
    <n v="9.6100000000000005E-3"/>
    <n v="7.4380000000000002E-3"/>
    <n v="8"/>
    <n v="3.9024390243902439E-2"/>
    <n v="0.96097560975609753"/>
  </r>
  <r>
    <n v="198"/>
    <n v="196"/>
    <n v="0.9899"/>
    <n v="2"/>
    <d v="1899-12-30T00:00:23"/>
    <d v="1899-12-30T00:02:28"/>
    <d v="1899-12-30T00:02:03"/>
    <n v="0.73599999999999999"/>
    <n v="9.8989999999999998E-3"/>
    <n v="7.3600000000000002E-3"/>
    <n v="2"/>
    <n v="1.0101010101010102E-2"/>
    <n v="0.98989898989898994"/>
  </r>
  <r>
    <n v="184"/>
    <n v="177"/>
    <n v="0.96199999999999997"/>
    <n v="7"/>
    <d v="1899-12-30T00:00:20"/>
    <d v="1899-12-30T00:02:41"/>
    <d v="1899-12-30T00:01:50"/>
    <n v="0.78569999999999995"/>
    <n v="9.6200000000000001E-3"/>
    <n v="7.8569999999999994E-3"/>
    <n v="7"/>
    <n v="3.8043478260869568E-2"/>
    <n v="0.96195652173913049"/>
  </r>
  <r>
    <n v="184"/>
    <n v="174"/>
    <n v="0.94569999999999999"/>
    <n v="10"/>
    <d v="1899-12-30T00:00:25"/>
    <d v="1899-12-30T00:02:27"/>
    <d v="1899-12-30T00:02:47"/>
    <n v="0.7"/>
    <n v="9.4570000000000001E-3"/>
    <n v="6.9999999999999993E-3"/>
    <n v="10"/>
    <n v="5.434782608695652E-2"/>
    <n v="0.94565217391304346"/>
  </r>
  <r>
    <n v="168"/>
    <n v="160"/>
    <n v="0.95240000000000002"/>
    <n v="8"/>
    <d v="1899-12-30T00:00:26"/>
    <d v="1899-12-30T00:02:25"/>
    <d v="1899-12-30T00:02:04"/>
    <n v="0.68259999999999998"/>
    <n v="9.5239999999999995E-3"/>
    <n v="6.8259999999999996E-3"/>
    <n v="8"/>
    <n v="4.7619047619047616E-2"/>
    <n v="0.95238095238095233"/>
  </r>
  <r>
    <n v="39"/>
    <n v="37"/>
    <n v="0.94869999999999999"/>
    <n v="2"/>
    <d v="1899-12-30T00:00:14"/>
    <d v="1899-12-30T00:02:08"/>
    <d v="1899-12-30T00:01:03"/>
    <n v="0.81079999999999997"/>
    <n v="9.4870000000000006E-3"/>
    <n v="8.1079999999999989E-3"/>
    <n v="2"/>
    <n v="5.128205128205128E-2"/>
    <n v="0.94871794871794868"/>
  </r>
  <r>
    <n v="225"/>
    <n v="210"/>
    <n v="0.93330000000000002"/>
    <n v="15"/>
    <d v="1899-12-30T00:00:28"/>
    <d v="1899-12-30T00:02:13"/>
    <d v="1899-12-30T00:02:33"/>
    <n v="0.66969999999999996"/>
    <n v="9.333000000000001E-3"/>
    <n v="6.6969999999999998E-3"/>
    <n v="15"/>
    <n v="6.6666666666666666E-2"/>
    <n v="0.93333333333333335"/>
  </r>
  <r>
    <n v="182"/>
    <n v="174"/>
    <n v="0.95599999999999996"/>
    <n v="8"/>
    <d v="1899-12-30T00:00:32"/>
    <d v="1899-12-30T00:02:16"/>
    <d v="1899-12-30T00:03:56"/>
    <n v="0.60219999999999996"/>
    <n v="9.5599999999999991E-3"/>
    <n v="6.0219999999999996E-3"/>
    <n v="8"/>
    <n v="4.3956043956043959E-2"/>
    <n v="0.95604395604395609"/>
  </r>
  <r>
    <n v="346"/>
    <n v="305"/>
    <n v="0.88149999999999995"/>
    <n v="41"/>
    <d v="1899-12-30T00:00:45"/>
    <d v="1899-12-30T00:01:57"/>
    <d v="1899-12-30T00:05:07"/>
    <n v="0.45029999999999998"/>
    <n v="8.8149999999999999E-3"/>
    <n v="4.5030000000000001E-3"/>
    <n v="41"/>
    <n v="0.11849710982658959"/>
    <n v="0.88150289017341044"/>
  </r>
  <r>
    <n v="450"/>
    <n v="441"/>
    <n v="0.98"/>
    <n v="9"/>
    <d v="1899-12-30T00:00:19"/>
    <d v="1899-12-30T00:01:53"/>
    <d v="1899-12-30T00:02:31"/>
    <n v="0.78300000000000003"/>
    <n v="9.7999999999999997E-3"/>
    <n v="7.8300000000000002E-3"/>
    <n v="9"/>
    <n v="0.02"/>
    <n v="0.98"/>
  </r>
  <r>
    <n v="259"/>
    <n v="248"/>
    <n v="0.95750000000000002"/>
    <n v="11"/>
    <d v="1899-12-30T00:00:20"/>
    <d v="1899-12-30T00:02:06"/>
    <d v="1899-12-30T00:01:51"/>
    <n v="0.75390000000000001"/>
    <n v="9.5750000000000002E-3"/>
    <n v="7.5390000000000006E-3"/>
    <n v="11"/>
    <n v="4.2471042471042469E-2"/>
    <n v="0.9575289575289575"/>
  </r>
  <r>
    <n v="231"/>
    <n v="214"/>
    <n v="0.9264"/>
    <n v="17"/>
    <d v="1899-12-30T00:00:18"/>
    <d v="1899-12-30T00:02:06"/>
    <d v="1899-12-30T00:02:31"/>
    <n v="0.79559999999999997"/>
    <n v="9.2639999999999997E-3"/>
    <n v="7.9559999999999995E-3"/>
    <n v="17"/>
    <n v="7.3593073593073599E-2"/>
    <n v="0.92640692640692646"/>
  </r>
  <r>
    <n v="48"/>
    <n v="47"/>
    <n v="0.97919999999999996"/>
    <n v="1"/>
    <d v="1899-12-30T00:00:13"/>
    <d v="1899-12-30T00:02:03"/>
    <d v="1899-12-30T00:01:46"/>
    <n v="0.89580000000000004"/>
    <n v="9.7920000000000004E-3"/>
    <n v="8.9580000000000007E-3"/>
    <n v="1"/>
    <n v="2.0833333333333332E-2"/>
    <n v="0.97916666666666663"/>
  </r>
  <r>
    <n v="246"/>
    <n v="236"/>
    <n v="0.95930000000000004"/>
    <n v="10"/>
    <d v="1899-12-30T00:00:20"/>
    <d v="1899-12-30T00:02:11"/>
    <d v="1899-12-30T00:04:36"/>
    <n v="0.79179999999999995"/>
    <n v="9.5930000000000008E-3"/>
    <n v="7.9179999999999997E-3"/>
    <n v="10"/>
    <n v="4.065040650406504E-2"/>
    <n v="0.95934959349593496"/>
  </r>
  <r>
    <n v="202"/>
    <n v="195"/>
    <n v="0.96530000000000005"/>
    <n v="7"/>
    <d v="1899-12-30T00:00:25"/>
    <d v="1899-12-30T00:02:15"/>
    <d v="1899-12-30T00:05:33"/>
    <n v="0.745"/>
    <n v="9.6530000000000001E-3"/>
    <n v="7.45E-3"/>
    <n v="7"/>
    <n v="3.4653465346534656E-2"/>
    <n v="0.96534653465346532"/>
  </r>
  <r>
    <n v="153"/>
    <n v="150"/>
    <n v="0.98040000000000005"/>
    <n v="3"/>
    <d v="1899-12-30T00:00:15"/>
    <d v="1899-12-30T00:02:15"/>
    <d v="1899-12-30T00:02:12"/>
    <n v="0.82240000000000002"/>
    <n v="9.8040000000000002E-3"/>
    <n v="8.2240000000000004E-3"/>
    <n v="3"/>
    <n v="1.9607843137254902E-2"/>
    <n v="0.98039215686274506"/>
  </r>
  <r>
    <n v="178"/>
    <n v="172"/>
    <n v="0.96630000000000005"/>
    <n v="6"/>
    <d v="1899-12-30T00:00:19"/>
    <d v="1899-12-30T00:02:15"/>
    <d v="1899-12-30T00:04:35"/>
    <n v="0.78290000000000004"/>
    <n v="9.6629999999999997E-3"/>
    <n v="7.8290000000000009E-3"/>
    <n v="6"/>
    <n v="3.3707865168539325E-2"/>
    <n v="0.9662921348314607"/>
  </r>
  <r>
    <n v="172"/>
    <n v="165"/>
    <n v="0.95930000000000004"/>
    <n v="7"/>
    <d v="1899-12-30T00:00:19"/>
    <d v="1899-12-30T00:02:24"/>
    <d v="1899-12-30T00:03:24"/>
    <n v="0.79290000000000005"/>
    <n v="9.5930000000000008E-3"/>
    <n v="7.9290000000000003E-3"/>
    <n v="7"/>
    <n v="4.0697674418604654E-2"/>
    <n v="0.95930232558139539"/>
  </r>
  <r>
    <n v="208"/>
    <n v="200"/>
    <n v="0.96150000000000002"/>
    <n v="8"/>
    <d v="1899-12-30T00:00:26"/>
    <d v="1899-12-30T00:02:23"/>
    <d v="1899-12-30T00:03:15"/>
    <n v="0.68779999999999997"/>
    <n v="9.6150000000000003E-3"/>
    <n v="6.8779999999999996E-3"/>
    <n v="8"/>
    <n v="3.8461538461538464E-2"/>
    <n v="0.96153846153846156"/>
  </r>
  <r>
    <n v="77"/>
    <n v="76"/>
    <n v="0.98699999999999999"/>
    <n v="1"/>
    <d v="1899-12-30T00:00:29"/>
    <d v="1899-12-30T00:02:16"/>
    <d v="1899-12-30T00:01:54"/>
    <n v="0.58440000000000003"/>
    <n v="9.8700000000000003E-3"/>
    <n v="5.8440000000000002E-3"/>
    <n v="1"/>
    <n v="1.2987012987012988E-2"/>
    <n v="0.98701298701298701"/>
  </r>
  <r>
    <n v="291"/>
    <n v="250"/>
    <n v="0.85909999999999997"/>
    <n v="41"/>
    <d v="1899-12-30T00:00:41"/>
    <d v="1899-12-30T00:02:20"/>
    <d v="1899-12-30T00:07:10"/>
    <n v="0.5544"/>
    <n v="8.5909999999999997E-3"/>
    <n v="5.5440000000000003E-3"/>
    <n v="41"/>
    <n v="0.14089347079037801"/>
    <n v="0.85910652920962194"/>
  </r>
  <r>
    <n v="219"/>
    <n v="212"/>
    <n v="0.96799999999999997"/>
    <n v="7"/>
    <d v="1899-12-30T00:00:21"/>
    <d v="1899-12-30T00:02:19"/>
    <d v="1899-12-30T00:01:50"/>
    <n v="0.76849999999999996"/>
    <n v="9.6799999999999994E-3"/>
    <n v="7.685E-3"/>
    <n v="7"/>
    <n v="3.1963470319634701E-2"/>
    <n v="0.96803652968036524"/>
  </r>
  <r>
    <n v="173"/>
    <n v="169"/>
    <n v="0.97689999999999999"/>
    <n v="4"/>
    <d v="1899-12-30T00:00:18"/>
    <d v="1899-12-30T00:02:13"/>
    <d v="1899-12-30T00:02:14"/>
    <n v="0.81399999999999995"/>
    <n v="9.7689999999999999E-3"/>
    <n v="8.1399999999999997E-3"/>
    <n v="4"/>
    <n v="2.3121387283236993E-2"/>
    <n v="0.97687861271676302"/>
  </r>
  <r>
    <n v="204"/>
    <n v="197"/>
    <n v="0.9657"/>
    <n v="7"/>
    <d v="1899-12-30T00:00:17"/>
    <d v="1899-12-30T00:02:23"/>
    <d v="1899-12-30T00:01:57"/>
    <n v="0.8"/>
    <n v="9.6570000000000007E-3"/>
    <n v="8.0000000000000002E-3"/>
    <n v="7"/>
    <n v="3.4313725490196081E-2"/>
    <n v="0.96568627450980393"/>
  </r>
  <r>
    <n v="216"/>
    <n v="185"/>
    <n v="0.85650000000000004"/>
    <n v="31"/>
    <d v="1899-12-30T00:00:30"/>
    <d v="1899-12-30T00:02:17"/>
    <d v="1899-12-30T00:06:26"/>
    <n v="0.61429999999999996"/>
    <n v="8.5649999999999997E-3"/>
    <n v="6.1429999999999992E-3"/>
    <n v="31"/>
    <n v="0.14351851851851852"/>
    <n v="0.85648148148148151"/>
  </r>
  <r>
    <n v="461"/>
    <n v="441"/>
    <n v="0.95660000000000001"/>
    <n v="20"/>
    <d v="1899-12-30T00:00:30"/>
    <d v="1899-12-30T00:02:18"/>
    <d v="1899-12-30T00:03:40"/>
    <n v="0.6149"/>
    <n v="9.5659999999999999E-3"/>
    <n v="6.149E-3"/>
    <n v="20"/>
    <n v="4.3383947939262472E-2"/>
    <n v="0.95661605206073752"/>
  </r>
  <r>
    <n v="56"/>
    <n v="55"/>
    <n v="0.98209999999999997"/>
    <n v="1"/>
    <d v="1899-12-30T00:00:26"/>
    <d v="1899-12-30T00:02:11"/>
    <d v="1899-12-30T00:01:53"/>
    <n v="0.66069999999999995"/>
    <n v="9.8209999999999999E-3"/>
    <n v="6.6069999999999992E-3"/>
    <n v="1"/>
    <n v="1.7857142857142856E-2"/>
    <n v="0.9821428571428571"/>
  </r>
  <r>
    <n v="192"/>
    <n v="176"/>
    <n v="0.91669999999999996"/>
    <n v="16"/>
    <d v="1899-12-30T00:00:23"/>
    <d v="1899-12-30T00:02:05"/>
    <d v="1899-12-30T00:02:47"/>
    <n v="0.68279999999999996"/>
    <n v="9.1669999999999998E-3"/>
    <n v="6.8279999999999999E-3"/>
    <n v="16"/>
    <n v="8.3333333333333329E-2"/>
    <n v="0.91666666666666663"/>
  </r>
  <r>
    <n v="382"/>
    <n v="365"/>
    <n v="0.95550000000000002"/>
    <n v="17"/>
    <d v="1899-12-30T00:00:20"/>
    <d v="1899-12-30T00:01:35"/>
    <d v="1899-12-30T00:02:53"/>
    <n v="0.73140000000000005"/>
    <n v="9.555000000000001E-3"/>
    <n v="7.3140000000000002E-3"/>
    <n v="17"/>
    <n v="4.4502617801047119E-2"/>
    <n v="0.95549738219895286"/>
  </r>
  <r>
    <n v="246"/>
    <n v="223"/>
    <n v="0.90649999999999997"/>
    <n v="23"/>
    <d v="1899-12-30T00:00:25"/>
    <d v="1899-12-30T00:02:14"/>
    <d v="1899-12-30T00:05:24"/>
    <n v="0.7167"/>
    <n v="9.0650000000000001E-3"/>
    <n v="7.1669999999999998E-3"/>
    <n v="23"/>
    <n v="9.3495934959349589E-2"/>
    <n v="0.9065040650406504"/>
  </r>
  <r>
    <n v="48"/>
    <n v="46"/>
    <n v="0.95830000000000004"/>
    <n v="2"/>
    <d v="1899-12-30T00:00:26"/>
    <d v="1899-12-30T00:02:14"/>
    <d v="1899-12-30T00:01:25"/>
    <n v="0.72340000000000004"/>
    <n v="9.5830000000000012E-3"/>
    <n v="7.2340000000000008E-3"/>
    <n v="2"/>
    <n v="4.1666666666666664E-2"/>
    <n v="0.95833333333333337"/>
  </r>
  <r>
    <n v="221"/>
    <n v="205"/>
    <n v="0.92759999999999998"/>
    <n v="16"/>
    <d v="1899-12-30T00:00:26"/>
    <d v="1899-12-30T00:02:15"/>
    <d v="1899-12-30T00:03:15"/>
    <n v="0.63080000000000003"/>
    <n v="9.2759999999999995E-3"/>
    <n v="6.3080000000000002E-3"/>
    <n v="16"/>
    <n v="7.2398190045248875E-2"/>
    <n v="0.92760180995475117"/>
  </r>
  <r>
    <n v="275"/>
    <n v="261"/>
    <n v="0.94910000000000005"/>
    <n v="14"/>
    <d v="1899-12-30T00:00:33"/>
    <d v="1899-12-30T00:02:19"/>
    <d v="1899-12-30T00:02:58"/>
    <n v="0.58520000000000005"/>
    <n v="9.4910000000000012E-3"/>
    <n v="5.8520000000000004E-3"/>
    <n v="14"/>
    <n v="5.0909090909090911E-2"/>
    <n v="0.9490909090909091"/>
  </r>
  <r>
    <n v="39"/>
    <n v="36"/>
    <n v="0.92310000000000003"/>
    <n v="3"/>
    <d v="1899-12-30T00:00:19"/>
    <d v="1899-12-30T00:01:53"/>
    <d v="1899-12-30T00:01:52"/>
    <n v="0.77780000000000005"/>
    <n v="9.2309999999999996E-3"/>
    <n v="7.7780000000000002E-3"/>
    <n v="3"/>
    <n v="7.6923076923076927E-2"/>
    <n v="0.92307692307692313"/>
  </r>
  <r>
    <n v="250"/>
    <n v="236"/>
    <n v="0.94399999999999995"/>
    <n v="14"/>
    <d v="1899-12-30T00:00:29"/>
    <d v="1899-12-30T00:02:08"/>
    <d v="1899-12-30T00:04:07"/>
    <n v="0.59040000000000004"/>
    <n v="9.4399999999999987E-3"/>
    <n v="5.9040000000000004E-3"/>
    <n v="14"/>
    <n v="5.6000000000000001E-2"/>
    <n v="0.94399999999999995"/>
  </r>
  <r>
    <n v="197"/>
    <n v="184"/>
    <n v="0.93400000000000005"/>
    <n v="13"/>
    <d v="1899-12-30T00:00:29"/>
    <d v="1899-12-30T00:02:23"/>
    <d v="1899-12-30T00:03:41"/>
    <n v="0.55610000000000004"/>
    <n v="9.3400000000000011E-3"/>
    <n v="5.561E-3"/>
    <n v="13"/>
    <n v="6.5989847715736044E-2"/>
    <n v="0.93401015228426398"/>
  </r>
  <r>
    <n v="223"/>
    <n v="208"/>
    <n v="0.93269999999999997"/>
    <n v="15"/>
    <d v="1899-12-30T00:00:28"/>
    <d v="1899-12-30T00:02:21"/>
    <d v="1899-12-30T00:06:51"/>
    <n v="0.72270000000000001"/>
    <n v="9.3270000000000002E-3"/>
    <n v="7.2269999999999999E-3"/>
    <n v="15"/>
    <n v="6.726457399103139E-2"/>
    <n v="0.93273542600896864"/>
  </r>
  <r>
    <n v="240"/>
    <n v="236"/>
    <n v="0.98329999999999995"/>
    <n v="4"/>
    <d v="1899-12-30T00:00:18"/>
    <d v="1899-12-30T00:02:14"/>
    <d v="1899-12-30T00:02:08"/>
    <n v="0.7792"/>
    <n v="9.8329999999999997E-3"/>
    <n v="7.7920000000000003E-3"/>
    <n v="4"/>
    <n v="1.6666666666666666E-2"/>
    <n v="0.98333333333333328"/>
  </r>
  <r>
    <n v="55"/>
    <n v="52"/>
    <n v="0.94550000000000001"/>
    <n v="3"/>
    <d v="1899-12-30T00:00:16"/>
    <d v="1899-12-30T00:02:19"/>
    <d v="1899-12-30T00:01:42"/>
    <n v="0.78180000000000005"/>
    <n v="9.4549999999999999E-3"/>
    <n v="7.8180000000000003E-3"/>
    <n v="3"/>
    <n v="5.4545454545454543E-2"/>
    <n v="0.94545454545454544"/>
  </r>
  <r>
    <n v="59"/>
    <n v="54"/>
    <n v="0.9153"/>
    <n v="5"/>
    <d v="1899-12-30T00:00:08"/>
    <d v="1899-12-30T00:02:06"/>
    <d v="1899-12-30T00:02:01"/>
    <n v="0.84750000000000003"/>
    <n v="9.1529999999999997E-3"/>
    <n v="8.4749999999999999E-3"/>
    <n v="5"/>
    <n v="8.4745762711864403E-2"/>
    <n v="0.9152542372881356"/>
  </r>
  <r>
    <n v="36"/>
    <n v="31"/>
    <n v="0.86109999999999998"/>
    <n v="5"/>
    <d v="1899-12-30T00:00:11"/>
    <d v="1899-12-30T00:02:22"/>
    <d v="1899-12-30T00:01:56"/>
    <n v="0.72219999999999995"/>
    <n v="8.6110000000000006E-3"/>
    <n v="7.2219999999999993E-3"/>
    <n v="5"/>
    <n v="0.1388888888888889"/>
    <n v="0.86111111111111116"/>
  </r>
  <r>
    <n v="229"/>
    <n v="219"/>
    <n v="0.95630000000000004"/>
    <n v="10"/>
    <d v="1899-12-30T00:00:13"/>
    <d v="1899-12-30T00:02:07"/>
    <d v="1899-12-30T00:02:35"/>
    <n v="0.84889999999999999"/>
    <n v="9.5630000000000003E-3"/>
    <n v="8.489E-3"/>
    <n v="10"/>
    <n v="4.3668122270742356E-2"/>
    <n v="0.95633187772925765"/>
  </r>
  <r>
    <n v="206"/>
    <n v="189"/>
    <n v="0.91749999999999998"/>
    <n v="17"/>
    <d v="1899-12-30T00:00:15"/>
    <d v="1899-12-30T00:02:19"/>
    <d v="1899-12-30T00:03:48"/>
    <n v="0.82830000000000004"/>
    <n v="9.1749999999999991E-3"/>
    <n v="8.2830000000000004E-3"/>
    <n v="17"/>
    <n v="8.2524271844660199E-2"/>
    <n v="0.91747572815533984"/>
  </r>
  <r>
    <n v="225"/>
    <n v="200"/>
    <n v="0.88890000000000002"/>
    <n v="25"/>
    <d v="1899-12-30T00:00:21"/>
    <d v="1899-12-30T00:02:21"/>
    <d v="1899-12-30T00:04:42"/>
    <n v="0.73109999999999997"/>
    <n v="8.8890000000000011E-3"/>
    <n v="7.3109999999999998E-3"/>
    <n v="25"/>
    <n v="0.1111111111111111"/>
    <n v="0.88888888888888884"/>
  </r>
  <r>
    <n v="200"/>
    <n v="193"/>
    <n v="0.96499999999999997"/>
    <n v="7"/>
    <d v="1899-12-30T00:00:17"/>
    <d v="1899-12-30T00:02:23"/>
    <d v="1899-12-30T00:03:40"/>
    <n v="0.79290000000000005"/>
    <n v="9.6499999999999989E-3"/>
    <n v="7.9290000000000003E-3"/>
    <n v="7"/>
    <n v="3.5000000000000003E-2"/>
    <n v="0.96499999999999997"/>
  </r>
  <r>
    <n v="189"/>
    <n v="179"/>
    <n v="0.94710000000000005"/>
    <n v="10"/>
    <d v="1899-12-30T00:00:22"/>
    <d v="1899-12-30T00:02:10"/>
    <d v="1899-12-30T00:06:41"/>
    <n v="0.78069999999999995"/>
    <n v="9.4710000000000003E-3"/>
    <n v="7.8069999999999997E-3"/>
    <n v="10"/>
    <n v="5.2910052910052907E-2"/>
    <n v="0.94708994708994709"/>
  </r>
  <r>
    <n v="169"/>
    <n v="159"/>
    <n v="0.94079999999999997"/>
    <n v="10"/>
    <d v="1899-12-30T00:00:22"/>
    <d v="1899-12-30T00:02:23"/>
    <d v="1899-12-30T00:03:26"/>
    <n v="0.73650000000000004"/>
    <n v="9.4079999999999997E-3"/>
    <n v="7.365E-3"/>
    <n v="10"/>
    <n v="5.9171597633136092E-2"/>
    <n v="0.94082840236686394"/>
  </r>
  <r>
    <n v="41"/>
    <n v="40"/>
    <n v="0.97560000000000002"/>
    <n v="1"/>
    <d v="1899-12-30T00:00:25"/>
    <d v="1899-12-30T00:02:32"/>
    <d v="1899-12-30T00:02:05"/>
    <n v="0.68289999999999995"/>
    <n v="9.7560000000000008E-3"/>
    <n v="6.8289999999999991E-3"/>
    <n v="1"/>
    <n v="2.4390243902439025E-2"/>
    <n v="0.97560975609756095"/>
  </r>
  <r>
    <n v="218"/>
    <n v="187"/>
    <n v="0.85780000000000001"/>
    <n v="31"/>
    <d v="1899-12-30T00:00:48"/>
    <d v="1899-12-30T00:02:15"/>
    <d v="1899-12-30T00:05:13"/>
    <n v="0.52110000000000001"/>
    <n v="8.5780000000000006E-3"/>
    <n v="5.2110000000000004E-3"/>
    <n v="31"/>
    <n v="0.14220183486238533"/>
    <n v="0.85779816513761464"/>
  </r>
  <r>
    <n v="194"/>
    <n v="185"/>
    <n v="0.9536"/>
    <n v="9"/>
    <d v="1899-12-30T00:00:21"/>
    <d v="1899-12-30T00:02:10"/>
    <d v="1899-12-30T00:02:45"/>
    <n v="0.71579999999999999"/>
    <n v="9.5359999999999993E-3"/>
    <n v="7.1580000000000003E-3"/>
    <n v="9"/>
    <n v="4.6391752577319589E-2"/>
    <n v="0.95360824742268047"/>
  </r>
  <r>
    <n v="176"/>
    <n v="172"/>
    <n v="0.97729999999999995"/>
    <n v="4"/>
    <d v="1899-12-30T00:00:16"/>
    <d v="1899-12-30T00:02:20"/>
    <d v="1899-12-30T00:02:15"/>
    <n v="0.82079999999999997"/>
    <n v="9.7729999999999987E-3"/>
    <n v="8.208E-3"/>
    <n v="4"/>
    <n v="2.2727272727272728E-2"/>
    <n v="0.97727272727272729"/>
  </r>
  <r>
    <n v="181"/>
    <n v="179"/>
    <n v="0.98899999999999999"/>
    <n v="2"/>
    <d v="1899-12-30T00:00:18"/>
    <d v="1899-12-30T00:02:21"/>
    <d v="1899-12-30T00:02:17"/>
    <n v="0.80559999999999998"/>
    <n v="9.8899999999999995E-3"/>
    <n v="8.0560000000000007E-3"/>
    <n v="2"/>
    <n v="1.1049723756906077E-2"/>
    <n v="0.98895027624309395"/>
  </r>
  <r>
    <n v="159"/>
    <n v="151"/>
    <n v="0.94969999999999999"/>
    <n v="8"/>
    <d v="1899-12-30T00:00:29"/>
    <d v="1899-12-30T00:01:59"/>
    <d v="1899-12-30T00:03:41"/>
    <n v="0.61009999999999998"/>
    <n v="9.4970000000000002E-3"/>
    <n v="6.1009999999999997E-3"/>
    <n v="8"/>
    <n v="5.0314465408805034E-2"/>
    <n v="0.94968553459119498"/>
  </r>
  <r>
    <n v="144"/>
    <n v="135"/>
    <n v="0.9375"/>
    <n v="9"/>
    <d v="1899-12-30T00:00:24"/>
    <d v="1899-12-30T00:02:12"/>
    <d v="1899-12-30T00:06:25"/>
    <n v="0.70630000000000004"/>
    <n v="9.3749999999999997E-3"/>
    <n v="7.0630000000000007E-3"/>
    <n v="9"/>
    <n v="6.25E-2"/>
    <n v="0.9375"/>
  </r>
  <r>
    <n v="30"/>
    <n v="29"/>
    <n v="0.9667"/>
    <n v="1"/>
    <d v="1899-12-30T00:00:33"/>
    <d v="1899-12-30T00:02:58"/>
    <d v="1899-12-30T00:02:16"/>
    <n v="0.6"/>
    <n v="9.6670000000000002E-3"/>
    <n v="6.0000000000000001E-3"/>
    <n v="1"/>
    <n v="3.3333333333333333E-2"/>
    <n v="0.96666666666666667"/>
  </r>
  <r>
    <n v="197"/>
    <n v="185"/>
    <n v="0.93910000000000005"/>
    <n v="12"/>
    <d v="1899-12-30T00:00:24"/>
    <d v="1899-12-30T00:02:18"/>
    <d v="1899-12-30T00:02:20"/>
    <n v="0.68230000000000002"/>
    <n v="9.391E-3"/>
    <n v="6.8230000000000001E-3"/>
    <n v="12"/>
    <n v="6.0913705583756347E-2"/>
    <n v="0.93908629441624369"/>
  </r>
  <r>
    <n v="56"/>
    <n v="47"/>
    <n v="0.83930000000000005"/>
    <n v="9"/>
    <d v="1899-12-30T00:00:24"/>
    <d v="1899-12-30T00:02:22"/>
    <d v="1899-12-30T00:02:48"/>
    <n v="0.58930000000000005"/>
    <n v="8.3930000000000012E-3"/>
    <n v="5.8930000000000007E-3"/>
    <n v="9"/>
    <n v="0.16071428571428573"/>
    <n v="0.8392857142857143"/>
  </r>
  <r>
    <n v="182"/>
    <n v="153"/>
    <n v="0.8407"/>
    <n v="29"/>
    <d v="1899-12-30T00:00:38"/>
    <d v="1899-12-30T00:02:17"/>
    <d v="1899-12-30T00:10:41"/>
    <n v="0.53890000000000005"/>
    <n v="8.4069999999999995E-3"/>
    <n v="5.3890000000000006E-3"/>
    <n v="29"/>
    <n v="0.15934065934065933"/>
    <n v="0.84065934065934067"/>
  </r>
  <r>
    <n v="178"/>
    <n v="166"/>
    <n v="0.93259999999999998"/>
    <n v="12"/>
    <d v="1899-12-30T00:00:30"/>
    <d v="1899-12-30T00:02:24"/>
    <d v="1899-12-30T00:05:12"/>
    <n v="0.62070000000000003"/>
    <n v="9.3259999999999992E-3"/>
    <n v="6.2070000000000007E-3"/>
    <n v="12"/>
    <n v="6.741573033707865E-2"/>
    <n v="0.93258426966292129"/>
  </r>
  <r>
    <n v="183"/>
    <n v="164"/>
    <n v="0.8962"/>
    <n v="19"/>
    <d v="1899-12-30T00:00:25"/>
    <d v="1899-12-30T00:02:04"/>
    <d v="1899-12-30T00:03:40"/>
    <n v="0.65910000000000002"/>
    <n v="8.9619999999999995E-3"/>
    <n v="6.5910000000000005E-3"/>
    <n v="19"/>
    <n v="0.10382513661202186"/>
    <n v="0.89617486338797814"/>
  </r>
  <r>
    <n v="197"/>
    <n v="182"/>
    <n v="0.92390000000000005"/>
    <n v="15"/>
    <d v="1899-12-30T00:00:28"/>
    <d v="1899-12-30T00:02:25"/>
    <d v="1899-12-30T00:04:20"/>
    <n v="0.64800000000000002"/>
    <n v="9.2390000000000007E-3"/>
    <n v="6.4800000000000005E-3"/>
    <n v="15"/>
    <n v="7.6142131979695438E-2"/>
    <n v="0.92385786802030456"/>
  </r>
  <r>
    <n v="60"/>
    <n v="58"/>
    <n v="0.9667"/>
    <n v="2"/>
    <d v="1899-12-30T00:00:37"/>
    <d v="1899-12-30T00:02:36"/>
    <d v="1899-12-30T00:03:10"/>
    <n v="0.54239999999999999"/>
    <n v="9.6670000000000002E-3"/>
    <n v="5.424E-3"/>
    <n v="2"/>
    <n v="3.3333333333333333E-2"/>
    <n v="0.96666666666666667"/>
  </r>
  <r>
    <n v="241"/>
    <n v="224"/>
    <n v="0.92949999999999999"/>
    <n v="17"/>
    <d v="1899-12-30T00:00:23"/>
    <d v="1899-12-30T00:02:25"/>
    <d v="1899-12-30T00:02:45"/>
    <n v="0.7046"/>
    <n v="9.2949999999999994E-3"/>
    <n v="7.0460000000000002E-3"/>
    <n v="17"/>
    <n v="7.0539419087136929E-2"/>
    <n v="0.9294605809128631"/>
  </r>
  <r>
    <n v="307"/>
    <n v="295"/>
    <n v="0.96089999999999998"/>
    <n v="12"/>
    <d v="1899-12-30T00:00:29"/>
    <d v="1899-12-30T00:02:16"/>
    <d v="1899-12-30T00:02:45"/>
    <n v="0.60460000000000003"/>
    <n v="9.6089999999999995E-3"/>
    <n v="6.0460000000000002E-3"/>
    <n v="12"/>
    <n v="3.9087947882736153E-2"/>
    <n v="0.96091205211726383"/>
  </r>
  <r>
    <n v="295"/>
    <n v="289"/>
    <n v="0.97970000000000002"/>
    <n v="6"/>
    <d v="1899-12-30T00:00:26"/>
    <d v="1899-12-30T00:02:23"/>
    <d v="1899-12-30T00:03:11"/>
    <n v="0.70689999999999997"/>
    <n v="9.7970000000000002E-3"/>
    <n v="7.0689999999999998E-3"/>
    <n v="6"/>
    <n v="2.0338983050847456E-2"/>
    <n v="0.97966101694915253"/>
  </r>
  <r>
    <n v="239"/>
    <n v="230"/>
    <n v="0.96230000000000004"/>
    <n v="9"/>
    <d v="1899-12-30T00:00:26"/>
    <d v="1899-12-30T00:02:14"/>
    <d v="1899-12-30T00:03:14"/>
    <n v="0.68910000000000005"/>
    <n v="9.6229999999999996E-3"/>
    <n v="6.8910000000000004E-3"/>
    <n v="9"/>
    <n v="3.7656903765690378E-2"/>
    <n v="0.96234309623430958"/>
  </r>
  <r>
    <n v="241"/>
    <n v="231"/>
    <n v="0.95850000000000002"/>
    <n v="10"/>
    <d v="1899-12-30T00:00:23"/>
    <d v="1899-12-30T00:02:25"/>
    <d v="1899-12-30T00:01:52"/>
    <n v="0.72460000000000002"/>
    <n v="9.5849999999999998E-3"/>
    <n v="7.2459999999999998E-3"/>
    <n v="10"/>
    <n v="4.1493775933609957E-2"/>
    <n v="0.95850622406639008"/>
  </r>
  <r>
    <n v="211"/>
    <n v="195"/>
    <n v="0.92420000000000002"/>
    <n v="16"/>
    <d v="1899-12-30T00:00:33"/>
    <d v="1899-12-30T00:02:42"/>
    <d v="1899-12-30T00:03:16"/>
    <n v="0.52400000000000002"/>
    <n v="9.2420000000000002E-3"/>
    <n v="5.2399999999999999E-3"/>
    <n v="16"/>
    <n v="7.582938388625593E-2"/>
    <n v="0.92417061611374407"/>
  </r>
  <r>
    <n v="40"/>
    <n v="35"/>
    <n v="0.875"/>
    <n v="5"/>
    <d v="1899-12-30T00:00:40"/>
    <d v="1899-12-30T00:02:35"/>
    <d v="1899-12-30T00:03:12"/>
    <n v="0.47499999999999998"/>
    <n v="8.7500000000000008E-3"/>
    <n v="4.7499999999999999E-3"/>
    <n v="5"/>
    <n v="0.125"/>
    <n v="0.875"/>
  </r>
  <r>
    <n v="192"/>
    <n v="174"/>
    <n v="0.90629999999999999"/>
    <n v="18"/>
    <d v="1899-12-30T00:00:32"/>
    <d v="1899-12-30T00:02:16"/>
    <d v="1899-12-30T00:03:40"/>
    <n v="0.55789999999999995"/>
    <n v="9.0629999999999999E-3"/>
    <n v="5.5789999999999998E-3"/>
    <n v="18"/>
    <n v="9.375E-2"/>
    <n v="0.90625"/>
  </r>
  <r>
    <n v="201"/>
    <n v="179"/>
    <n v="0.89049999999999996"/>
    <n v="22"/>
    <d v="1899-12-30T00:00:35"/>
    <d v="1899-12-30T00:02:18"/>
    <d v="1899-12-30T00:03:40"/>
    <n v="0.57289999999999996"/>
    <n v="8.9049999999999997E-3"/>
    <n v="5.7289999999999997E-3"/>
    <n v="22"/>
    <n v="0.10945273631840796"/>
    <n v="0.89054726368159209"/>
  </r>
  <r>
    <n v="274"/>
    <n v="247"/>
    <n v="0.90149999999999997"/>
    <n v="27"/>
    <d v="1899-12-30T00:00:28"/>
    <d v="1899-12-30T00:02:10"/>
    <d v="1899-12-30T00:04:04"/>
    <n v="0.63939999999999997"/>
    <n v="9.0150000000000004E-3"/>
    <n v="6.3939999999999995E-3"/>
    <n v="27"/>
    <n v="9.8540145985401464E-2"/>
    <n v="0.90145985401459849"/>
  </r>
  <r>
    <n v="205"/>
    <n v="176"/>
    <n v="0.85850000000000004"/>
    <n v="29"/>
    <d v="1899-12-30T00:00:41"/>
    <d v="1899-12-30T00:02:16"/>
    <d v="1899-12-30T00:05:11"/>
    <n v="0.46229999999999999"/>
    <n v="8.5850000000000006E-3"/>
    <n v="4.6229999999999995E-3"/>
    <n v="29"/>
    <n v="0.14146341463414633"/>
    <n v="0.85853658536585364"/>
  </r>
  <r>
    <n v="177"/>
    <n v="160"/>
    <n v="0.90400000000000003"/>
    <n v="17"/>
    <d v="1899-12-30T00:00:28"/>
    <d v="1899-12-30T00:02:20"/>
    <d v="1899-12-30T00:03:59"/>
    <n v="0.59199999999999997"/>
    <n v="9.0399999999999994E-3"/>
    <n v="5.9199999999999999E-3"/>
    <n v="17"/>
    <n v="9.6045197740112997E-2"/>
    <n v="0.903954802259887"/>
  </r>
  <r>
    <n v="159"/>
    <n v="151"/>
    <n v="0.94969999999999999"/>
    <n v="8"/>
    <d v="1899-12-30T00:00:22"/>
    <d v="1899-12-30T00:02:08"/>
    <d v="1899-12-30T00:07:22"/>
    <n v="0.73250000000000004"/>
    <n v="9.4970000000000002E-3"/>
    <n v="7.3250000000000008E-3"/>
    <n v="8"/>
    <n v="5.0314465408805034E-2"/>
    <n v="0.94968553459119498"/>
  </r>
  <r>
    <n v="33"/>
    <n v="28"/>
    <n v="0.84850000000000003"/>
    <n v="5"/>
    <d v="1899-12-30T00:00:13"/>
    <d v="1899-12-30T00:02:30"/>
    <d v="1899-12-30T00:01:02"/>
    <n v="0.66669999999999996"/>
    <n v="8.4849999999999995E-3"/>
    <n v="6.6669999999999993E-3"/>
    <n v="5"/>
    <n v="0.15151515151515152"/>
    <n v="0.84848484848484851"/>
  </r>
  <r>
    <n v="228"/>
    <n v="210"/>
    <n v="0.92110000000000003"/>
    <n v="18"/>
    <d v="1899-12-30T00:00:23"/>
    <d v="1899-12-30T00:02:08"/>
    <d v="1899-12-30T00:03:09"/>
    <n v="0.66669999999999996"/>
    <n v="9.2110000000000004E-3"/>
    <n v="6.6669999999999993E-3"/>
    <n v="18"/>
    <n v="7.8947368421052627E-2"/>
    <n v="0.92105263157894735"/>
  </r>
  <r>
    <n v="177"/>
    <n v="172"/>
    <n v="0.9718"/>
    <n v="5"/>
    <d v="1899-12-30T00:00:25"/>
    <d v="1899-12-30T00:02:15"/>
    <d v="1899-12-30T00:02:52"/>
    <n v="0.69140000000000001"/>
    <n v="9.7179999999999992E-3"/>
    <n v="6.914E-3"/>
    <n v="5"/>
    <n v="2.8248587570621469E-2"/>
    <n v="0.97175141242937857"/>
  </r>
  <r>
    <n v="197"/>
    <n v="169"/>
    <n v="0.8579"/>
    <n v="28"/>
    <d v="1899-12-30T00:00:34"/>
    <d v="1899-12-30T00:02:30"/>
    <d v="1899-12-30T00:07:41"/>
    <n v="0.55669999999999997"/>
    <n v="8.5789999999999998E-3"/>
    <n v="5.5669999999999999E-3"/>
    <n v="28"/>
    <n v="0.14213197969543148"/>
    <n v="0.85786802030456855"/>
  </r>
  <r>
    <n v="721"/>
    <n v="616"/>
    <n v="0.85440000000000005"/>
    <n v="105"/>
    <d v="1899-12-30T00:00:57"/>
    <d v="1899-12-30T00:01:55"/>
    <d v="1899-12-30T00:05:48"/>
    <n v="0.28310000000000002"/>
    <n v="8.5440000000000012E-3"/>
    <n v="2.8310000000000002E-3"/>
    <n v="105"/>
    <n v="0.14563106796116504"/>
    <n v="0.85436893203883491"/>
  </r>
  <r>
    <n v="301"/>
    <n v="270"/>
    <n v="0.89700000000000002"/>
    <n v="31"/>
    <d v="1899-12-30T00:00:42"/>
    <d v="1899-12-30T00:02:05"/>
    <d v="1899-12-30T00:10:06"/>
    <n v="0.42470000000000002"/>
    <n v="8.9700000000000005E-3"/>
    <n v="4.2469999999999999E-3"/>
    <n v="31"/>
    <n v="0.10299003322259136"/>
    <n v="0.89700996677740863"/>
  </r>
  <r>
    <n v="179"/>
    <n v="175"/>
    <n v="0.97770000000000001"/>
    <n v="4"/>
    <d v="1899-12-30T00:00:24"/>
    <d v="1899-12-30T00:02:21"/>
    <d v="1899-12-30T00:03:12"/>
    <n v="0.71350000000000002"/>
    <n v="9.777000000000001E-3"/>
    <n v="7.1349999999999998E-3"/>
    <n v="4"/>
    <n v="2.23463687150838E-2"/>
    <n v="0.97765363128491622"/>
  </r>
  <r>
    <n v="45"/>
    <n v="45"/>
    <n v="1"/>
    <n v="0"/>
    <d v="1899-12-30T00:00:16"/>
    <d v="1899-12-30T00:02:11"/>
    <d v="1899-12-30T00:03:21"/>
    <n v="0.86670000000000003"/>
    <n v="0.01"/>
    <n v="8.6670000000000011E-3"/>
    <n v="0"/>
    <n v="0"/>
    <n v="1"/>
  </r>
  <r>
    <n v="180"/>
    <n v="164"/>
    <n v="0.91110000000000002"/>
    <n v="16"/>
    <d v="1899-12-30T00:00:25"/>
    <d v="1899-12-30T00:02:22"/>
    <d v="1899-12-30T00:01:50"/>
    <n v="0.61799999999999999"/>
    <n v="9.111000000000001E-3"/>
    <n v="6.1799999999999997E-3"/>
    <n v="16"/>
    <n v="8.8888888888888892E-2"/>
    <n v="0.91111111111111109"/>
  </r>
  <r>
    <n v="206"/>
    <n v="200"/>
    <n v="0.97089999999999999"/>
    <n v="6"/>
    <d v="1899-12-30T00:00:22"/>
    <d v="1899-12-30T00:02:19"/>
    <d v="1899-12-30T00:02:07"/>
    <n v="0.74629999999999996"/>
    <n v="9.7090000000000006E-3"/>
    <n v="7.463E-3"/>
    <n v="6"/>
    <n v="2.9126213592233011E-2"/>
    <n v="0.970873786407767"/>
  </r>
  <r>
    <n v="187"/>
    <n v="181"/>
    <n v="0.96789999999999998"/>
    <n v="6"/>
    <d v="1899-12-30T00:00:32"/>
    <d v="1899-12-30T00:02:30"/>
    <d v="1899-12-30T00:03:54"/>
    <n v="0.627"/>
    <n v="9.6790000000000001E-3"/>
    <n v="6.2700000000000004E-3"/>
    <n v="6"/>
    <n v="3.2085561497326207E-2"/>
    <n v="0.96791443850267378"/>
  </r>
  <r>
    <n v="186"/>
    <n v="177"/>
    <n v="0.9516"/>
    <n v="9"/>
    <d v="1899-12-30T00:00:28"/>
    <d v="1899-12-30T00:02:22"/>
    <d v="1899-12-30T00:05:30"/>
    <n v="0.67930000000000001"/>
    <n v="9.5160000000000002E-3"/>
    <n v="6.7930000000000004E-3"/>
    <n v="9"/>
    <n v="4.8387096774193547E-2"/>
    <n v="0.95161290322580649"/>
  </r>
  <r>
    <n v="189"/>
    <n v="180"/>
    <n v="0.95240000000000002"/>
    <n v="9"/>
    <d v="1899-12-30T00:00:35"/>
    <d v="1899-12-30T00:02:15"/>
    <d v="1899-12-30T00:03:24"/>
    <n v="0.5645"/>
    <n v="9.5239999999999995E-3"/>
    <n v="5.6449999999999998E-3"/>
    <n v="9"/>
    <n v="4.7619047619047616E-2"/>
    <n v="0.95238095238095233"/>
  </r>
  <r>
    <n v="127"/>
    <n v="116"/>
    <n v="0.91339999999999999"/>
    <n v="11"/>
    <d v="1899-12-30T00:00:34"/>
    <d v="1899-12-30T00:02:25"/>
    <d v="1899-12-30T00:02:46"/>
    <n v="0.5645"/>
    <n v="9.1339999999999998E-3"/>
    <n v="5.6449999999999998E-3"/>
    <n v="11"/>
    <n v="8.6614173228346455E-2"/>
    <n v="0.91338582677165359"/>
  </r>
  <r>
    <n v="93"/>
    <n v="90"/>
    <n v="0.9677"/>
    <n v="3"/>
    <d v="1899-12-30T00:00:26"/>
    <d v="1899-12-30T00:01:57"/>
    <d v="1899-12-30T00:02:57"/>
    <n v="0.63439999999999996"/>
    <n v="9.6769999999999998E-3"/>
    <n v="6.3439999999999998E-3"/>
    <n v="3"/>
    <n v="3.2258064516129031E-2"/>
    <n v="0.967741935483871"/>
  </r>
  <r>
    <n v="328"/>
    <n v="292"/>
    <n v="0.89019999999999999"/>
    <n v="36"/>
    <d v="1899-12-30T00:00:37"/>
    <d v="1899-12-30T00:02:17"/>
    <d v="1899-12-30T00:06:25"/>
    <n v="0.49680000000000002"/>
    <n v="8.9020000000000002E-3"/>
    <n v="4.9680000000000002E-3"/>
    <n v="36"/>
    <n v="0.10975609756097561"/>
    <n v="0.8902439024390244"/>
  </r>
  <r>
    <n v="238"/>
    <n v="223"/>
    <n v="0.93700000000000006"/>
    <n v="15"/>
    <d v="1899-12-30T00:00:33"/>
    <d v="1899-12-30T00:02:23"/>
    <d v="1899-12-30T00:03:40"/>
    <n v="0.59230000000000005"/>
    <n v="9.3699999999999999E-3"/>
    <n v="5.9230000000000003E-3"/>
    <n v="15"/>
    <n v="6.3025210084033612E-2"/>
    <n v="0.93697478991596639"/>
  </r>
  <r>
    <n v="237"/>
    <n v="222"/>
    <n v="0.93669999999999998"/>
    <n v="15"/>
    <d v="1899-12-30T00:00:34"/>
    <d v="1899-12-30T00:02:24"/>
    <d v="1899-12-30T00:02:52"/>
    <n v="0.53849999999999998"/>
    <n v="9.3670000000000003E-3"/>
    <n v="5.385E-3"/>
    <n v="15"/>
    <n v="6.3291139240506333E-2"/>
    <n v="0.93670886075949367"/>
  </r>
  <r>
    <n v="257"/>
    <n v="235"/>
    <n v="0.91439999999999999"/>
    <n v="22"/>
    <d v="1899-12-30T00:00:45"/>
    <d v="1899-12-30T00:02:31"/>
    <d v="1899-12-30T00:04:24"/>
    <n v="0.4466"/>
    <n v="9.1439999999999994E-3"/>
    <n v="4.4660000000000004E-3"/>
    <n v="22"/>
    <n v="8.5603112840466927E-2"/>
    <n v="0.91439688715953304"/>
  </r>
  <r>
    <n v="238"/>
    <n v="223"/>
    <n v="0.93700000000000006"/>
    <n v="15"/>
    <d v="1899-12-30T00:00:32"/>
    <d v="1899-12-30T00:02:17"/>
    <d v="1899-12-30T00:03:22"/>
    <n v="0.54700000000000004"/>
    <n v="9.3699999999999999E-3"/>
    <n v="5.47E-3"/>
    <n v="15"/>
    <n v="6.3025210084033612E-2"/>
    <n v="0.93697478991596639"/>
  </r>
  <r>
    <n v="199"/>
    <n v="164"/>
    <n v="0.82410000000000005"/>
    <n v="35"/>
    <d v="1899-12-30T00:00:32"/>
    <d v="1899-12-30T00:02:13"/>
    <d v="1899-12-30T00:06:56"/>
    <n v="0.59179999999999999"/>
    <n v="8.2410000000000001E-3"/>
    <n v="5.9179999999999996E-3"/>
    <n v="35"/>
    <n v="0.17587939698492464"/>
    <n v="0.82412060301507539"/>
  </r>
  <r>
    <n v="30"/>
    <n v="27"/>
    <n v="0.9"/>
    <n v="3"/>
    <d v="1899-12-30T00:00:32"/>
    <d v="1899-12-30T00:02:34"/>
    <d v="1899-12-30T00:02:37"/>
    <n v="0.60709999999999997"/>
    <n v="9.0000000000000011E-3"/>
    <n v="6.071E-3"/>
    <n v="3"/>
    <n v="0.1"/>
    <n v="0.9"/>
  </r>
  <r>
    <n v="176"/>
    <n v="163"/>
    <n v="0.92610000000000003"/>
    <n v="13"/>
    <d v="1899-12-30T00:00:38"/>
    <d v="1899-12-30T00:02:05"/>
    <d v="1899-12-30T00:05:30"/>
    <n v="0.54290000000000005"/>
    <n v="9.2610000000000001E-3"/>
    <n v="5.4290000000000007E-3"/>
    <n v="13"/>
    <n v="7.3863636363636367E-2"/>
    <n v="0.92613636363636365"/>
  </r>
  <r>
    <n v="162"/>
    <n v="144"/>
    <n v="0.88890000000000002"/>
    <n v="18"/>
    <d v="1899-12-30T00:00:41"/>
    <d v="1899-12-30T00:02:25"/>
    <d v="1899-12-30T00:03:40"/>
    <n v="0.50309999999999999"/>
    <n v="8.8890000000000011E-3"/>
    <n v="5.0309999999999999E-3"/>
    <n v="18"/>
    <n v="0.1111111111111111"/>
    <n v="0.88888888888888884"/>
  </r>
  <r>
    <n v="169"/>
    <n v="157"/>
    <n v="0.92900000000000005"/>
    <n v="12"/>
    <d v="1899-12-30T00:00:29"/>
    <d v="1899-12-30T00:02:29"/>
    <d v="1899-12-30T00:01:56"/>
    <n v="0.53890000000000005"/>
    <n v="9.2899999999999996E-3"/>
    <n v="5.3890000000000006E-3"/>
    <n v="12"/>
    <n v="7.1005917159763315E-2"/>
    <n v="0.92899408284023666"/>
  </r>
  <r>
    <n v="155"/>
    <n v="146"/>
    <n v="0.94189999999999996"/>
    <n v="9"/>
    <d v="1899-12-30T00:00:30"/>
    <d v="1899-12-30T00:02:18"/>
    <d v="1899-12-30T00:03:10"/>
    <n v="0.50980000000000003"/>
    <n v="9.4190000000000003E-3"/>
    <n v="5.0980000000000001E-3"/>
    <n v="9"/>
    <n v="5.8064516129032261E-2"/>
    <n v="0.9419354838709677"/>
  </r>
  <r>
    <n v="247"/>
    <n v="205"/>
    <n v="0.83"/>
    <n v="42"/>
    <d v="1899-12-30T00:00:49"/>
    <d v="1899-12-30T00:02:26"/>
    <d v="1899-12-30T00:07:36"/>
    <n v="0.38490000000000002"/>
    <n v="8.3000000000000001E-3"/>
    <n v="3.849E-3"/>
    <n v="42"/>
    <n v="0.17004048582995951"/>
    <n v="0.82995951417004044"/>
  </r>
  <r>
    <n v="191"/>
    <n v="186"/>
    <n v="0.9738"/>
    <n v="5"/>
    <d v="1899-12-30T00:00:24"/>
    <d v="1899-12-30T00:02:14"/>
    <d v="1899-12-30T00:01:54"/>
    <n v="0.70530000000000004"/>
    <n v="9.7380000000000001E-3"/>
    <n v="7.0530000000000002E-3"/>
    <n v="5"/>
    <n v="2.6178010471204188E-2"/>
    <n v="0.97382198952879584"/>
  </r>
  <r>
    <n v="30"/>
    <n v="29"/>
    <n v="0.9667"/>
    <n v="1"/>
    <d v="1899-12-30T00:00:06"/>
    <d v="1899-12-30T00:02:15"/>
    <d v="1899-12-30T00:00:46"/>
    <n v="0.93330000000000002"/>
    <n v="9.6670000000000002E-3"/>
    <n v="9.333000000000001E-3"/>
    <n v="1"/>
    <n v="3.3333333333333333E-2"/>
    <n v="0.96666666666666667"/>
  </r>
  <r>
    <n v="316"/>
    <n v="290"/>
    <n v="0.91769999999999996"/>
    <n v="26"/>
    <d v="1899-12-30T00:00:31"/>
    <d v="1899-12-30T00:02:21"/>
    <d v="1899-12-30T00:04:02"/>
    <n v="0.59160000000000001"/>
    <n v="9.1769999999999994E-3"/>
    <n v="5.9160000000000003E-3"/>
    <n v="26"/>
    <n v="8.2278481012658222E-2"/>
    <n v="0.91772151898734178"/>
  </r>
  <r>
    <n v="211"/>
    <n v="195"/>
    <n v="0.92420000000000002"/>
    <n v="16"/>
    <d v="1899-12-30T00:00:34"/>
    <d v="1899-12-30T00:02:21"/>
    <d v="1899-12-30T00:06:25"/>
    <n v="0.55769999999999997"/>
    <n v="9.2420000000000002E-3"/>
    <n v="5.5769999999999995E-3"/>
    <n v="16"/>
    <n v="7.582938388625593E-2"/>
    <n v="0.92417061611374407"/>
  </r>
  <r>
    <n v="208"/>
    <n v="169"/>
    <n v="0.8125"/>
    <n v="39"/>
    <d v="1899-12-30T00:00:45"/>
    <d v="1899-12-30T00:02:18"/>
    <d v="1899-12-30T00:07:15"/>
    <n v="0.45850000000000002"/>
    <n v="8.1250000000000003E-3"/>
    <n v="4.5850000000000005E-3"/>
    <n v="39"/>
    <n v="0.1875"/>
    <n v="0.8125"/>
  </r>
  <r>
    <n v="130"/>
    <n v="124"/>
    <n v="0.95379999999999998"/>
    <n v="6"/>
    <d v="1899-12-30T00:00:22"/>
    <d v="1899-12-30T00:02:17"/>
    <d v="1899-12-30T00:02:15"/>
    <n v="0.68989999999999996"/>
    <n v="9.5379999999999996E-3"/>
    <n v="6.8989999999999998E-3"/>
    <n v="6"/>
    <n v="4.6153846153846156E-2"/>
    <n v="0.9538461538461539"/>
  </r>
  <r>
    <n v="134"/>
    <n v="129"/>
    <n v="0.9627"/>
    <n v="5"/>
    <d v="1899-12-30T00:00:24"/>
    <d v="1899-12-30T00:02:12"/>
    <d v="1899-12-30T00:03:28"/>
    <n v="0.70899999999999996"/>
    <n v="9.6270000000000001E-3"/>
    <n v="7.0899999999999999E-3"/>
    <n v="5"/>
    <n v="3.7313432835820892E-2"/>
    <n v="0.96268656716417911"/>
  </r>
  <r>
    <n v="124"/>
    <n v="121"/>
    <n v="0.9758"/>
    <n v="3"/>
    <d v="1899-12-30T00:00:27"/>
    <d v="1899-12-30T00:02:19"/>
    <d v="1899-12-30T00:03:19"/>
    <n v="0.70730000000000004"/>
    <n v="9.7579999999999993E-3"/>
    <n v="7.0730000000000003E-3"/>
    <n v="3"/>
    <n v="2.4193548387096774E-2"/>
    <n v="0.97580645161290325"/>
  </r>
  <r>
    <n v="47"/>
    <n v="43"/>
    <n v="0.91490000000000005"/>
    <n v="4"/>
    <d v="1899-12-30T00:00:37"/>
    <d v="1899-12-30T00:02:18"/>
    <d v="1899-12-30T00:03:16"/>
    <n v="0.54349999999999998"/>
    <n v="9.1490000000000009E-3"/>
    <n v="5.4349999999999997E-3"/>
    <n v="4"/>
    <n v="8.5106382978723402E-2"/>
    <n v="0.91489361702127658"/>
  </r>
  <r>
    <n v="197"/>
    <n v="186"/>
    <n v="0.94420000000000004"/>
    <n v="11"/>
    <d v="1899-12-30T00:00:28"/>
    <d v="1899-12-30T00:02:18"/>
    <d v="1899-12-30T00:02:27"/>
    <n v="0.63829999999999998"/>
    <n v="9.4420000000000007E-3"/>
    <n v="6.3829999999999998E-3"/>
    <n v="11"/>
    <n v="5.5837563451776651E-2"/>
    <n v="0.9441624365482234"/>
  </r>
  <r>
    <n v="158"/>
    <n v="146"/>
    <n v="0.92410000000000003"/>
    <n v="12"/>
    <d v="1899-12-30T00:00:31"/>
    <d v="1899-12-30T00:02:24"/>
    <d v="1899-12-30T00:03:40"/>
    <n v="0.5696"/>
    <n v="9.2410000000000009E-3"/>
    <n v="5.6959999999999997E-3"/>
    <n v="12"/>
    <n v="7.5949367088607597E-2"/>
    <n v="0.92405063291139244"/>
  </r>
  <r>
    <n v="163"/>
    <n v="151"/>
    <n v="0.9264"/>
    <n v="12"/>
    <d v="1899-12-30T00:00:28"/>
    <d v="1899-12-30T00:02:13"/>
    <d v="1899-12-30T00:04:53"/>
    <n v="0.63749999999999996"/>
    <n v="9.2639999999999997E-3"/>
    <n v="6.3749999999999996E-3"/>
    <n v="12"/>
    <n v="7.3619631901840496E-2"/>
    <n v="0.92638036809815949"/>
  </r>
  <r>
    <n v="178"/>
    <n v="160"/>
    <n v="0.89890000000000003"/>
    <n v="18"/>
    <d v="1899-12-30T00:00:35"/>
    <d v="1899-12-30T00:02:39"/>
    <d v="1899-12-30T00:04:41"/>
    <n v="0.54490000000000005"/>
    <n v="8.9890000000000005E-3"/>
    <n v="5.4490000000000007E-3"/>
    <n v="18"/>
    <n v="0.10112359550561797"/>
    <n v="0.898876404494382"/>
  </r>
  <r>
    <n v="151"/>
    <n v="128"/>
    <n v="0.84770000000000001"/>
    <n v="23"/>
    <d v="1899-12-30T00:00:35"/>
    <d v="1899-12-30T00:02:23"/>
    <d v="1899-12-30T00:05:38"/>
    <n v="0.53380000000000005"/>
    <n v="8.4770000000000002E-3"/>
    <n v="5.3380000000000007E-3"/>
    <n v="23"/>
    <n v="0.15231788079470199"/>
    <n v="0.84768211920529801"/>
  </r>
  <r>
    <n v="118"/>
    <n v="106"/>
    <n v="0.89829999999999999"/>
    <n v="12"/>
    <d v="1899-12-30T00:00:33"/>
    <d v="1899-12-30T00:02:25"/>
    <d v="1899-12-30T00:04:32"/>
    <n v="0.55169999999999997"/>
    <n v="8.9829999999999997E-3"/>
    <n v="5.5169999999999993E-3"/>
    <n v="12"/>
    <n v="0.10169491525423729"/>
    <n v="0.89830508474576276"/>
  </r>
  <r>
    <n v="31"/>
    <n v="28"/>
    <n v="0.9032"/>
    <n v="3"/>
    <d v="1899-12-30T00:00:40"/>
    <d v="1899-12-30T00:02:40"/>
    <d v="1899-12-30T00:03:12"/>
    <n v="0.43330000000000002"/>
    <n v="9.0320000000000001E-3"/>
    <n v="4.333E-3"/>
    <n v="3"/>
    <n v="9.6774193548387094E-2"/>
    <n v="0.90322580645161288"/>
  </r>
  <r>
    <n v="139"/>
    <n v="134"/>
    <n v="0.96399999999999997"/>
    <n v="5"/>
    <d v="1899-12-30T00:00:31"/>
    <d v="1899-12-30T00:02:23"/>
    <d v="1899-12-30T00:02:50"/>
    <n v="0.59419999999999995"/>
    <n v="9.6399999999999993E-3"/>
    <n v="5.9419999999999994E-3"/>
    <n v="5"/>
    <n v="3.5971223021582732E-2"/>
    <n v="0.96402877697841727"/>
  </r>
  <r>
    <n v="171"/>
    <n v="154"/>
    <n v="0.90059999999999996"/>
    <n v="17"/>
    <d v="1899-12-30T00:00:27"/>
    <d v="1899-12-30T00:02:24"/>
    <d v="1899-12-30T00:06:28"/>
    <n v="0.65659999999999996"/>
    <n v="9.0060000000000001E-3"/>
    <n v="6.5659999999999998E-3"/>
    <n v="17"/>
    <n v="9.9415204678362568E-2"/>
    <n v="0.90058479532163738"/>
  </r>
  <r>
    <n v="160"/>
    <n v="156"/>
    <n v="0.97499999999999998"/>
    <n v="4"/>
    <d v="1899-12-30T00:00:27"/>
    <d v="1899-12-30T00:02:15"/>
    <d v="1899-12-30T00:01:47"/>
    <n v="0.64559999999999995"/>
    <n v="9.75E-3"/>
    <n v="6.4559999999999999E-3"/>
    <n v="4"/>
    <n v="2.5000000000000001E-2"/>
    <n v="0.97499999999999998"/>
  </r>
  <r>
    <n v="177"/>
    <n v="169"/>
    <n v="0.95479999999999998"/>
    <n v="8"/>
    <d v="1899-12-30T00:00:29"/>
    <d v="1899-12-30T00:02:31"/>
    <d v="1899-12-30T00:03:40"/>
    <n v="0.64370000000000005"/>
    <n v="9.5479999999999992E-3"/>
    <n v="6.4370000000000009E-3"/>
    <n v="8"/>
    <n v="4.519774011299435E-2"/>
    <n v="0.95480225988700562"/>
  </r>
  <r>
    <n v="187"/>
    <n v="180"/>
    <n v="0.96260000000000001"/>
    <n v="7"/>
    <d v="1899-12-30T00:00:26"/>
    <d v="1899-12-30T00:02:22"/>
    <d v="1899-12-30T00:05:56"/>
    <n v="0.65590000000000004"/>
    <n v="9.6260000000000009E-3"/>
    <n v="6.5590000000000006E-3"/>
    <n v="7"/>
    <n v="3.7433155080213901E-2"/>
    <n v="0.96256684491978606"/>
  </r>
  <r>
    <n v="147"/>
    <n v="138"/>
    <n v="0.93879999999999997"/>
    <n v="9"/>
    <d v="1899-12-30T00:00:26"/>
    <d v="1899-12-30T00:02:24"/>
    <d v="1899-12-30T00:05:19"/>
    <n v="0.61380000000000001"/>
    <n v="9.3880000000000005E-3"/>
    <n v="6.1380000000000002E-3"/>
    <n v="9"/>
    <n v="6.1224489795918366E-2"/>
    <n v="0.93877551020408168"/>
  </r>
  <r>
    <n v="35"/>
    <n v="35"/>
    <n v="1"/>
    <n v="0"/>
    <d v="1899-12-30T00:00:08"/>
    <d v="1899-12-30T00:02:10"/>
    <d v="1899-12-30T00:00:47"/>
    <n v="0.88570000000000004"/>
    <n v="0.01"/>
    <n v="8.8570000000000003E-3"/>
    <n v="0"/>
    <n v="0"/>
    <n v="1"/>
  </r>
  <r>
    <n v="208"/>
    <n v="194"/>
    <n v="0.93269999999999997"/>
    <n v="14"/>
    <d v="1899-12-30T00:00:35"/>
    <d v="1899-12-30T00:02:26"/>
    <d v="1899-12-30T00:04:26"/>
    <n v="0.56930000000000003"/>
    <n v="9.3270000000000002E-3"/>
    <n v="5.6930000000000001E-3"/>
    <n v="14"/>
    <n v="6.7307692307692304E-2"/>
    <n v="0.93269230769230771"/>
  </r>
  <r>
    <n v="162"/>
    <n v="155"/>
    <n v="0.95679999999999998"/>
    <n v="7"/>
    <d v="1899-12-30T00:00:19"/>
    <d v="1899-12-30T00:02:17"/>
    <d v="1899-12-30T00:03:43"/>
    <n v="0.77990000000000004"/>
    <n v="9.5680000000000001E-3"/>
    <n v="7.7990000000000004E-3"/>
    <n v="7"/>
    <n v="4.3209876543209874E-2"/>
    <n v="0.95679012345679015"/>
  </r>
  <r>
    <n v="152"/>
    <n v="143"/>
    <n v="0.94079999999999997"/>
    <n v="9"/>
    <d v="1899-12-30T00:00:22"/>
    <d v="1899-12-30T00:02:28"/>
    <d v="1899-12-30T00:03:41"/>
    <n v="0.7"/>
    <n v="9.4079999999999997E-3"/>
    <n v="6.9999999999999993E-3"/>
    <n v="9"/>
    <n v="5.921052631578947E-2"/>
    <n v="0.94078947368421051"/>
  </r>
  <r>
    <n v="132"/>
    <n v="125"/>
    <n v="0.94699999999999995"/>
    <n v="7"/>
    <d v="1899-12-30T00:00:26"/>
    <d v="1899-12-30T00:02:07"/>
    <d v="1899-12-30T00:03:52"/>
    <n v="0.68940000000000001"/>
    <n v="9.4699999999999993E-3"/>
    <n v="6.894E-3"/>
    <n v="7"/>
    <n v="5.3030303030303032E-2"/>
    <n v="0.94696969696969702"/>
  </r>
  <r>
    <n v="133"/>
    <n v="131"/>
    <n v="0.98499999999999999"/>
    <n v="2"/>
    <d v="1899-12-30T00:00:12"/>
    <d v="1899-12-30T00:02:19"/>
    <d v="1899-12-30T00:01:19"/>
    <n v="0.87119999999999997"/>
    <n v="9.8499999999999994E-3"/>
    <n v="8.7119999999999993E-3"/>
    <n v="2"/>
    <n v="1.5037593984962405E-2"/>
    <n v="0.98496240601503759"/>
  </r>
  <r>
    <n v="129"/>
    <n v="121"/>
    <n v="0.93799999999999994"/>
    <n v="8"/>
    <d v="1899-12-30T00:00:33"/>
    <d v="1899-12-30T00:02:37"/>
    <d v="1899-12-30T00:04:01"/>
    <n v="0.61419999999999997"/>
    <n v="9.3799999999999994E-3"/>
    <n v="6.1419999999999999E-3"/>
    <n v="8"/>
    <n v="6.2015503875968991E-2"/>
    <n v="0.93798449612403101"/>
  </r>
  <r>
    <n v="37"/>
    <n v="35"/>
    <n v="0.94589999999999996"/>
    <n v="2"/>
    <d v="1899-12-30T00:00:19"/>
    <d v="1899-12-30T00:02:21"/>
    <d v="1899-12-30T00:01:32"/>
    <n v="0.75680000000000003"/>
    <n v="9.4590000000000004E-3"/>
    <n v="7.5680000000000001E-3"/>
    <n v="2"/>
    <n v="5.4054054054054057E-2"/>
    <n v="0.94594594594594594"/>
  </r>
  <r>
    <n v="56"/>
    <n v="54"/>
    <n v="0.96430000000000005"/>
    <n v="2"/>
    <d v="1899-12-30T00:00:13"/>
    <d v="1899-12-30T00:02:33"/>
    <d v="1899-12-30T00:02:13"/>
    <n v="0.87270000000000003"/>
    <n v="9.6430000000000005E-3"/>
    <n v="8.7270000000000004E-3"/>
    <n v="2"/>
    <n v="3.5714285714285712E-2"/>
    <n v="0.9642857142857143"/>
  </r>
  <r>
    <n v="215"/>
    <n v="210"/>
    <n v="0.97670000000000001"/>
    <n v="5"/>
    <d v="1899-12-30T00:00:12"/>
    <d v="1899-12-30T00:01:34"/>
    <d v="1899-12-30T00:01:42"/>
    <n v="0.87739999999999996"/>
    <n v="9.7669999999999996E-3"/>
    <n v="8.7739999999999988E-3"/>
    <n v="5"/>
    <n v="2.3255813953488372E-2"/>
    <n v="0.97674418604651159"/>
  </r>
  <r>
    <n v="50"/>
    <n v="46"/>
    <n v="0.92"/>
    <n v="4"/>
    <d v="1899-12-30T00:00:14"/>
    <d v="1899-12-30T00:02:42"/>
    <d v="1899-12-30T00:01:13"/>
    <n v="0.72"/>
    <n v="9.1999999999999998E-3"/>
    <n v="7.1999999999999998E-3"/>
    <n v="4"/>
    <n v="0.08"/>
    <n v="0.92"/>
  </r>
  <r>
    <n v="136"/>
    <n v="129"/>
    <n v="0.94850000000000001"/>
    <n v="7"/>
    <d v="1899-12-30T00:00:22"/>
    <d v="1899-12-30T00:02:26"/>
    <d v="1899-12-30T00:02:30"/>
    <n v="0.66420000000000001"/>
    <n v="9.4850000000000004E-3"/>
    <n v="6.6420000000000003E-3"/>
    <n v="7"/>
    <n v="5.1470588235294115E-2"/>
    <n v="0.94852941176470584"/>
  </r>
  <r>
    <n v="160"/>
    <n v="142"/>
    <n v="0.88749999999999996"/>
    <n v="18"/>
    <d v="1899-12-30T00:00:35"/>
    <d v="1899-12-30T00:02:34"/>
    <d v="1899-12-30T00:03:10"/>
    <n v="0.55920000000000003"/>
    <n v="8.8749999999999992E-3"/>
    <n v="5.5920000000000006E-3"/>
    <n v="18"/>
    <n v="0.1125"/>
    <n v="0.88749999999999996"/>
  </r>
  <r>
    <n v="132"/>
    <n v="115"/>
    <n v="0.87119999999999997"/>
    <n v="17"/>
    <d v="1899-12-30T00:00:36"/>
    <d v="1899-12-30T00:02:27"/>
    <d v="1899-12-30T00:04:35"/>
    <n v="0.4884"/>
    <n v="8.7119999999999993E-3"/>
    <n v="4.8840000000000003E-3"/>
    <n v="17"/>
    <n v="0.12878787878787878"/>
    <n v="0.87121212121212122"/>
  </r>
  <r>
    <n v="30"/>
    <n v="28"/>
    <n v="0.93330000000000002"/>
    <n v="2"/>
    <d v="1899-12-30T00:00:47"/>
    <d v="1899-12-30T00:02:36"/>
    <d v="1899-12-30T00:02:22"/>
    <n v="0.4"/>
    <n v="9.333000000000001E-3"/>
    <n v="4.0000000000000001E-3"/>
    <n v="2"/>
    <n v="6.6666666666666666E-2"/>
    <n v="0.93333333333333335"/>
  </r>
  <r>
    <n v="150"/>
    <n v="140"/>
    <n v="0.93330000000000002"/>
    <n v="10"/>
    <d v="1899-12-30T00:00:29"/>
    <d v="1899-12-30T00:02:32"/>
    <d v="1899-12-30T00:02:11"/>
    <n v="0.63090000000000002"/>
    <n v="9.333000000000001E-3"/>
    <n v="6.3090000000000004E-3"/>
    <n v="10"/>
    <n v="6.6666666666666666E-2"/>
    <n v="0.93333333333333335"/>
  </r>
  <r>
    <n v="160"/>
    <n v="144"/>
    <n v="0.9"/>
    <n v="16"/>
    <d v="1899-12-30T00:00:46"/>
    <d v="1899-12-30T00:02:39"/>
    <d v="1899-12-30T00:04:25"/>
    <n v="0.49680000000000002"/>
    <n v="9.0000000000000011E-3"/>
    <n v="4.9680000000000002E-3"/>
    <n v="16"/>
    <n v="0.1"/>
    <n v="0.9"/>
  </r>
  <r>
    <n v="132"/>
    <n v="122"/>
    <n v="0.92420000000000002"/>
    <n v="10"/>
    <d v="1899-12-30T00:00:37"/>
    <d v="1899-12-30T00:02:38"/>
    <d v="1899-12-30T00:03:51"/>
    <n v="0.5"/>
    <n v="9.2420000000000002E-3"/>
    <n v="5.0000000000000001E-3"/>
    <n v="10"/>
    <n v="7.575757575757576E-2"/>
    <n v="0.9242424242424242"/>
  </r>
  <r>
    <n v="161"/>
    <n v="151"/>
    <n v="0.93789999999999996"/>
    <n v="10"/>
    <d v="1899-12-30T00:00:28"/>
    <d v="1899-12-30T00:02:07"/>
    <d v="1899-12-30T00:02:50"/>
    <n v="0.6139"/>
    <n v="9.3790000000000002E-3"/>
    <n v="6.1390000000000004E-3"/>
    <n v="10"/>
    <n v="6.2111801242236024E-2"/>
    <n v="0.93788819875776397"/>
  </r>
  <r>
    <n v="156"/>
    <n v="149"/>
    <n v="0.95509999999999995"/>
    <n v="7"/>
    <d v="1899-12-30T00:00:22"/>
    <d v="1899-12-30T00:02:28"/>
    <d v="1899-12-30T00:04:11"/>
    <n v="0.70320000000000005"/>
    <n v="9.5509999999999987E-3"/>
    <n v="7.0320000000000001E-3"/>
    <n v="7"/>
    <n v="4.4871794871794872E-2"/>
    <n v="0.95512820512820518"/>
  </r>
  <r>
    <n v="137"/>
    <n v="128"/>
    <n v="0.93430000000000002"/>
    <n v="9"/>
    <d v="1899-12-30T00:00:31"/>
    <d v="1899-12-30T00:02:30"/>
    <d v="1899-12-30T00:05:04"/>
    <n v="0.62690000000000001"/>
    <n v="9.3430000000000006E-3"/>
    <n v="6.2690000000000003E-3"/>
    <n v="9"/>
    <n v="6.569343065693431E-2"/>
    <n v="0.93430656934306566"/>
  </r>
  <r>
    <n v="28"/>
    <n v="25"/>
    <n v="0.89290000000000003"/>
    <n v="3"/>
    <d v="1899-12-30T00:01:00"/>
    <d v="1899-12-30T00:02:47"/>
    <d v="1899-12-30T00:04:46"/>
    <n v="0.32140000000000002"/>
    <n v="8.9289999999999994E-3"/>
    <n v="3.2140000000000003E-3"/>
    <n v="3"/>
    <n v="0.10714285714285714"/>
    <n v="0.8928571428571429"/>
  </r>
  <r>
    <n v="141"/>
    <n v="133"/>
    <n v="0.94330000000000003"/>
    <n v="8"/>
    <d v="1899-12-30T00:00:33"/>
    <d v="1899-12-30T00:02:42"/>
    <d v="1899-12-30T00:04:38"/>
    <n v="0.6331"/>
    <n v="9.4330000000000004E-3"/>
    <n v="6.3309999999999998E-3"/>
    <n v="8"/>
    <n v="5.6737588652482268E-2"/>
    <n v="0.94326241134751776"/>
  </r>
  <r>
    <n v="130"/>
    <n v="123"/>
    <n v="0.94620000000000004"/>
    <n v="7"/>
    <d v="1899-12-30T00:00:32"/>
    <d v="1899-12-30T00:02:40"/>
    <d v="1899-12-30T00:02:20"/>
    <n v="0.53490000000000004"/>
    <n v="9.4619999999999999E-3"/>
    <n v="5.3490000000000005E-3"/>
    <n v="7"/>
    <n v="5.3846153846153849E-2"/>
    <n v="0.94615384615384612"/>
  </r>
  <r>
    <n v="161"/>
    <n v="155"/>
    <n v="0.9627"/>
    <n v="6"/>
    <d v="1899-12-30T00:00:27"/>
    <d v="1899-12-30T00:02:43"/>
    <d v="1899-12-30T00:02:43"/>
    <n v="0.73580000000000001"/>
    <n v="9.6270000000000001E-3"/>
    <n v="7.358E-3"/>
    <n v="6"/>
    <n v="3.7267080745341616E-2"/>
    <n v="0.96273291925465843"/>
  </r>
  <r>
    <n v="139"/>
    <n v="132"/>
    <n v="0.9496"/>
    <n v="7"/>
    <d v="1899-12-30T00:00:28"/>
    <d v="1899-12-30T00:02:40"/>
    <d v="1899-12-30T00:01:51"/>
    <n v="0.6331"/>
    <n v="9.4959999999999992E-3"/>
    <n v="6.3309999999999998E-3"/>
    <n v="7"/>
    <n v="5.0359712230215826E-2"/>
    <n v="0.94964028776978415"/>
  </r>
  <r>
    <n v="167"/>
    <n v="130"/>
    <n v="0.77839999999999998"/>
    <n v="37"/>
    <d v="1899-12-30T00:00:29"/>
    <d v="1899-12-30T00:02:34"/>
    <d v="1899-12-30T00:11:56"/>
    <n v="0.54600000000000004"/>
    <n v="7.7840000000000001E-3"/>
    <n v="5.4600000000000004E-3"/>
    <n v="37"/>
    <n v="0.22155688622754491"/>
    <n v="0.77844311377245512"/>
  </r>
  <r>
    <n v="138"/>
    <n v="122"/>
    <n v="0.8841"/>
    <n v="16"/>
    <d v="1899-12-30T00:00:35"/>
    <d v="1899-12-30T00:02:49"/>
    <d v="1899-12-30T00:05:30"/>
    <n v="0.57779999999999998"/>
    <n v="8.8409999999999999E-3"/>
    <n v="5.7780000000000001E-3"/>
    <n v="16"/>
    <n v="0.11594202898550725"/>
    <n v="0.88405797101449279"/>
  </r>
  <r>
    <n v="47"/>
    <n v="44"/>
    <n v="0.93620000000000003"/>
    <n v="3"/>
    <d v="1899-12-30T00:00:26"/>
    <d v="1899-12-30T00:03:11"/>
    <d v="1899-12-30T00:03:29"/>
    <n v="0.63039999999999996"/>
    <n v="9.3620000000000005E-3"/>
    <n v="6.3039999999999997E-3"/>
    <n v="3"/>
    <n v="6.3829787234042548E-2"/>
    <n v="0.93617021276595747"/>
  </r>
  <r>
    <n v="230"/>
    <n v="206"/>
    <n v="0.89570000000000005"/>
    <n v="24"/>
    <d v="1899-12-30T00:00:38"/>
    <d v="1899-12-30T00:02:34"/>
    <d v="1899-12-30T00:04:35"/>
    <n v="0.4672"/>
    <n v="8.9569999999999997E-3"/>
    <n v="4.6719999999999999E-3"/>
    <n v="24"/>
    <n v="0.10434782608695652"/>
    <n v="0.89565217391304353"/>
  </r>
  <r>
    <n v="177"/>
    <n v="153"/>
    <n v="0.86439999999999995"/>
    <n v="24"/>
    <d v="1899-12-30T00:00:30"/>
    <d v="1899-12-30T00:02:53"/>
    <d v="1899-12-30T00:04:28"/>
    <n v="0.55489999999999995"/>
    <n v="8.6439999999999989E-3"/>
    <n v="5.5489999999999992E-3"/>
    <n v="24"/>
    <n v="0.13559322033898305"/>
    <n v="0.86440677966101698"/>
  </r>
  <r>
    <n v="159"/>
    <n v="149"/>
    <n v="0.93710000000000004"/>
    <n v="10"/>
    <d v="1899-12-30T00:00:33"/>
    <d v="1899-12-30T00:02:40"/>
    <d v="1899-12-30T00:04:32"/>
    <n v="0.61040000000000005"/>
    <n v="9.3710000000000009E-3"/>
    <n v="6.1040000000000009E-3"/>
    <n v="10"/>
    <n v="6.2893081761006289E-2"/>
    <n v="0.93710691823899372"/>
  </r>
  <r>
    <n v="151"/>
    <n v="135"/>
    <n v="0.89400000000000002"/>
    <n v="16"/>
    <d v="1899-12-30T00:00:36"/>
    <d v="1899-12-30T00:02:32"/>
    <d v="1899-12-30T00:04:41"/>
    <n v="0.52739999999999998"/>
    <n v="8.94E-3"/>
    <n v="5.274E-3"/>
    <n v="16"/>
    <n v="0.10596026490066225"/>
    <n v="0.89403973509933776"/>
  </r>
  <r>
    <n v="138"/>
    <n v="126"/>
    <n v="0.91300000000000003"/>
    <n v="12"/>
    <d v="1899-12-30T00:00:34"/>
    <d v="1899-12-30T00:02:17"/>
    <d v="1899-12-30T00:04:10"/>
    <n v="0.59699999999999998"/>
    <n v="9.130000000000001E-3"/>
    <n v="5.9699999999999996E-3"/>
    <n v="12"/>
    <n v="8.6956521739130432E-2"/>
    <n v="0.91304347826086951"/>
  </r>
  <r>
    <n v="118"/>
    <n v="118"/>
    <n v="1"/>
    <n v="0"/>
    <d v="1899-12-30T00:00:26"/>
    <d v="1899-12-30T00:02:33"/>
    <d v="1899-12-30T00:01:38"/>
    <n v="0.66100000000000003"/>
    <n v="0.01"/>
    <n v="6.6100000000000004E-3"/>
    <n v="0"/>
    <n v="0"/>
    <n v="1"/>
  </r>
  <r>
    <n v="22"/>
    <n v="21"/>
    <n v="0.95450000000000002"/>
    <n v="1"/>
    <d v="1899-12-30T00:00:42"/>
    <d v="1899-12-30T00:02:24"/>
    <d v="1899-12-30T00:02:56"/>
    <n v="0.52380000000000004"/>
    <n v="9.5449999999999997E-3"/>
    <n v="5.2380000000000005E-3"/>
    <n v="1"/>
    <n v="4.5454545454545456E-2"/>
    <n v="0.95454545454545459"/>
  </r>
  <r>
    <n v="177"/>
    <n v="156"/>
    <n v="0.88139999999999996"/>
    <n v="21"/>
    <d v="1899-12-30T00:00:42"/>
    <d v="1899-12-30T00:02:39"/>
    <d v="1899-12-30T00:03:16"/>
    <n v="0.42370000000000002"/>
    <n v="8.8139999999999989E-3"/>
    <n v="4.2370000000000003E-3"/>
    <n v="21"/>
    <n v="0.11864406779661017"/>
    <n v="0.88135593220338981"/>
  </r>
  <r>
    <n v="156"/>
    <n v="147"/>
    <n v="0.94230000000000003"/>
    <n v="9"/>
    <d v="1899-12-30T00:00:29"/>
    <d v="1899-12-30T00:02:31"/>
    <d v="1899-12-30T00:03:41"/>
    <n v="0.63639999999999997"/>
    <n v="9.4230000000000008E-3"/>
    <n v="6.3639999999999999E-3"/>
    <n v="9"/>
    <n v="5.7692307692307696E-2"/>
    <n v="0.94230769230769229"/>
  </r>
  <r>
    <n v="123"/>
    <n v="121"/>
    <n v="0.98370000000000002"/>
    <n v="2"/>
    <d v="1899-12-30T00:00:26"/>
    <d v="1899-12-30T00:02:28"/>
    <d v="1899-12-30T00:03:29"/>
    <n v="0.64229999999999998"/>
    <n v="9.8370000000000003E-3"/>
    <n v="6.4229999999999999E-3"/>
    <n v="2"/>
    <n v="1.6260162601626018E-2"/>
    <n v="0.98373983739837401"/>
  </r>
  <r>
    <n v="130"/>
    <n v="125"/>
    <n v="0.96150000000000002"/>
    <n v="5"/>
    <d v="1899-12-30T00:00:26"/>
    <d v="1899-12-30T00:02:29"/>
    <d v="1899-12-30T00:03:28"/>
    <n v="0.66930000000000001"/>
    <n v="9.6150000000000003E-3"/>
    <n v="6.6930000000000002E-3"/>
    <n v="5"/>
    <n v="3.8461538461538464E-2"/>
    <n v="0.96153846153846156"/>
  </r>
  <r>
    <n v="141"/>
    <n v="134"/>
    <n v="0.95040000000000002"/>
    <n v="7"/>
    <d v="1899-12-30T00:00:39"/>
    <d v="1899-12-30T00:02:33"/>
    <d v="1899-12-30T00:03:08"/>
    <n v="0.56430000000000002"/>
    <n v="9.5040000000000003E-3"/>
    <n v="5.6430000000000004E-3"/>
    <n v="7"/>
    <n v="4.9645390070921988E-2"/>
    <n v="0.95035460992907805"/>
  </r>
  <r>
    <n v="121"/>
    <n v="113"/>
    <n v="0.93389999999999995"/>
    <n v="8"/>
    <d v="1899-12-30T00:00:38"/>
    <d v="1899-12-30T00:02:38"/>
    <d v="1899-12-30T00:04:18"/>
    <n v="0.50829999999999997"/>
    <n v="9.3390000000000001E-3"/>
    <n v="5.0829999999999998E-3"/>
    <n v="8"/>
    <n v="6.6115702479338845E-2"/>
    <n v="0.93388429752066116"/>
  </r>
  <r>
    <n v="35"/>
    <n v="31"/>
    <n v="0.88570000000000004"/>
    <n v="4"/>
    <d v="1899-12-30T00:00:34"/>
    <d v="1899-12-30T00:02:05"/>
    <d v="1899-12-30T00:04:29"/>
    <n v="0.47060000000000002"/>
    <n v="8.8570000000000003E-3"/>
    <n v="4.7060000000000001E-3"/>
    <n v="4"/>
    <n v="0.11428571428571428"/>
    <n v="0.88571428571428568"/>
  </r>
  <r>
    <n v="240"/>
    <n v="226"/>
    <n v="0.94169999999999998"/>
    <n v="14"/>
    <d v="1899-12-30T00:00:36"/>
    <d v="1899-12-30T00:02:15"/>
    <d v="1899-12-30T00:04:06"/>
    <n v="0.57020000000000004"/>
    <n v="9.417E-3"/>
    <n v="5.7020000000000005E-3"/>
    <n v="14"/>
    <n v="5.8333333333333334E-2"/>
    <n v="0.94166666666666665"/>
  </r>
  <r>
    <n v="130"/>
    <n v="118"/>
    <n v="0.90769999999999995"/>
    <n v="12"/>
    <d v="1899-12-30T00:00:32"/>
    <d v="1899-12-30T00:02:23"/>
    <d v="1899-12-30T00:03:40"/>
    <n v="0.57809999999999995"/>
    <n v="9.077E-3"/>
    <n v="5.7809999999999997E-3"/>
    <n v="12"/>
    <n v="9.2307692307692313E-2"/>
    <n v="0.90769230769230769"/>
  </r>
  <r>
    <n v="140"/>
    <n v="130"/>
    <n v="0.92859999999999998"/>
    <n v="10"/>
    <d v="1899-12-30T00:00:29"/>
    <d v="1899-12-30T00:02:31"/>
    <d v="1899-12-30T00:07:35"/>
    <n v="0.62319999999999998"/>
    <n v="9.2859999999999991E-3"/>
    <n v="6.2319999999999997E-3"/>
    <n v="10"/>
    <n v="7.1428571428571425E-2"/>
    <n v="0.9285714285714286"/>
  </r>
  <r>
    <n v="131"/>
    <n v="111"/>
    <n v="0.84730000000000005"/>
    <n v="20"/>
    <d v="1899-12-30T00:00:38"/>
    <d v="1899-12-30T00:03:16"/>
    <d v="1899-12-30T00:09:59"/>
    <n v="0.59689999999999999"/>
    <n v="8.4730000000000014E-3"/>
    <n v="5.9689999999999995E-3"/>
    <n v="20"/>
    <n v="0.15267175572519084"/>
    <n v="0.84732824427480913"/>
  </r>
  <r>
    <n v="74"/>
    <n v="74"/>
    <n v="1"/>
    <n v="0"/>
    <d v="1899-12-30T00:00:13"/>
    <d v="1899-12-30T00:02:55"/>
    <d v="1899-12-30T00:01:53"/>
    <n v="0.89190000000000003"/>
    <n v="0.01"/>
    <n v="8.9189999999999998E-3"/>
    <n v="0"/>
    <n v="0"/>
    <n v="1"/>
  </r>
  <r>
    <n v="24"/>
    <n v="24"/>
    <n v="1"/>
    <n v="0"/>
    <d v="1899-12-30T00:00:12"/>
    <d v="1899-12-30T00:02:47"/>
    <d v="1899-12-30T00:00:57"/>
    <n v="0.83330000000000004"/>
    <n v="0.01"/>
    <n v="8.3330000000000001E-3"/>
    <n v="0"/>
    <n v="0"/>
    <n v="1"/>
  </r>
  <r>
    <n v="11"/>
    <n v="10"/>
    <n v="0.90910000000000002"/>
    <n v="1"/>
    <d v="1899-12-30T00:00:13"/>
    <d v="1899-12-30T00:02:24"/>
    <d v="1899-12-30T00:00:55"/>
    <n v="0.81820000000000004"/>
    <n v="9.0910000000000001E-3"/>
    <n v="8.182E-3"/>
    <n v="1"/>
    <n v="9.0909090909090912E-2"/>
    <n v="0.90909090909090906"/>
  </r>
  <r>
    <n v="28"/>
    <n v="26"/>
    <n v="0.92859999999999998"/>
    <n v="2"/>
    <d v="1899-12-30T00:00:10"/>
    <d v="1899-12-30T00:02:30"/>
    <d v="1899-12-30T00:01:26"/>
    <n v="0.81479999999999997"/>
    <n v="9.2859999999999991E-3"/>
    <n v="8.147999999999999E-3"/>
    <n v="2"/>
    <n v="7.1428571428571425E-2"/>
    <n v="0.9285714285714286"/>
  </r>
  <r>
    <n v="43"/>
    <n v="43"/>
    <n v="1"/>
    <n v="0"/>
    <d v="1899-12-30T00:00:08"/>
    <d v="1899-12-30T00:02:23"/>
    <d v="1899-12-30T00:00:52"/>
    <n v="0.88370000000000004"/>
    <n v="0.01"/>
    <n v="8.8370000000000011E-3"/>
    <n v="0"/>
    <n v="0"/>
    <n v="1"/>
  </r>
  <r>
    <n v="62"/>
    <n v="62"/>
    <n v="1"/>
    <n v="0"/>
    <d v="1899-12-30T00:00:17"/>
    <d v="1899-12-30T00:02:12"/>
    <d v="1899-12-30T00:01:26"/>
    <n v="0.8226"/>
    <n v="0.01"/>
    <n v="8.2260000000000007E-3"/>
    <n v="0"/>
    <n v="0"/>
    <n v="1"/>
  </r>
  <r>
    <n v="70"/>
    <n v="69"/>
    <n v="0.98570000000000002"/>
    <n v="1"/>
    <d v="1899-12-30T00:00:22"/>
    <d v="1899-12-30T00:02:06"/>
    <d v="1899-12-30T00:08:40"/>
    <n v="0.81430000000000002"/>
    <n v="9.8569999999999994E-3"/>
    <n v="8.1430000000000009E-3"/>
    <n v="1"/>
    <n v="1.4285714285714285E-2"/>
    <n v="0.98571428571428577"/>
  </r>
  <r>
    <n v="107"/>
    <n v="97"/>
    <n v="0.90649999999999997"/>
    <n v="10"/>
    <d v="1899-12-30T00:00:21"/>
    <d v="1899-12-30T00:02:26"/>
    <d v="1899-12-30T00:02:40"/>
    <n v="0.68869999999999998"/>
    <n v="9.0650000000000001E-3"/>
    <n v="6.8869999999999999E-3"/>
    <n v="10"/>
    <n v="9.3457943925233641E-2"/>
    <n v="0.90654205607476634"/>
  </r>
  <r>
    <n v="91"/>
    <n v="85"/>
    <n v="0.93410000000000004"/>
    <n v="6"/>
    <d v="1899-12-30T00:00:30"/>
    <d v="1899-12-30T00:02:27"/>
    <d v="1899-12-30T00:05:49"/>
    <n v="0.62639999999999996"/>
    <n v="9.3410000000000003E-3"/>
    <n v="6.2639999999999996E-3"/>
    <n v="6"/>
    <n v="6.5934065934065936E-2"/>
    <n v="0.93406593406593408"/>
  </r>
  <r>
    <n v="25"/>
    <n v="25"/>
    <n v="1"/>
    <n v="0"/>
    <d v="1899-12-30T00:00:11"/>
    <d v="1899-12-30T00:02:40"/>
    <d v="1899-12-30T00:00:55"/>
    <n v="0.84"/>
    <n v="0.01"/>
    <n v="8.3999999999999995E-3"/>
    <n v="0"/>
    <n v="0"/>
    <n v="1"/>
  </r>
  <r>
    <n v="85"/>
    <n v="79"/>
    <n v="0.9294"/>
    <n v="6"/>
    <d v="1899-12-30T00:00:24"/>
    <d v="1899-12-30T00:02:31"/>
    <d v="1899-12-30T00:03:07"/>
    <n v="0.72289999999999999"/>
    <n v="9.2940000000000002E-3"/>
    <n v="7.2290000000000002E-3"/>
    <n v="6"/>
    <n v="7.0588235294117646E-2"/>
    <n v="0.92941176470588238"/>
  </r>
  <r>
    <n v="91"/>
    <n v="83"/>
    <n v="0.91210000000000002"/>
    <n v="8"/>
    <d v="1899-12-30T00:00:26"/>
    <d v="1899-12-30T00:02:37"/>
    <d v="1899-12-30T00:03:40"/>
    <n v="0.62639999999999996"/>
    <n v="9.1210000000000006E-3"/>
    <n v="6.2639999999999996E-3"/>
    <n v="8"/>
    <n v="8.7912087912087919E-2"/>
    <n v="0.91208791208791207"/>
  </r>
  <r>
    <n v="48"/>
    <n v="46"/>
    <n v="0.95830000000000004"/>
    <n v="2"/>
    <d v="1899-12-30T00:00:11"/>
    <d v="1899-12-30T00:02:13"/>
    <d v="1899-12-30T00:01:22"/>
    <n v="0.82979999999999998"/>
    <n v="9.5830000000000012E-3"/>
    <n v="8.2979999999999998E-3"/>
    <n v="2"/>
    <n v="4.1666666666666664E-2"/>
    <n v="0.95833333333333337"/>
  </r>
  <r>
    <n v="14"/>
    <n v="11"/>
    <n v="0.78569999999999995"/>
    <n v="3"/>
    <d v="1899-12-30T00:00:18"/>
    <d v="1899-12-30T00:02:27"/>
    <d v="1899-12-30T00:02:45"/>
    <n v="0.61539999999999995"/>
    <n v="7.8569999999999994E-3"/>
    <n v="6.1539999999999997E-3"/>
    <n v="3"/>
    <n v="0.21428571428571427"/>
    <n v="0.7857142857142857"/>
  </r>
  <r>
    <n v="43"/>
    <n v="42"/>
    <n v="0.97670000000000001"/>
    <n v="1"/>
    <d v="1899-12-30T00:00:22"/>
    <d v="1899-12-30T00:02:47"/>
    <d v="1899-12-30T00:03:15"/>
    <n v="0.73809999999999998"/>
    <n v="9.7669999999999996E-3"/>
    <n v="7.3809999999999995E-3"/>
    <n v="1"/>
    <n v="2.3255813953488372E-2"/>
    <n v="0.97674418604651159"/>
  </r>
  <r>
    <n v="74"/>
    <n v="69"/>
    <n v="0.93240000000000001"/>
    <n v="5"/>
    <d v="1899-12-30T00:00:23"/>
    <d v="1899-12-30T00:02:31"/>
    <d v="1899-12-30T00:04:48"/>
    <n v="0.7671"/>
    <n v="9.3240000000000007E-3"/>
    <n v="7.6709999999999999E-3"/>
    <n v="5"/>
    <n v="6.7567567567567571E-2"/>
    <n v="0.93243243243243246"/>
  </r>
  <r>
    <n v="33"/>
    <n v="33"/>
    <n v="1"/>
    <n v="0"/>
    <d v="1899-12-30T00:00:14"/>
    <d v="1899-12-30T00:02:25"/>
    <d v="1899-12-30T00:01:29"/>
    <n v="0.81820000000000004"/>
    <n v="0.01"/>
    <n v="8.182E-3"/>
    <n v="0"/>
    <n v="0"/>
    <n v="1"/>
  </r>
  <r>
    <n v="124"/>
    <n v="112"/>
    <n v="0.9032"/>
    <n v="12"/>
    <d v="1899-12-30T00:00:26"/>
    <d v="1899-12-30T00:02:36"/>
    <d v="1899-12-30T00:05:30"/>
    <n v="0.64749999999999996"/>
    <n v="9.0320000000000001E-3"/>
    <n v="6.4749999999999999E-3"/>
    <n v="12"/>
    <n v="9.6774193548387094E-2"/>
    <n v="0.90322580645161288"/>
  </r>
  <r>
    <n v="130"/>
    <n v="126"/>
    <n v="0.96919999999999995"/>
    <n v="4"/>
    <d v="1899-12-30T00:00:25"/>
    <d v="1899-12-30T00:02:30"/>
    <d v="1899-12-30T00:02:58"/>
    <n v="0.65890000000000004"/>
    <n v="9.6919999999999992E-3"/>
    <n v="6.5890000000000002E-3"/>
    <n v="4"/>
    <n v="3.0769230769230771E-2"/>
    <n v="0.96923076923076923"/>
  </r>
  <r>
    <n v="139"/>
    <n v="139"/>
    <n v="1"/>
    <n v="0"/>
    <d v="1899-12-30T00:00:18"/>
    <d v="1899-12-30T00:02:40"/>
    <d v="1899-12-30T00:03:03"/>
    <n v="0.77539999999999998"/>
    <n v="0.01"/>
    <n v="7.7539999999999996E-3"/>
    <n v="0"/>
    <n v="0"/>
    <n v="1"/>
  </r>
  <r>
    <n v="138"/>
    <n v="130"/>
    <n v="0.94199999999999995"/>
    <n v="8"/>
    <d v="1899-12-30T00:00:26"/>
    <d v="1899-12-30T00:02:27"/>
    <d v="1899-12-30T00:01:52"/>
    <n v="0.61480000000000001"/>
    <n v="9.4199999999999996E-3"/>
    <n v="6.1479999999999998E-3"/>
    <n v="8"/>
    <n v="5.7971014492753624E-2"/>
    <n v="0.94202898550724634"/>
  </r>
  <r>
    <n v="125"/>
    <n v="119"/>
    <n v="0.95199999999999996"/>
    <n v="6"/>
    <d v="1899-12-30T00:00:22"/>
    <d v="1899-12-30T00:02:29"/>
    <d v="1899-12-30T00:03:40"/>
    <n v="0.68"/>
    <n v="9.5199999999999989E-3"/>
    <n v="6.8000000000000005E-3"/>
    <n v="6"/>
    <n v="4.8000000000000001E-2"/>
    <n v="0.95199999999999996"/>
  </r>
  <r>
    <n v="98"/>
    <n v="96"/>
    <n v="0.97960000000000003"/>
    <n v="2"/>
    <d v="1899-12-30T00:00:20"/>
    <d v="1899-12-30T00:02:36"/>
    <d v="1899-12-30T00:02:53"/>
    <n v="0.7732"/>
    <n v="9.7960000000000009E-3"/>
    <n v="7.7320000000000002E-3"/>
    <n v="2"/>
    <n v="2.0408163265306121E-2"/>
    <n v="0.97959183673469385"/>
  </r>
  <r>
    <n v="12"/>
    <n v="12"/>
    <n v="1"/>
    <n v="0"/>
    <d v="1899-12-30T00:00:18"/>
    <d v="1899-12-30T00:03:07"/>
    <d v="1899-12-30T00:01:36"/>
    <n v="0.83330000000000004"/>
    <n v="0.01"/>
    <n v="8.3330000000000001E-3"/>
    <n v="0"/>
    <n v="0"/>
    <n v="1"/>
  </r>
  <r>
    <n v="119"/>
    <n v="117"/>
    <n v="0.98319999999999996"/>
    <n v="2"/>
    <d v="1899-12-30T00:00:18"/>
    <d v="1899-12-30T00:02:39"/>
    <d v="1899-12-30T00:02:43"/>
    <n v="0.78149999999999997"/>
    <n v="9.8320000000000005E-3"/>
    <n v="7.814999999999999E-3"/>
    <n v="2"/>
    <n v="1.680672268907563E-2"/>
    <n v="0.98319327731092432"/>
  </r>
  <r>
    <n v="100"/>
    <n v="96"/>
    <n v="0.96"/>
    <n v="4"/>
    <d v="1899-12-30T00:00:21"/>
    <d v="1899-12-30T00:02:37"/>
    <d v="1899-12-30T00:02:45"/>
    <n v="0.76"/>
    <n v="9.5999999999999992E-3"/>
    <n v="7.6E-3"/>
    <n v="4"/>
    <n v="0.04"/>
    <n v="0.96"/>
  </r>
  <r>
    <n v="146"/>
    <n v="133"/>
    <n v="0.91100000000000003"/>
    <n v="13"/>
    <d v="1899-12-30T00:00:31"/>
    <d v="1899-12-30T00:02:30"/>
    <d v="1899-12-30T00:03:40"/>
    <n v="0.57750000000000001"/>
    <n v="9.11E-3"/>
    <n v="5.7749999999999998E-3"/>
    <n v="13"/>
    <n v="8.9041095890410954E-2"/>
    <n v="0.91095890410958902"/>
  </r>
  <r>
    <n v="131"/>
    <n v="127"/>
    <n v="0.96950000000000003"/>
    <n v="4"/>
    <d v="1899-12-30T00:00:22"/>
    <d v="1899-12-30T00:02:25"/>
    <d v="1899-12-30T00:02:28"/>
    <n v="0.72660000000000002"/>
    <n v="9.6950000000000005E-3"/>
    <n v="7.2659999999999999E-3"/>
    <n v="4"/>
    <n v="3.0534351145038167E-2"/>
    <n v="0.96946564885496178"/>
  </r>
  <r>
    <n v="107"/>
    <n v="104"/>
    <n v="0.97199999999999998"/>
    <n v="3"/>
    <d v="1899-12-30T00:00:08"/>
    <d v="1899-12-30T00:02:27"/>
    <d v="1899-12-30T00:01:36"/>
    <n v="0.92449999999999999"/>
    <n v="9.7199999999999995E-3"/>
    <n v="9.2449999999999997E-3"/>
    <n v="3"/>
    <n v="2.8037383177570093E-2"/>
    <n v="0.9719626168224299"/>
  </r>
  <r>
    <n v="112"/>
    <n v="105"/>
    <n v="0.9375"/>
    <n v="7"/>
    <d v="1899-12-30T00:00:24"/>
    <d v="1899-12-30T00:02:38"/>
    <d v="1899-12-30T00:04:28"/>
    <n v="0.67269999999999996"/>
    <n v="9.3749999999999997E-3"/>
    <n v="6.7269999999999995E-3"/>
    <n v="7"/>
    <n v="6.25E-2"/>
    <n v="0.9375"/>
  </r>
  <r>
    <n v="21"/>
    <n v="21"/>
    <n v="1"/>
    <n v="0"/>
    <d v="1899-12-30T00:00:32"/>
    <d v="1899-12-30T00:02:31"/>
    <d v="1899-12-30T00:01:25"/>
    <n v="0.52380000000000004"/>
    <n v="0.01"/>
    <n v="5.2380000000000005E-3"/>
    <n v="0"/>
    <n v="0"/>
    <n v="1"/>
  </r>
  <r>
    <n v="125"/>
    <n v="104"/>
    <n v="0.83199999999999996"/>
    <n v="21"/>
    <d v="1899-12-30T00:00:37"/>
    <d v="1899-12-30T00:02:44"/>
    <d v="1899-12-30T00:02:45"/>
    <n v="0.44629999999999997"/>
    <n v="8.3199999999999993E-3"/>
    <n v="4.463E-3"/>
    <n v="21"/>
    <n v="0.16800000000000001"/>
    <n v="0.83199999999999996"/>
  </r>
  <r>
    <n v="35"/>
    <n v="34"/>
    <n v="0.97140000000000004"/>
    <n v="1"/>
    <d v="1899-12-30T00:00:24"/>
    <d v="1899-12-30T00:02:12"/>
    <d v="1899-12-30T00:02:16"/>
    <n v="0.7429"/>
    <n v="9.7140000000000004E-3"/>
    <n v="7.4289999999999998E-3"/>
    <n v="1"/>
    <n v="2.8571428571428571E-2"/>
    <n v="0.97142857142857142"/>
  </r>
  <r>
    <n v="121"/>
    <n v="109"/>
    <n v="0.90080000000000005"/>
    <n v="12"/>
    <d v="1899-12-30T00:00:38"/>
    <d v="1899-12-30T00:02:32"/>
    <d v="1899-12-30T00:05:21"/>
    <n v="0.53779999999999994"/>
    <n v="9.0080000000000004E-3"/>
    <n v="5.3779999999999991E-3"/>
    <n v="12"/>
    <n v="9.9173553719008267E-2"/>
    <n v="0.90082644628099173"/>
  </r>
  <r>
    <n v="135"/>
    <n v="122"/>
    <n v="0.90369999999999995"/>
    <n v="13"/>
    <d v="1899-12-30T00:00:32"/>
    <d v="1899-12-30T00:02:34"/>
    <d v="1899-12-30T00:03:08"/>
    <n v="0.57579999999999998"/>
    <n v="9.0369999999999999E-3"/>
    <n v="5.7580000000000001E-3"/>
    <n v="13"/>
    <n v="9.6296296296296297E-2"/>
    <n v="0.90370370370370368"/>
  </r>
  <r>
    <n v="117"/>
    <n v="114"/>
    <n v="0.97440000000000004"/>
    <n v="3"/>
    <d v="1899-12-30T00:00:22"/>
    <d v="1899-12-30T00:02:38"/>
    <d v="1899-12-30T00:02:27"/>
    <n v="0.75860000000000005"/>
    <n v="9.7440000000000009E-3"/>
    <n v="7.5860000000000007E-3"/>
    <n v="3"/>
    <n v="2.564102564102564E-2"/>
    <n v="0.97435897435897434"/>
  </r>
  <r>
    <n v="114"/>
    <n v="97"/>
    <n v="0.85089999999999999"/>
    <n v="17"/>
    <d v="1899-12-30T00:00:39"/>
    <d v="1899-12-30T00:02:50"/>
    <d v="1899-12-30T00:08:16"/>
    <n v="0.45129999999999998"/>
    <n v="8.5089999999999992E-3"/>
    <n v="4.5129999999999997E-3"/>
    <n v="17"/>
    <n v="0.14912280701754385"/>
    <n v="0.85087719298245612"/>
  </r>
  <r>
    <n v="50"/>
    <n v="49"/>
    <n v="0.98"/>
    <n v="1"/>
    <d v="1899-12-30T00:00:35"/>
    <d v="1899-12-30T00:02:55"/>
    <d v="1899-12-30T00:02:22"/>
    <n v="0.52"/>
    <n v="9.7999999999999997E-3"/>
    <n v="5.1999999999999998E-3"/>
    <n v="1"/>
    <n v="0.02"/>
    <n v="0.98"/>
  </r>
  <r>
    <n v="207"/>
    <n v="198"/>
    <n v="0.95650000000000002"/>
    <n v="9"/>
    <d v="1899-12-30T00:00:16"/>
    <d v="1899-12-30T00:02:43"/>
    <d v="1899-12-30T00:03:51"/>
    <n v="0.80489999999999995"/>
    <n v="9.5650000000000006E-3"/>
    <n v="8.0489999999999989E-3"/>
    <n v="9"/>
    <n v="4.3478260869565216E-2"/>
    <n v="0.95652173913043481"/>
  </r>
  <r>
    <n v="189"/>
    <n v="183"/>
    <n v="0.96830000000000005"/>
    <n v="6"/>
    <d v="1899-12-30T00:00:21"/>
    <d v="1899-12-30T00:02:31"/>
    <d v="1899-12-30T00:03:58"/>
    <n v="0.7419"/>
    <n v="9.6830000000000006E-3"/>
    <n v="7.4190000000000002E-3"/>
    <n v="6"/>
    <n v="3.1746031746031744E-2"/>
    <n v="0.96825396825396826"/>
  </r>
  <r>
    <n v="162"/>
    <n v="156"/>
    <n v="0.96299999999999997"/>
    <n v="6"/>
    <d v="1899-12-30T00:00:24"/>
    <d v="1899-12-30T00:02:22"/>
    <d v="1899-12-30T00:02:08"/>
    <n v="0.66459999999999997"/>
    <n v="9.6299999999999997E-3"/>
    <n v="6.646E-3"/>
    <n v="6"/>
    <n v="3.7037037037037035E-2"/>
    <n v="0.96296296296296291"/>
  </r>
  <r>
    <n v="177"/>
    <n v="165"/>
    <n v="0.93220000000000003"/>
    <n v="12"/>
    <d v="1899-12-30T00:00:26"/>
    <d v="1899-12-30T00:02:31"/>
    <d v="1899-12-30T00:03:50"/>
    <n v="0.66469999999999996"/>
    <n v="9.3220000000000004E-3"/>
    <n v="6.6469999999999993E-3"/>
    <n v="12"/>
    <n v="6.7796610169491525E-2"/>
    <n v="0.93220338983050843"/>
  </r>
  <r>
    <n v="177"/>
    <n v="167"/>
    <n v="0.94350000000000001"/>
    <n v="10"/>
    <d v="1899-12-30T00:00:23"/>
    <d v="1899-12-30T00:02:35"/>
    <d v="1899-12-30T00:02:45"/>
    <n v="0.68969999999999998"/>
    <n v="9.4350000000000007E-3"/>
    <n v="6.8969999999999995E-3"/>
    <n v="10"/>
    <n v="5.6497175141242938E-2"/>
    <n v="0.94350282485875703"/>
  </r>
  <r>
    <n v="163"/>
    <n v="134"/>
    <n v="0.82210000000000005"/>
    <n v="29"/>
    <d v="1899-12-30T00:00:38"/>
    <d v="1899-12-30T00:02:42"/>
    <d v="1899-12-30T00:07:16"/>
    <n v="0.47199999999999998"/>
    <n v="8.2210000000000009E-3"/>
    <n v="4.7199999999999994E-3"/>
    <n v="29"/>
    <n v="0.17791411042944785"/>
    <n v="0.82208588957055218"/>
  </r>
  <r>
    <n v="24"/>
    <n v="20"/>
    <n v="0.83330000000000004"/>
    <n v="4"/>
    <d v="1899-12-30T00:00:26"/>
    <d v="1899-12-30T00:03:23"/>
    <d v="1899-12-30T00:02:16"/>
    <n v="0.6522"/>
    <n v="8.3330000000000001E-3"/>
    <n v="6.522E-3"/>
    <n v="4"/>
    <n v="0.16666666666666666"/>
    <n v="0.83333333333333337"/>
  </r>
  <r>
    <n v="146"/>
    <n v="139"/>
    <n v="0.95209999999999995"/>
    <n v="7"/>
    <d v="1899-12-30T00:00:18"/>
    <d v="1899-12-30T00:02:34"/>
    <d v="1899-12-30T00:06:21"/>
    <n v="0.75860000000000005"/>
    <n v="9.5209999999999999E-3"/>
    <n v="7.5860000000000007E-3"/>
    <n v="7"/>
    <n v="4.7945205479452052E-2"/>
    <n v="0.95205479452054798"/>
  </r>
  <r>
    <n v="143"/>
    <n v="141"/>
    <n v="0.98599999999999999"/>
    <n v="2"/>
    <d v="1899-12-30T00:00:22"/>
    <d v="1899-12-30T00:02:45"/>
    <d v="1899-12-30T00:02:45"/>
    <n v="0.72030000000000005"/>
    <n v="9.8600000000000007E-3"/>
    <n v="7.2030000000000002E-3"/>
    <n v="2"/>
    <n v="1.3986013986013986E-2"/>
    <n v="0.98601398601398604"/>
  </r>
  <r>
    <n v="132"/>
    <n v="122"/>
    <n v="0.92420000000000002"/>
    <n v="10"/>
    <d v="1899-12-30T00:00:31"/>
    <d v="1899-12-30T00:02:28"/>
    <d v="1899-12-30T00:04:36"/>
    <n v="0.56489999999999996"/>
    <n v="9.2420000000000002E-3"/>
    <n v="5.6489999999999995E-3"/>
    <n v="10"/>
    <n v="7.575757575757576E-2"/>
    <n v="0.9242424242424242"/>
  </r>
  <r>
    <n v="137"/>
    <n v="130"/>
    <n v="0.94889999999999997"/>
    <n v="7"/>
    <d v="1899-12-30T00:00:26"/>
    <d v="1899-12-30T00:02:25"/>
    <d v="1899-12-30T00:02:06"/>
    <n v="0.64439999999999997"/>
    <n v="9.4889999999999992E-3"/>
    <n v="6.4440000000000001E-3"/>
    <n v="7"/>
    <n v="5.1094890510948905E-2"/>
    <n v="0.94890510948905105"/>
  </r>
  <r>
    <n v="112"/>
    <n v="104"/>
    <n v="0.92859999999999998"/>
    <n v="8"/>
    <d v="1899-12-30T00:00:43"/>
    <d v="1899-12-30T00:02:37"/>
    <d v="1899-12-30T00:04:07"/>
    <n v="0.40910000000000002"/>
    <n v="9.2859999999999991E-3"/>
    <n v="4.091E-3"/>
    <n v="8"/>
    <n v="7.1428571428571425E-2"/>
    <n v="0.9285714285714286"/>
  </r>
  <r>
    <n v="110"/>
    <n v="91"/>
    <n v="0.82730000000000004"/>
    <n v="19"/>
    <d v="1899-12-30T00:00:50"/>
    <d v="1899-12-30T00:02:38"/>
    <d v="1899-12-30T00:05:12"/>
    <n v="0.36699999999999999"/>
    <n v="8.2730000000000008E-3"/>
    <n v="3.6700000000000001E-3"/>
    <n v="19"/>
    <n v="0.17272727272727273"/>
    <n v="0.82727272727272727"/>
  </r>
  <r>
    <n v="24"/>
    <n v="22"/>
    <n v="0.91669999999999996"/>
    <n v="2"/>
    <d v="1899-12-30T00:00:32"/>
    <d v="1899-12-30T00:02:14"/>
    <d v="1899-12-30T00:04:46"/>
    <n v="0.58330000000000004"/>
    <n v="9.1669999999999998E-3"/>
    <n v="5.8330000000000005E-3"/>
    <n v="2"/>
    <n v="8.3333333333333329E-2"/>
    <n v="0.91666666666666663"/>
  </r>
  <r>
    <n v="168"/>
    <n v="154"/>
    <n v="0.91669999999999996"/>
    <n v="14"/>
    <d v="1899-12-30T00:00:36"/>
    <d v="1899-12-30T00:02:44"/>
    <d v="1899-12-30T00:03:52"/>
    <n v="0.49399999999999999"/>
    <n v="9.1669999999999998E-3"/>
    <n v="4.9399999999999999E-3"/>
    <n v="14"/>
    <n v="8.3333333333333329E-2"/>
    <n v="0.91666666666666663"/>
  </r>
  <r>
    <n v="146"/>
    <n v="116"/>
    <n v="0.79449999999999998"/>
    <n v="30"/>
    <d v="1899-12-30T00:00:42"/>
    <d v="1899-12-30T00:02:28"/>
    <d v="1899-12-30T00:15:00"/>
    <n v="0.54930000000000001"/>
    <n v="7.9450000000000007E-3"/>
    <n v="5.4930000000000005E-3"/>
    <n v="30"/>
    <n v="0.20547945205479451"/>
    <n v="0.79452054794520544"/>
  </r>
  <r>
    <n v="100"/>
    <n v="95"/>
    <n v="0.95"/>
    <n v="5"/>
    <d v="1899-12-30T00:00:31"/>
    <d v="1899-12-30T00:02:38"/>
    <d v="1899-12-30T00:02:53"/>
    <n v="0.56999999999999995"/>
    <n v="9.4999999999999998E-3"/>
    <n v="5.6999999999999993E-3"/>
    <n v="5"/>
    <n v="0.05"/>
    <n v="0.95"/>
  </r>
  <r>
    <n v="144"/>
    <n v="131"/>
    <n v="0.90969999999999995"/>
    <n v="13"/>
    <d v="1899-12-30T00:00:26"/>
    <d v="1899-12-30T00:02:27"/>
    <d v="1899-12-30T00:02:37"/>
    <n v="0.63570000000000004"/>
    <n v="9.0969999999999992E-3"/>
    <n v="6.3570000000000007E-3"/>
    <n v="13"/>
    <n v="9.0277777777777776E-2"/>
    <n v="0.90972222222222221"/>
  </r>
  <r>
    <n v="110"/>
    <n v="104"/>
    <n v="0.94550000000000001"/>
    <n v="6"/>
    <d v="1899-12-30T00:00:24"/>
    <d v="1899-12-30T00:02:26"/>
    <d v="1899-12-30T00:02:22"/>
    <n v="0.64219999999999999"/>
    <n v="9.4549999999999999E-3"/>
    <n v="6.4219999999999998E-3"/>
    <n v="6"/>
    <n v="5.4545454545454543E-2"/>
    <n v="0.94545454545454544"/>
  </r>
  <r>
    <n v="126"/>
    <n v="111"/>
    <n v="0.88100000000000001"/>
    <n v="15"/>
    <d v="1899-12-30T00:00:31"/>
    <d v="1899-12-30T00:02:38"/>
    <d v="1899-12-30T00:04:36"/>
    <n v="0.52800000000000002"/>
    <n v="8.8100000000000001E-3"/>
    <n v="5.28E-3"/>
    <n v="15"/>
    <n v="0.11904761904761904"/>
    <n v="0.88095238095238093"/>
  </r>
  <r>
    <n v="24"/>
    <n v="24"/>
    <n v="1"/>
    <n v="0"/>
    <d v="1899-12-30T00:00:48"/>
    <d v="1899-12-30T00:02:54"/>
    <d v="1899-12-30T00:04:44"/>
    <n v="0.41670000000000001"/>
    <n v="0.01"/>
    <n v="4.1670000000000006E-3"/>
    <n v="0"/>
    <n v="0"/>
    <n v="1"/>
  </r>
  <r>
    <n v="128"/>
    <n v="122"/>
    <n v="0.95309999999999995"/>
    <n v="6"/>
    <d v="1899-12-30T00:00:35"/>
    <d v="1899-12-30T00:02:59"/>
    <d v="1899-12-30T00:02:42"/>
    <n v="0.51559999999999995"/>
    <n v="9.5309999999999995E-3"/>
    <n v="5.1559999999999991E-3"/>
    <n v="6"/>
    <n v="4.6875E-2"/>
    <n v="0.953125"/>
  </r>
  <r>
    <n v="185"/>
    <n v="176"/>
    <n v="0.95140000000000002"/>
    <n v="9"/>
    <d v="1899-12-30T00:00:27"/>
    <d v="1899-12-30T00:02:23"/>
    <d v="1899-12-30T00:05:05"/>
    <n v="0.67930000000000001"/>
    <n v="9.5139999999999999E-3"/>
    <n v="6.7930000000000004E-3"/>
    <n v="9"/>
    <n v="4.8648648648648651E-2"/>
    <n v="0.9513513513513514"/>
  </r>
  <r>
    <n v="136"/>
    <n v="114"/>
    <n v="0.83819999999999995"/>
    <n v="22"/>
    <d v="1899-12-30T00:00:57"/>
    <d v="1899-12-30T00:02:25"/>
    <d v="1899-12-30T00:05:31"/>
    <n v="0.28789999999999999"/>
    <n v="8.3819999999999988E-3"/>
    <n v="2.879E-3"/>
    <n v="22"/>
    <n v="0.16176470588235295"/>
    <n v="0.83823529411764708"/>
  </r>
  <r>
    <n v="130"/>
    <n v="116"/>
    <n v="0.89229999999999998"/>
    <n v="14"/>
    <d v="1899-12-30T00:00:44"/>
    <d v="1899-12-30T00:02:41"/>
    <d v="1899-12-30T00:06:00"/>
    <n v="0.44440000000000002"/>
    <n v="8.9230000000000004E-3"/>
    <n v="4.444E-3"/>
    <n v="14"/>
    <n v="0.1076923076923077"/>
    <n v="0.89230769230769236"/>
  </r>
  <r>
    <n v="103"/>
    <n v="101"/>
    <n v="0.98060000000000003"/>
    <n v="2"/>
    <d v="1899-12-30T00:00:18"/>
    <d v="1899-12-30T00:02:42"/>
    <d v="1899-12-30T00:02:23"/>
    <n v="0.77449999999999997"/>
    <n v="9.8060000000000005E-3"/>
    <n v="7.7449999999999993E-3"/>
    <n v="2"/>
    <n v="1.9417475728155338E-2"/>
    <n v="0.98058252427184467"/>
  </r>
  <r>
    <n v="99"/>
    <n v="89"/>
    <n v="0.89900000000000002"/>
    <n v="10"/>
    <d v="1899-12-30T00:00:20"/>
    <d v="1899-12-30T00:02:27"/>
    <d v="1899-12-30T00:01:30"/>
    <n v="0.73680000000000001"/>
    <n v="8.9899999999999997E-3"/>
    <n v="7.3680000000000004E-3"/>
    <n v="10"/>
    <n v="0.10101010101010101"/>
    <n v="0.89898989898989901"/>
  </r>
  <r>
    <n v="26"/>
    <n v="24"/>
    <n v="0.92310000000000003"/>
    <n v="2"/>
    <d v="1899-12-30T00:00:23"/>
    <d v="1899-12-30T00:02:00"/>
    <d v="1899-12-30T00:01:53"/>
    <n v="0.68"/>
    <n v="9.2309999999999996E-3"/>
    <n v="6.8000000000000005E-3"/>
    <n v="2"/>
    <n v="7.6923076923076927E-2"/>
    <n v="0.92307692307692313"/>
  </r>
  <r>
    <n v="95"/>
    <n v="94"/>
    <n v="0.98950000000000005"/>
    <n v="1"/>
    <d v="1899-12-30T00:00:21"/>
    <d v="1899-12-30T00:02:31"/>
    <d v="1899-12-30T00:03:34"/>
    <n v="0.75529999999999997"/>
    <n v="9.895000000000001E-3"/>
    <n v="7.5529999999999998E-3"/>
    <n v="1"/>
    <n v="1.0526315789473684E-2"/>
    <n v="0.98947368421052628"/>
  </r>
  <r>
    <n v="136"/>
    <n v="131"/>
    <n v="0.96319999999999995"/>
    <n v="5"/>
    <d v="1899-12-30T00:00:17"/>
    <d v="1899-12-30T00:02:29"/>
    <d v="1899-12-30T00:02:21"/>
    <n v="0.81059999999999999"/>
    <n v="9.6319999999999999E-3"/>
    <n v="8.1060000000000004E-3"/>
    <n v="5"/>
    <n v="3.6764705882352942E-2"/>
    <n v="0.96323529411764708"/>
  </r>
  <r>
    <n v="37"/>
    <n v="34"/>
    <n v="0.91890000000000005"/>
    <n v="3"/>
    <d v="1899-12-30T00:00:41"/>
    <d v="1899-12-30T00:02:11"/>
    <d v="1899-12-30T00:05:46"/>
    <n v="0.64859999999999995"/>
    <n v="9.189000000000001E-3"/>
    <n v="6.4859999999999996E-3"/>
    <n v="3"/>
    <n v="8.1081081081081086E-2"/>
    <n v="0.91891891891891897"/>
  </r>
  <r>
    <n v="105"/>
    <n v="100"/>
    <n v="0.95240000000000002"/>
    <n v="5"/>
    <d v="1899-12-30T00:00:22"/>
    <d v="1899-12-30T00:02:30"/>
    <d v="1899-12-30T00:02:12"/>
    <n v="0.7228"/>
    <n v="9.5239999999999995E-3"/>
    <n v="7.228E-3"/>
    <n v="5"/>
    <n v="4.7619047619047616E-2"/>
    <n v="0.95238095238095233"/>
  </r>
  <r>
    <n v="100"/>
    <n v="92"/>
    <n v="0.92"/>
    <n v="8"/>
    <d v="1899-12-30T00:00:30"/>
    <d v="1899-12-30T00:02:27"/>
    <d v="1899-12-30T00:04:35"/>
    <n v="0.63270000000000004"/>
    <n v="9.1999999999999998E-3"/>
    <n v="6.3270000000000002E-3"/>
    <n v="8"/>
    <n v="0.08"/>
    <n v="0.92"/>
  </r>
  <r>
    <n v="115"/>
    <n v="103"/>
    <n v="0.89570000000000005"/>
    <n v="12"/>
    <d v="1899-12-30T00:00:44"/>
    <d v="1899-12-30T00:02:46"/>
    <d v="1899-12-30T00:04:35"/>
    <n v="0.37169999999999997"/>
    <n v="8.9569999999999997E-3"/>
    <n v="3.7169999999999998E-3"/>
    <n v="12"/>
    <n v="0.10434782608695652"/>
    <n v="0.89565217391304353"/>
  </r>
  <r>
    <n v="38"/>
    <n v="36"/>
    <n v="0.94740000000000002"/>
    <n v="2"/>
    <d v="1899-12-30T00:00:39"/>
    <d v="1899-12-30T00:02:56"/>
    <d v="1899-12-30T00:02:54"/>
    <n v="0.52629999999999999"/>
    <n v="9.4739999999999998E-3"/>
    <n v="5.2630000000000003E-3"/>
    <n v="2"/>
    <n v="5.2631578947368418E-2"/>
    <n v="0.94736842105263153"/>
  </r>
  <r>
    <n v="108"/>
    <n v="95"/>
    <n v="0.87960000000000005"/>
    <n v="13"/>
    <d v="1899-12-30T00:00:26"/>
    <d v="1899-12-30T00:02:49"/>
    <d v="1899-12-30T00:02:46"/>
    <n v="0.6381"/>
    <n v="8.796E-3"/>
    <n v="6.3810000000000004E-3"/>
    <n v="13"/>
    <n v="0.12037037037037036"/>
    <n v="0.87962962962962965"/>
  </r>
  <r>
    <n v="124"/>
    <n v="118"/>
    <n v="0.9516"/>
    <n v="6"/>
    <d v="1899-12-30T00:00:23"/>
    <d v="1899-12-30T00:02:31"/>
    <d v="1899-12-30T00:03:01"/>
    <n v="0.73770000000000002"/>
    <n v="9.5160000000000002E-3"/>
    <n v="7.3769999999999999E-3"/>
    <n v="6"/>
    <n v="4.8387096774193547E-2"/>
    <n v="0.95161290322580649"/>
  </r>
  <r>
    <n v="97"/>
    <n v="92"/>
    <n v="0.94850000000000001"/>
    <n v="5"/>
    <d v="1899-12-30T00:00:25"/>
    <d v="1899-12-30T00:02:36"/>
    <d v="1899-12-30T00:02:23"/>
    <n v="0.67710000000000004"/>
    <n v="9.4850000000000004E-3"/>
    <n v="6.7710000000000001E-3"/>
    <n v="5"/>
    <n v="5.1546391752577317E-2"/>
    <n v="0.94845360824742264"/>
  </r>
  <r>
    <n v="117"/>
    <n v="108"/>
    <n v="0.92310000000000003"/>
    <n v="9"/>
    <d v="1899-12-30T00:00:37"/>
    <d v="1899-12-30T00:01:46"/>
    <d v="1899-12-30T00:04:03"/>
    <n v="0.48670000000000002"/>
    <n v="9.2309999999999996E-3"/>
    <n v="4.8669999999999998E-3"/>
    <n v="9"/>
    <n v="7.6923076923076927E-2"/>
    <n v="0.92307692307692313"/>
  </r>
  <r>
    <n v="34"/>
    <n v="31"/>
    <n v="0.91180000000000005"/>
    <n v="3"/>
    <d v="1899-12-30T00:00:27"/>
    <d v="1899-12-30T00:02:37"/>
    <d v="1899-12-30T00:02:32"/>
    <n v="0.64710000000000001"/>
    <n v="9.1180000000000011E-3"/>
    <n v="6.4710000000000002E-3"/>
    <n v="3"/>
    <n v="8.8235294117647065E-2"/>
    <n v="0.91176470588235292"/>
  </r>
  <r>
    <n v="53"/>
    <n v="50"/>
    <n v="0.94340000000000002"/>
    <n v="3"/>
    <d v="1899-12-30T00:00:28"/>
    <d v="1899-12-30T00:02:11"/>
    <d v="1899-12-30T00:03:16"/>
    <n v="0.66039999999999999"/>
    <n v="9.4339999999999997E-3"/>
    <n v="6.6039999999999996E-3"/>
    <n v="3"/>
    <n v="5.6603773584905662E-2"/>
    <n v="0.94339622641509435"/>
  </r>
  <r>
    <n v="29"/>
    <n v="23"/>
    <n v="0.79310000000000003"/>
    <n v="6"/>
    <d v="1899-12-30T00:00:42"/>
    <d v="1899-12-30T00:02:47"/>
    <d v="1899-12-30T00:03:40"/>
    <n v="0.32140000000000002"/>
    <n v="7.9310000000000005E-3"/>
    <n v="3.2140000000000003E-3"/>
    <n v="6"/>
    <n v="0.20689655172413793"/>
    <n v="0.7931034482758621"/>
  </r>
  <r>
    <n v="120"/>
    <n v="107"/>
    <n v="0.89170000000000005"/>
    <n v="13"/>
    <d v="1899-12-30T00:00:34"/>
    <d v="1899-12-30T00:02:39"/>
    <d v="1899-12-30T00:03:21"/>
    <n v="0.44069999999999998"/>
    <n v="8.9170000000000013E-3"/>
    <n v="4.4069999999999995E-3"/>
    <n v="13"/>
    <n v="0.10833333333333334"/>
    <n v="0.89166666666666672"/>
  </r>
  <r>
    <n v="107"/>
    <n v="100"/>
    <n v="0.93459999999999999"/>
    <n v="7"/>
    <d v="1899-12-30T00:00:33"/>
    <d v="1899-12-30T00:02:33"/>
    <d v="1899-12-30T00:02:08"/>
    <n v="0.51429999999999998"/>
    <n v="9.3460000000000001E-3"/>
    <n v="5.143E-3"/>
    <n v="7"/>
    <n v="6.5420560747663545E-2"/>
    <n v="0.93457943925233644"/>
  </r>
  <r>
    <n v="173"/>
    <n v="159"/>
    <n v="0.91910000000000003"/>
    <n v="14"/>
    <d v="1899-12-30T00:00:47"/>
    <d v="1899-12-30T00:02:44"/>
    <d v="1899-12-30T00:05:30"/>
    <n v="0.39410000000000001"/>
    <n v="9.1909999999999995E-3"/>
    <n v="3.9410000000000001E-3"/>
    <n v="14"/>
    <n v="8.0924855491329481E-2"/>
    <n v="0.91907514450867056"/>
  </r>
  <r>
    <n v="256"/>
    <n v="213"/>
    <n v="0.83199999999999996"/>
    <n v="43"/>
    <d v="1899-12-30T00:00:44"/>
    <d v="1899-12-30T00:02:45"/>
    <d v="1899-12-30T00:05:18"/>
    <n v="0.41699999999999998"/>
    <n v="8.3199999999999993E-3"/>
    <n v="4.1700000000000001E-3"/>
    <n v="43"/>
    <n v="0.16796875"/>
    <n v="0.83203125"/>
  </r>
  <r>
    <n v="199"/>
    <n v="174"/>
    <n v="0.87439999999999996"/>
    <n v="25"/>
    <d v="1899-12-30T00:00:36"/>
    <d v="1899-12-30T00:02:35"/>
    <d v="1899-12-30T00:04:35"/>
    <n v="0.53059999999999996"/>
    <n v="8.744E-3"/>
    <n v="5.306E-3"/>
    <n v="25"/>
    <n v="0.12562814070351758"/>
    <n v="0.87437185929648242"/>
  </r>
  <r>
    <n v="182"/>
    <n v="170"/>
    <n v="0.93410000000000004"/>
    <n v="12"/>
    <d v="1899-12-30T00:00:40"/>
    <d v="1899-12-30T00:02:44"/>
    <d v="1899-12-30T00:03:27"/>
    <n v="0.45810000000000001"/>
    <n v="9.3410000000000003E-3"/>
    <n v="4.581E-3"/>
    <n v="12"/>
    <n v="6.5934065934065936E-2"/>
    <n v="0.93406593406593408"/>
  </r>
  <r>
    <n v="42"/>
    <n v="41"/>
    <n v="0.97619999999999996"/>
    <n v="1"/>
    <d v="1899-12-30T00:00:42"/>
    <d v="1899-12-30T00:02:53"/>
    <d v="1899-12-30T00:03:40"/>
    <n v="0.56100000000000005"/>
    <n v="9.7619999999999998E-3"/>
    <n v="5.6100000000000004E-3"/>
    <n v="1"/>
    <n v="2.3809523809523808E-2"/>
    <n v="0.97619047619047616"/>
  </r>
  <r>
    <n v="181"/>
    <n v="168"/>
    <n v="0.92820000000000003"/>
    <n v="13"/>
    <d v="1899-12-30T00:00:34"/>
    <d v="1899-12-30T00:02:35"/>
    <d v="1899-12-30T00:02:43"/>
    <n v="0.51690000000000003"/>
    <n v="9.2820000000000003E-3"/>
    <n v="5.169E-3"/>
    <n v="13"/>
    <n v="7.18232044198895E-2"/>
    <n v="0.92817679558011046"/>
  </r>
  <r>
    <n v="159"/>
    <n v="147"/>
    <n v="0.92449999999999999"/>
    <n v="12"/>
    <d v="1899-12-30T00:00:30"/>
    <d v="1899-12-30T00:02:36"/>
    <d v="1899-12-30T00:04:39"/>
    <n v="0.58709999999999996"/>
    <n v="9.2449999999999997E-3"/>
    <n v="5.8709999999999995E-3"/>
    <n v="12"/>
    <n v="7.5471698113207544E-2"/>
    <n v="0.92452830188679247"/>
  </r>
  <r>
    <n v="142"/>
    <n v="134"/>
    <n v="0.94369999999999998"/>
    <n v="8"/>
    <d v="1899-12-30T00:00:26"/>
    <d v="1899-12-30T00:02:50"/>
    <d v="1899-12-30T00:01:50"/>
    <n v="0.61870000000000003"/>
    <n v="9.4369999999999992E-3"/>
    <n v="6.1870000000000007E-3"/>
    <n v="8"/>
    <n v="5.6338028169014086E-2"/>
    <n v="0.94366197183098588"/>
  </r>
  <r>
    <n v="194"/>
    <n v="163"/>
    <n v="0.84019999999999995"/>
    <n v="31"/>
    <d v="1899-12-30T00:00:30"/>
    <d v="1899-12-30T00:02:38"/>
    <d v="1899-12-30T00:05:31"/>
    <n v="0.51039999999999996"/>
    <n v="8.4019999999999997E-3"/>
    <n v="5.104E-3"/>
    <n v="31"/>
    <n v="0.15979381443298968"/>
    <n v="0.84020618556701032"/>
  </r>
  <r>
    <n v="235"/>
    <n v="210"/>
    <n v="0.89359999999999995"/>
    <n v="25"/>
    <d v="1899-12-30T00:00:38"/>
    <d v="1899-12-30T00:02:53"/>
    <d v="1899-12-30T00:04:35"/>
    <n v="0.48899999999999999"/>
    <n v="8.9359999999999995E-3"/>
    <n v="4.8900000000000002E-3"/>
    <n v="25"/>
    <n v="0.10638297872340426"/>
    <n v="0.8936170212765957"/>
  </r>
  <r>
    <n v="206"/>
    <n v="180"/>
    <n v="0.87380000000000002"/>
    <n v="26"/>
    <d v="1899-12-30T00:00:51"/>
    <d v="1899-12-30T00:02:47"/>
    <d v="1899-12-30T00:07:03"/>
    <n v="0.3861"/>
    <n v="8.738000000000001E-3"/>
    <n v="3.8609999999999998E-3"/>
    <n v="26"/>
    <n v="0.12621359223300971"/>
    <n v="0.87378640776699024"/>
  </r>
  <r>
    <n v="58"/>
    <n v="47"/>
    <n v="0.81030000000000002"/>
    <n v="11"/>
    <d v="1899-12-30T00:00:48"/>
    <d v="1899-12-30T00:02:36"/>
    <d v="1899-12-30T00:04:35"/>
    <n v="0.42109999999999997"/>
    <n v="8.1030000000000008E-3"/>
    <n v="4.2109999999999995E-3"/>
    <n v="11"/>
    <n v="0.18965517241379309"/>
    <n v="0.81034482758620685"/>
  </r>
  <r>
    <n v="212"/>
    <n v="194"/>
    <n v="0.91510000000000002"/>
    <n v="18"/>
    <d v="1899-12-30T00:00:38"/>
    <d v="1899-12-30T00:02:33"/>
    <d v="1899-12-30T00:04:21"/>
    <n v="0.51200000000000001"/>
    <n v="9.1509999999999994E-3"/>
    <n v="5.1200000000000004E-3"/>
    <n v="18"/>
    <n v="8.4905660377358486E-2"/>
    <n v="0.91509433962264153"/>
  </r>
  <r>
    <n v="232"/>
    <n v="214"/>
    <n v="0.9224"/>
    <n v="18"/>
    <d v="1899-12-30T00:00:34"/>
    <d v="1899-12-30T00:02:36"/>
    <d v="1899-12-30T00:05:30"/>
    <n v="0.55900000000000005"/>
    <n v="9.2239999999999996E-3"/>
    <n v="5.5900000000000004E-3"/>
    <n v="18"/>
    <n v="7.7586206896551727E-2"/>
    <n v="0.92241379310344829"/>
  </r>
  <r>
    <n v="348"/>
    <n v="327"/>
    <n v="0.93969999999999998"/>
    <n v="21"/>
    <d v="1899-12-30T00:00:32"/>
    <d v="1899-12-30T00:02:28"/>
    <d v="1899-12-30T00:07:20"/>
    <n v="0.54620000000000002"/>
    <n v="9.3969999999999991E-3"/>
    <n v="5.4619999999999998E-3"/>
    <n v="21"/>
    <n v="6.0344827586206899E-2"/>
    <n v="0.93965517241379315"/>
  </r>
  <r>
    <n v="167"/>
    <n v="156"/>
    <n v="0.93410000000000004"/>
    <n v="11"/>
    <d v="1899-12-30T00:00:32"/>
    <d v="1899-12-30T00:02:43"/>
    <d v="1899-12-30T00:02:57"/>
    <n v="0.56789999999999996"/>
    <n v="9.3410000000000003E-3"/>
    <n v="5.679E-3"/>
    <n v="11"/>
    <n v="6.5868263473053898E-2"/>
    <n v="0.93413173652694614"/>
  </r>
  <r>
    <n v="167"/>
    <n v="157"/>
    <n v="0.94010000000000005"/>
    <n v="10"/>
    <d v="1899-12-30T00:00:27"/>
    <d v="1899-12-30T00:02:57"/>
    <d v="1899-12-30T00:05:19"/>
    <n v="0.67479999999999996"/>
    <n v="9.4009999999999996E-3"/>
    <n v="6.7479999999999997E-3"/>
    <n v="10"/>
    <n v="5.9880239520958084E-2"/>
    <n v="0.94011976047904189"/>
  </r>
  <r>
    <n v="166"/>
    <n v="161"/>
    <n v="0.96989999999999998"/>
    <n v="5"/>
    <d v="1899-12-30T00:00:21"/>
    <d v="1899-12-30T00:02:45"/>
    <d v="1899-12-30T00:01:32"/>
    <n v="0.73329999999999995"/>
    <n v="9.6989999999999993E-3"/>
    <n v="7.3329999999999992E-3"/>
    <n v="5"/>
    <n v="3.0120481927710843E-2"/>
    <n v="0.96987951807228912"/>
  </r>
  <r>
    <n v="32"/>
    <n v="28"/>
    <n v="0.875"/>
    <n v="4"/>
    <d v="1899-12-30T00:00:22"/>
    <d v="1899-12-30T00:02:43"/>
    <d v="1899-12-30T00:07:35"/>
    <n v="0.6452"/>
    <n v="8.7500000000000008E-3"/>
    <n v="6.4520000000000003E-3"/>
    <n v="4"/>
    <n v="0.125"/>
    <n v="0.875"/>
  </r>
  <r>
    <n v="52"/>
    <n v="49"/>
    <n v="0.94230000000000003"/>
    <n v="3"/>
    <d v="1899-12-30T00:00:32"/>
    <d v="1899-12-30T00:02:58"/>
    <d v="1899-12-30T00:03:02"/>
    <n v="0.63460000000000005"/>
    <n v="9.4230000000000008E-3"/>
    <n v="6.3460000000000009E-3"/>
    <n v="3"/>
    <n v="5.7692307692307696E-2"/>
    <n v="0.94230769230769229"/>
  </r>
  <r>
    <n v="154"/>
    <n v="149"/>
    <n v="0.96750000000000003"/>
    <n v="5"/>
    <d v="1899-12-30T00:00:26"/>
    <d v="1899-12-30T00:02:52"/>
    <d v="1899-12-30T00:01:50"/>
    <n v="0.64900000000000002"/>
    <n v="9.6749999999999996E-3"/>
    <n v="6.4900000000000001E-3"/>
    <n v="5"/>
    <n v="3.2467532467532464E-2"/>
    <n v="0.96753246753246758"/>
  </r>
  <r>
    <n v="223"/>
    <n v="218"/>
    <n v="0.97760000000000002"/>
    <n v="5"/>
    <d v="1899-12-30T00:00:18"/>
    <d v="1899-12-30T00:02:07"/>
    <d v="1899-12-30T00:02:00"/>
    <n v="0.80089999999999995"/>
    <n v="9.776E-3"/>
    <n v="8.0089999999999988E-3"/>
    <n v="5"/>
    <n v="2.2421524663677129E-2"/>
    <n v="0.97757847533632292"/>
  </r>
  <r>
    <n v="170"/>
    <n v="157"/>
    <n v="0.92349999999999999"/>
    <n v="13"/>
    <d v="1899-12-30T00:00:17"/>
    <d v="1899-12-30T00:03:04"/>
    <d v="1899-12-30T00:06:25"/>
    <n v="0.78439999999999999"/>
    <n v="9.2350000000000002E-3"/>
    <n v="7.8440000000000003E-3"/>
    <n v="13"/>
    <n v="7.6470588235294124E-2"/>
    <n v="0.92352941176470593"/>
  </r>
  <r>
    <n v="145"/>
    <n v="133"/>
    <n v="0.91720000000000002"/>
    <n v="12"/>
    <d v="1899-12-30T00:00:26"/>
    <d v="1899-12-30T00:02:56"/>
    <d v="1899-12-30T00:03:39"/>
    <n v="0.69230000000000003"/>
    <n v="9.1719999999999996E-3"/>
    <n v="6.9230000000000003E-3"/>
    <n v="12"/>
    <n v="8.2758620689655171E-2"/>
    <n v="0.91724137931034477"/>
  </r>
  <r>
    <n v="144"/>
    <n v="138"/>
    <n v="0.95830000000000004"/>
    <n v="6"/>
    <d v="1899-12-30T00:00:17"/>
    <d v="1899-12-30T00:02:53"/>
    <d v="1899-12-30T00:02:45"/>
    <n v="0.83799999999999997"/>
    <n v="9.5830000000000012E-3"/>
    <n v="8.3800000000000003E-3"/>
    <n v="6"/>
    <n v="4.1666666666666664E-2"/>
    <n v="0.95833333333333337"/>
  </r>
  <r>
    <n v="16"/>
    <n v="15"/>
    <n v="0.9375"/>
    <n v="1"/>
    <d v="1899-12-30T00:00:17"/>
    <d v="1899-12-30T00:03:00"/>
    <d v="1899-12-30T00:02:45"/>
    <n v="0.6875"/>
    <n v="9.3749999999999997E-3"/>
    <n v="6.875E-3"/>
    <n v="1"/>
    <n v="6.25E-2"/>
    <n v="0.9375"/>
  </r>
  <r>
    <n v="135"/>
    <n v="131"/>
    <n v="0.97040000000000004"/>
    <n v="4"/>
    <d v="1899-12-30T00:00:20"/>
    <d v="1899-12-30T00:02:37"/>
    <d v="1899-12-30T00:02:00"/>
    <n v="0.76119999999999999"/>
    <n v="9.7040000000000008E-3"/>
    <n v="7.6119999999999998E-3"/>
    <n v="4"/>
    <n v="2.9629629629629631E-2"/>
    <n v="0.97037037037037033"/>
  </r>
  <r>
    <n v="137"/>
    <n v="133"/>
    <n v="0.9708"/>
    <n v="4"/>
    <d v="1899-12-30T00:00:24"/>
    <d v="1899-12-30T00:02:49"/>
    <d v="1899-12-30T00:02:46"/>
    <n v="0.69120000000000004"/>
    <n v="9.7079999999999996E-3"/>
    <n v="6.9120000000000006E-3"/>
    <n v="4"/>
    <n v="2.9197080291970802E-2"/>
    <n v="0.97080291970802923"/>
  </r>
  <r>
    <n v="149"/>
    <n v="144"/>
    <n v="0.96640000000000004"/>
    <n v="5"/>
    <d v="1899-12-30T00:00:17"/>
    <d v="1899-12-30T00:02:39"/>
    <d v="1899-12-30T00:02:02"/>
    <n v="0.8276"/>
    <n v="9.6640000000000007E-3"/>
    <n v="8.2760000000000004E-3"/>
    <n v="5"/>
    <n v="3.3557046979865772E-2"/>
    <n v="0.96644295302013428"/>
  </r>
  <r>
    <n v="155"/>
    <n v="143"/>
    <n v="0.92259999999999998"/>
    <n v="12"/>
    <d v="1899-12-30T00:00:16"/>
    <d v="1899-12-30T00:02:41"/>
    <d v="1899-12-30T00:06:25"/>
    <n v="0.8014"/>
    <n v="9.2259999999999998E-3"/>
    <n v="8.0140000000000003E-3"/>
    <n v="12"/>
    <n v="7.7419354838709681E-2"/>
    <n v="0.92258064516129035"/>
  </r>
  <r>
    <n v="128"/>
    <n v="121"/>
    <n v="0.94530000000000003"/>
    <n v="7"/>
    <d v="1899-12-30T00:00:19"/>
    <d v="1899-12-30T00:02:55"/>
    <d v="1899-12-30T00:04:35"/>
    <n v="0.77780000000000005"/>
    <n v="9.4529999999999996E-3"/>
    <n v="7.7780000000000002E-3"/>
    <n v="7"/>
    <n v="5.46875E-2"/>
    <n v="0.9453125"/>
  </r>
  <r>
    <n v="134"/>
    <n v="125"/>
    <n v="0.93279999999999996"/>
    <n v="9"/>
    <d v="1899-12-30T00:00:21"/>
    <d v="1899-12-30T00:02:38"/>
    <d v="1899-12-30T00:03:18"/>
    <n v="0.72519999999999996"/>
    <n v="9.3279999999999995E-3"/>
    <n v="7.2519999999999998E-3"/>
    <n v="9"/>
    <n v="6.7164179104477612E-2"/>
    <n v="0.93283582089552242"/>
  </r>
  <r>
    <n v="21"/>
    <n v="21"/>
    <n v="1"/>
    <n v="0"/>
    <d v="1899-12-30T00:00:23"/>
    <d v="1899-12-30T00:02:37"/>
    <d v="1899-12-30T00:02:50"/>
    <n v="0.76190000000000002"/>
    <n v="0.01"/>
    <n v="7.6189999999999999E-3"/>
    <n v="0"/>
    <n v="0"/>
    <n v="1"/>
  </r>
  <r>
    <n v="150"/>
    <n v="138"/>
    <n v="0.92"/>
    <n v="12"/>
    <d v="1899-12-30T00:00:30"/>
    <d v="1899-12-30T00:02:52"/>
    <d v="1899-12-30T00:04:16"/>
    <n v="0.5867"/>
    <n v="9.1999999999999998E-3"/>
    <n v="5.8669999999999998E-3"/>
    <n v="12"/>
    <n v="0.08"/>
    <n v="0.92"/>
  </r>
  <r>
    <n v="163"/>
    <n v="158"/>
    <n v="0.96930000000000005"/>
    <n v="5"/>
    <d v="1899-12-30T00:00:14"/>
    <d v="1899-12-30T00:02:28"/>
    <d v="1899-12-30T00:02:01"/>
    <n v="0.81989999999999996"/>
    <n v="9.6930000000000002E-3"/>
    <n v="8.1989999999999997E-3"/>
    <n v="5"/>
    <n v="3.0674846625766871E-2"/>
    <n v="0.96932515337423308"/>
  </r>
  <r>
    <n v="160"/>
    <n v="151"/>
    <n v="0.94379999999999997"/>
    <n v="9"/>
    <d v="1899-12-30T00:00:12"/>
    <d v="1899-12-30T00:02:39"/>
    <d v="1899-12-30T00:02:57"/>
    <n v="0.87180000000000002"/>
    <n v="9.4380000000000002E-3"/>
    <n v="8.7180000000000001E-3"/>
    <n v="9"/>
    <n v="5.6250000000000001E-2"/>
    <n v="0.94374999999999998"/>
  </r>
  <r>
    <n v="132"/>
    <n v="125"/>
    <n v="0.94699999999999995"/>
    <n v="7"/>
    <d v="1899-12-30T00:00:30"/>
    <d v="1899-12-30T00:02:46"/>
    <d v="1899-12-30T00:03:47"/>
    <n v="0.6462"/>
    <n v="9.4699999999999993E-3"/>
    <n v="6.4619999999999999E-3"/>
    <n v="7"/>
    <n v="5.3030303030303032E-2"/>
    <n v="0.94696969696969702"/>
  </r>
  <r>
    <n v="131"/>
    <n v="126"/>
    <n v="0.96179999999999999"/>
    <n v="5"/>
    <d v="1899-12-30T00:00:17"/>
    <d v="1899-12-30T00:02:47"/>
    <d v="1899-12-30T00:02:35"/>
    <n v="0.78290000000000004"/>
    <n v="9.6179999999999998E-3"/>
    <n v="7.8290000000000009E-3"/>
    <n v="5"/>
    <n v="3.8167938931297711E-2"/>
    <n v="0.96183206106870234"/>
  </r>
  <r>
    <n v="158"/>
    <n v="146"/>
    <n v="0.92410000000000003"/>
    <n v="12"/>
    <d v="1899-12-30T00:00:21"/>
    <d v="1899-12-30T00:02:42"/>
    <d v="1899-12-30T00:03:40"/>
    <n v="0.75319999999999998"/>
    <n v="9.2410000000000009E-3"/>
    <n v="7.5319999999999996E-3"/>
    <n v="12"/>
    <n v="7.5949367088607597E-2"/>
    <n v="0.92405063291139244"/>
  </r>
  <r>
    <n v="19"/>
    <n v="16"/>
    <n v="0.84209999999999996"/>
    <n v="3"/>
    <d v="1899-12-30T00:00:51"/>
    <d v="1899-12-30T00:02:46"/>
    <d v="1899-12-30T00:04:14"/>
    <n v="0.47370000000000001"/>
    <n v="8.4209999999999997E-3"/>
    <n v="4.7369999999999999E-3"/>
    <n v="3"/>
    <n v="0.15789473684210525"/>
    <n v="0.84210526315789469"/>
  </r>
  <r>
    <n v="151"/>
    <n v="128"/>
    <n v="0.84770000000000001"/>
    <n v="23"/>
    <d v="1899-12-30T00:00:52"/>
    <d v="1899-12-30T00:02:30"/>
    <d v="1899-12-30T00:05:38"/>
    <n v="0.37930000000000003"/>
    <n v="8.4770000000000002E-3"/>
    <n v="3.7930000000000004E-3"/>
    <n v="23"/>
    <n v="0.15231788079470199"/>
    <n v="0.84768211920529801"/>
  </r>
  <r>
    <n v="139"/>
    <n v="128"/>
    <n v="0.92090000000000005"/>
    <n v="11"/>
    <d v="1899-12-30T00:00:32"/>
    <d v="1899-12-30T00:02:44"/>
    <d v="1899-12-30T00:03:34"/>
    <n v="0.51800000000000002"/>
    <n v="9.2090000000000002E-3"/>
    <n v="5.1800000000000006E-3"/>
    <n v="11"/>
    <n v="7.9136690647482008E-2"/>
    <n v="0.92086330935251803"/>
  </r>
  <r>
    <n v="166"/>
    <n v="135"/>
    <n v="0.81330000000000002"/>
    <n v="31"/>
    <d v="1899-12-30T00:00:41"/>
    <d v="1899-12-30T00:02:40"/>
    <d v="1899-12-30T00:05:09"/>
    <n v="0.46500000000000002"/>
    <n v="8.1329999999999996E-3"/>
    <n v="4.6500000000000005E-3"/>
    <n v="31"/>
    <n v="0.18674698795180722"/>
    <n v="0.81325301204819278"/>
  </r>
  <r>
    <n v="258"/>
    <n v="196"/>
    <n v="0.75970000000000004"/>
    <n v="62"/>
    <d v="1899-12-30T00:01:10"/>
    <d v="1899-12-30T00:02:30"/>
    <d v="1899-12-30T00:07:51"/>
    <n v="0.2429"/>
    <n v="7.5970000000000005E-3"/>
    <n v="2.4290000000000002E-3"/>
    <n v="62"/>
    <n v="0.24031007751937986"/>
    <n v="0.75968992248062017"/>
  </r>
  <r>
    <n v="203"/>
    <n v="176"/>
    <n v="0.86699999999999999"/>
    <n v="27"/>
    <d v="1899-12-30T00:00:40"/>
    <d v="1899-12-30T00:02:30"/>
    <d v="1899-12-30T00:09:09"/>
    <n v="0.44779999999999998"/>
    <n v="8.6700000000000006E-3"/>
    <n v="4.4779999999999993E-3"/>
    <n v="27"/>
    <n v="0.13300492610837439"/>
    <n v="0.86699507389162567"/>
  </r>
  <r>
    <n v="182"/>
    <n v="162"/>
    <n v="0.8901"/>
    <n v="20"/>
    <d v="1899-12-30T00:00:25"/>
    <d v="1899-12-30T00:02:48"/>
    <d v="1899-12-30T00:03:40"/>
    <n v="0.59430000000000005"/>
    <n v="8.9009999999999992E-3"/>
    <n v="5.9430000000000004E-3"/>
    <n v="20"/>
    <n v="0.10989010989010989"/>
    <n v="0.89010989010989006"/>
  </r>
  <r>
    <n v="18"/>
    <n v="17"/>
    <n v="0.94440000000000002"/>
    <n v="1"/>
    <d v="1899-12-30T00:00:55"/>
    <d v="1899-12-30T00:04:01"/>
    <d v="1899-12-30T00:05:46"/>
    <n v="0.5"/>
    <n v="9.444000000000001E-3"/>
    <n v="5.0000000000000001E-3"/>
    <n v="1"/>
    <n v="5.5555555555555552E-2"/>
    <n v="0.94444444444444442"/>
  </r>
  <r>
    <n v="215"/>
    <n v="170"/>
    <n v="0.79069999999999996"/>
    <n v="45"/>
    <d v="1899-12-30T00:00:55"/>
    <d v="1899-12-30T00:02:49"/>
    <d v="1899-12-30T00:07:26"/>
    <n v="0.43059999999999998"/>
    <n v="7.9069999999999991E-3"/>
    <n v="4.3059999999999999E-3"/>
    <n v="45"/>
    <n v="0.20930232558139536"/>
    <n v="0.79069767441860461"/>
  </r>
  <r>
    <n v="209"/>
    <n v="203"/>
    <n v="0.97130000000000005"/>
    <n v="6"/>
    <d v="1899-12-30T00:00:25"/>
    <d v="1899-12-30T00:02:42"/>
    <d v="1899-12-30T00:03:40"/>
    <n v="0.74880000000000002"/>
    <n v="9.7130000000000011E-3"/>
    <n v="7.4879999999999999E-3"/>
    <n v="6"/>
    <n v="2.8708133971291867E-2"/>
    <n v="0.9712918660287081"/>
  </r>
  <r>
    <n v="140"/>
    <n v="134"/>
    <n v="0.95709999999999995"/>
    <n v="6"/>
    <d v="1899-12-30T00:00:20"/>
    <d v="1899-12-30T00:02:59"/>
    <d v="1899-12-30T00:03:21"/>
    <n v="0.76259999999999994"/>
    <n v="9.5709999999999996E-3"/>
    <n v="7.6259999999999991E-3"/>
    <n v="6"/>
    <n v="4.2857142857142858E-2"/>
    <n v="0.95714285714285718"/>
  </r>
  <r>
    <n v="124"/>
    <n v="110"/>
    <n v="0.8871"/>
    <n v="14"/>
    <d v="1899-12-30T00:00:15"/>
    <d v="1899-12-30T00:02:56"/>
    <d v="1899-12-30T00:08:16"/>
    <n v="0.81820000000000004"/>
    <n v="8.8710000000000004E-3"/>
    <n v="8.182E-3"/>
    <n v="14"/>
    <n v="0.11290322580645161"/>
    <n v="0.88709677419354838"/>
  </r>
  <r>
    <n v="179"/>
    <n v="163"/>
    <n v="0.91059999999999997"/>
    <n v="16"/>
    <d v="1899-12-30T00:00:23"/>
    <d v="1899-12-30T00:02:44"/>
    <d v="1899-12-30T00:04:17"/>
    <n v="0.71589999999999998"/>
    <n v="9.1059999999999995E-3"/>
    <n v="7.1589999999999996E-3"/>
    <n v="16"/>
    <n v="8.9385474860335198E-2"/>
    <n v="0.91061452513966479"/>
  </r>
  <r>
    <n v="163"/>
    <n v="161"/>
    <n v="0.98770000000000002"/>
    <n v="2"/>
    <d v="1899-12-30T00:00:10"/>
    <d v="1899-12-30T00:02:40"/>
    <d v="1899-12-30T00:01:51"/>
    <n v="0.94410000000000005"/>
    <n v="9.8770000000000004E-3"/>
    <n v="9.4409999999999997E-3"/>
    <n v="2"/>
    <n v="1.2269938650306749E-2"/>
    <n v="0.98773006134969321"/>
  </r>
  <r>
    <n v="27"/>
    <n v="27"/>
    <n v="1"/>
    <n v="0"/>
    <d v="1899-12-30T00:00:05"/>
    <d v="1899-12-30T00:02:48"/>
    <d v="1899-12-30T00:00:19"/>
    <n v="1"/>
    <n v="0.01"/>
    <n v="0.01"/>
    <n v="0"/>
    <n v="0"/>
    <n v="1"/>
  </r>
  <r>
    <n v="182"/>
    <n v="175"/>
    <n v="0.96150000000000002"/>
    <n v="7"/>
    <d v="1899-12-30T00:00:19"/>
    <d v="1899-12-30T00:02:38"/>
    <d v="1899-12-30T00:03:08"/>
    <n v="0.79890000000000005"/>
    <n v="9.6150000000000003E-3"/>
    <n v="7.9890000000000013E-3"/>
    <n v="7"/>
    <n v="3.8461538461538464E-2"/>
    <n v="0.96153846153846156"/>
  </r>
  <r>
    <n v="164"/>
    <n v="159"/>
    <n v="0.96950000000000003"/>
    <n v="5"/>
    <d v="1899-12-30T00:00:11"/>
    <d v="1899-12-30T00:02:23"/>
    <d v="1899-12-30T00:06:28"/>
    <n v="0.90180000000000005"/>
    <n v="9.6950000000000005E-3"/>
    <n v="9.018E-3"/>
    <n v="5"/>
    <n v="3.048780487804878E-2"/>
    <n v="0.96951219512195119"/>
  </r>
  <r>
    <n v="160"/>
    <n v="159"/>
    <n v="0.99380000000000002"/>
    <n v="1"/>
    <d v="1899-12-30T00:00:05"/>
    <d v="1899-12-30T00:02:40"/>
    <d v="1899-12-30T00:00:58"/>
    <n v="0.98740000000000006"/>
    <n v="9.9380000000000007E-3"/>
    <n v="9.8740000000000008E-3"/>
    <n v="1"/>
    <n v="6.2500000000000003E-3"/>
    <n v="0.99375000000000002"/>
  </r>
  <r>
    <n v="174"/>
    <n v="155"/>
    <n v="0.89080000000000004"/>
    <n v="19"/>
    <d v="1899-12-30T00:00:16"/>
    <d v="1899-12-30T00:02:41"/>
    <d v="1899-12-30T00:06:39"/>
    <n v="0.77059999999999995"/>
    <n v="8.908000000000001E-3"/>
    <n v="7.7059999999999993E-3"/>
    <n v="19"/>
    <n v="0.10919540229885058"/>
    <n v="0.89080459770114939"/>
  </r>
  <r>
    <n v="235"/>
    <n v="230"/>
    <n v="0.97870000000000001"/>
    <n v="5"/>
    <d v="1899-12-30T00:00:05"/>
    <d v="1899-12-30T00:02:27"/>
    <d v="1899-12-30T00:01:50"/>
    <n v="0.95740000000000003"/>
    <n v="9.7870000000000006E-3"/>
    <n v="9.5740000000000009E-3"/>
    <n v="5"/>
    <n v="2.1276595744680851E-2"/>
    <n v="0.97872340425531912"/>
  </r>
  <r>
    <n v="175"/>
    <n v="174"/>
    <n v="0.99429999999999996"/>
    <n v="1"/>
    <d v="1899-12-30T00:00:04"/>
    <d v="1899-12-30T00:02:26"/>
    <d v="1899-12-30T00:01:53"/>
    <n v="0.98860000000000003"/>
    <n v="9.9430000000000004E-3"/>
    <n v="9.8860000000000007E-3"/>
    <n v="1"/>
    <n v="5.7142857142857143E-3"/>
    <n v="0.99428571428571433"/>
  </r>
  <r>
    <n v="25"/>
    <n v="25"/>
    <n v="1"/>
    <n v="0"/>
    <d v="1899-12-30T00:00:04"/>
    <d v="1899-12-30T00:03:15"/>
    <d v="1899-12-30T00:00:55"/>
    <n v="0.96"/>
    <n v="0.01"/>
    <n v="9.5999999999999992E-3"/>
    <n v="0"/>
    <n v="0"/>
    <n v="1"/>
  </r>
  <r>
    <n v="170"/>
    <n v="167"/>
    <n v="0.98240000000000005"/>
    <n v="3"/>
    <d v="1899-12-30T00:00:06"/>
    <d v="1899-12-30T00:02:35"/>
    <d v="1899-12-30T00:03:40"/>
    <n v="0.94079999999999997"/>
    <n v="9.8240000000000011E-3"/>
    <n v="9.4079999999999997E-3"/>
    <n v="3"/>
    <n v="1.7647058823529412E-2"/>
    <n v="0.98235294117647054"/>
  </r>
  <r>
    <n v="187"/>
    <n v="168"/>
    <n v="0.89839999999999998"/>
    <n v="19"/>
    <d v="1899-12-30T00:00:26"/>
    <d v="1899-12-30T00:02:20"/>
    <d v="1899-12-30T00:04:49"/>
    <n v="0.70430000000000004"/>
    <n v="8.9839999999999989E-3"/>
    <n v="7.0430000000000006E-3"/>
    <n v="19"/>
    <n v="0.10160427807486631"/>
    <n v="0.89839572192513373"/>
  </r>
  <r>
    <n v="53"/>
    <n v="51"/>
    <n v="0.96230000000000004"/>
    <n v="2"/>
    <d v="1899-12-30T00:00:06"/>
    <d v="1899-12-30T00:02:29"/>
    <d v="1899-12-30T00:01:50"/>
    <n v="0.88680000000000003"/>
    <n v="9.6229999999999996E-3"/>
    <n v="8.8680000000000009E-3"/>
    <n v="2"/>
    <n v="3.7735849056603772E-2"/>
    <n v="0.96226415094339623"/>
  </r>
  <r>
    <n v="121"/>
    <n v="117"/>
    <n v="0.96689999999999998"/>
    <n v="4"/>
    <d v="1899-12-30T00:00:13"/>
    <d v="1899-12-30T00:02:36"/>
    <d v="1899-12-30T00:02:41"/>
    <n v="0.85829999999999995"/>
    <n v="9.6690000000000005E-3"/>
    <n v="8.5830000000000004E-3"/>
    <n v="4"/>
    <n v="3.3057851239669422E-2"/>
    <n v="0.96694214876033058"/>
  </r>
  <r>
    <n v="143"/>
    <n v="139"/>
    <n v="0.97199999999999998"/>
    <n v="4"/>
    <d v="1899-12-30T00:00:05"/>
    <d v="1899-12-30T00:02:26"/>
    <d v="1899-12-30T00:01:56"/>
    <n v="0.94410000000000005"/>
    <n v="9.7199999999999995E-3"/>
    <n v="9.4409999999999997E-3"/>
    <n v="4"/>
    <n v="2.7972027972027972E-2"/>
    <n v="0.97202797202797198"/>
  </r>
  <r>
    <n v="100"/>
    <n v="96"/>
    <n v="0.96"/>
    <n v="4"/>
    <d v="1899-12-30T00:00:06"/>
    <d v="1899-12-30T00:02:28"/>
    <d v="1899-12-30T00:01:50"/>
    <n v="0.91920000000000002"/>
    <n v="9.5999999999999992E-3"/>
    <n v="9.1920000000000005E-3"/>
    <n v="4"/>
    <n v="0.04"/>
    <n v="0.96"/>
  </r>
  <r>
    <n v="17"/>
    <n v="17"/>
    <n v="1"/>
    <n v="0"/>
    <d v="1899-12-30T00:00:08"/>
    <d v="1899-12-30T00:02:55"/>
    <d v="1899-12-30T00:00:59"/>
    <n v="0.88239999999999996"/>
    <n v="0.01"/>
    <n v="8.8240000000000002E-3"/>
    <n v="0"/>
    <n v="0"/>
    <n v="1"/>
  </r>
  <r>
    <n v="113"/>
    <n v="110"/>
    <n v="0.97350000000000003"/>
    <n v="3"/>
    <d v="1899-12-30T00:00:08"/>
    <d v="1899-12-30T00:02:33"/>
    <d v="1899-12-30T00:01:18"/>
    <n v="0.90180000000000005"/>
    <n v="9.7350000000000006E-3"/>
    <n v="9.018E-3"/>
    <n v="3"/>
    <n v="2.6548672566371681E-2"/>
    <n v="0.97345132743362828"/>
  </r>
  <r>
    <n v="139"/>
    <n v="128"/>
    <n v="0.92090000000000005"/>
    <n v="11"/>
    <d v="1899-12-30T00:00:13"/>
    <d v="1899-12-30T00:02:38"/>
    <d v="1899-12-30T00:03:40"/>
    <n v="0.82010000000000005"/>
    <n v="9.2090000000000002E-3"/>
    <n v="8.201E-3"/>
    <n v="11"/>
    <n v="7.9136690647482008E-2"/>
    <n v="0.92086330935251803"/>
  </r>
  <r>
    <n v="135"/>
    <n v="134"/>
    <n v="0.99260000000000004"/>
    <n v="1"/>
    <d v="1899-12-30T00:00:04"/>
    <d v="1899-12-30T00:02:34"/>
    <d v="1899-12-30T00:01:50"/>
    <n v="0.98519999999999996"/>
    <n v="9.9260000000000008E-3"/>
    <n v="9.8519999999999996E-3"/>
    <n v="1"/>
    <n v="7.4074074074074077E-3"/>
    <n v="0.99259259259259258"/>
  </r>
  <r>
    <n v="29"/>
    <n v="29"/>
    <n v="1"/>
    <n v="0"/>
    <d v="1899-12-30T00:00:15"/>
    <d v="1899-12-30T00:03:13"/>
    <d v="1899-12-30T00:01:29"/>
    <n v="0.79310000000000003"/>
    <n v="0.01"/>
    <n v="7.9310000000000005E-3"/>
    <n v="0"/>
    <n v="0"/>
    <n v="1"/>
  </r>
  <r>
    <n v="120"/>
    <n v="116"/>
    <n v="0.9667"/>
    <n v="4"/>
    <d v="1899-12-30T00:00:05"/>
    <d v="1899-12-30T00:02:43"/>
    <d v="1899-12-30T00:02:45"/>
    <n v="0.95830000000000004"/>
    <n v="9.6670000000000002E-3"/>
    <n v="9.5830000000000012E-3"/>
    <n v="4"/>
    <n v="3.3333333333333333E-2"/>
    <n v="0.96666666666666667"/>
  </r>
  <r>
    <n v="115"/>
    <n v="108"/>
    <n v="0.93910000000000005"/>
    <n v="7"/>
    <d v="1899-12-30T00:00:09"/>
    <d v="1899-12-30T00:02:50"/>
    <d v="1899-12-30T00:04:25"/>
    <n v="0.88700000000000001"/>
    <n v="9.391E-3"/>
    <n v="8.8699999999999994E-3"/>
    <n v="7"/>
    <n v="6.0869565217391307E-2"/>
    <n v="0.93913043478260871"/>
  </r>
  <r>
    <n v="14"/>
    <n v="14"/>
    <n v="1"/>
    <n v="0"/>
    <d v="1899-12-30T00:00:14"/>
    <d v="1899-12-30T00:02:17"/>
    <d v="1899-12-30T00:01:14"/>
    <n v="0.78569999999999995"/>
    <n v="0.01"/>
    <n v="7.8569999999999994E-3"/>
    <n v="0"/>
    <n v="0"/>
    <n v="1"/>
  </r>
  <r>
    <n v="107"/>
    <n v="104"/>
    <n v="0.97199999999999998"/>
    <n v="3"/>
    <d v="1899-12-30T00:00:07"/>
    <d v="1899-12-30T00:02:29"/>
    <d v="1899-12-30T00:00:58"/>
    <n v="0.90569999999999995"/>
    <n v="9.7199999999999995E-3"/>
    <n v="9.0569999999999991E-3"/>
    <n v="3"/>
    <n v="2.8037383177570093E-2"/>
    <n v="0.9719626168224299"/>
  </r>
  <r>
    <n v="137"/>
    <n v="128"/>
    <n v="0.93430000000000002"/>
    <n v="9"/>
    <d v="1899-12-30T00:00:10"/>
    <d v="1899-12-30T00:02:30"/>
    <d v="1899-12-30T00:02:03"/>
    <n v="0.85289999999999999"/>
    <n v="9.3430000000000006E-3"/>
    <n v="8.5290000000000001E-3"/>
    <n v="9"/>
    <n v="6.569343065693431E-2"/>
    <n v="0.93430656934306566"/>
  </r>
  <r>
    <n v="106"/>
    <n v="105"/>
    <n v="0.99060000000000004"/>
    <n v="1"/>
    <d v="1899-12-30T00:00:11"/>
    <d v="1899-12-30T00:02:47"/>
    <d v="1899-12-30T00:01:53"/>
    <n v="0.85850000000000004"/>
    <n v="9.9059999999999999E-3"/>
    <n v="8.5850000000000006E-3"/>
    <n v="1"/>
    <n v="9.433962264150943E-3"/>
    <n v="0.99056603773584906"/>
  </r>
  <r>
    <n v="116"/>
    <n v="108"/>
    <n v="0.93100000000000005"/>
    <n v="8"/>
    <d v="1899-12-30T00:00:19"/>
    <d v="1899-12-30T00:02:26"/>
    <d v="1899-12-30T00:02:33"/>
    <n v="0.8407"/>
    <n v="9.3100000000000006E-3"/>
    <n v="8.4069999999999995E-3"/>
    <n v="8"/>
    <n v="6.8965517241379309E-2"/>
    <n v="0.93103448275862066"/>
  </r>
  <r>
    <n v="120"/>
    <n v="117"/>
    <n v="0.97499999999999998"/>
    <n v="3"/>
    <d v="1899-12-30T00:00:09"/>
    <d v="1899-12-30T00:02:37"/>
    <d v="1899-12-30T00:01:05"/>
    <n v="0.90759999999999996"/>
    <n v="9.75E-3"/>
    <n v="9.075999999999999E-3"/>
    <n v="3"/>
    <n v="2.5000000000000001E-2"/>
    <n v="0.97499999999999998"/>
  </r>
  <r>
    <n v="123"/>
    <n v="121"/>
    <n v="0.98370000000000002"/>
    <n v="2"/>
    <d v="1899-12-30T00:00:07"/>
    <d v="1899-12-30T00:02:27"/>
    <d v="1899-12-30T00:01:55"/>
    <n v="0.91059999999999997"/>
    <n v="9.8370000000000003E-3"/>
    <n v="9.1059999999999995E-3"/>
    <n v="2"/>
    <n v="1.6260162601626018E-2"/>
    <n v="0.98373983739837401"/>
  </r>
  <r>
    <n v="31"/>
    <n v="31"/>
    <n v="1"/>
    <n v="0"/>
    <d v="1899-12-30T00:00:03"/>
    <d v="1899-12-30T00:02:18"/>
    <d v="1899-12-30T00:00:03"/>
    <n v="1"/>
    <n v="0.01"/>
    <n v="0.01"/>
    <n v="0"/>
    <n v="0"/>
    <n v="1"/>
  </r>
  <r>
    <n v="140"/>
    <n v="139"/>
    <n v="0.9929"/>
    <n v="1"/>
    <d v="1899-12-30T00:00:08"/>
    <d v="1899-12-30T00:02:39"/>
    <d v="1899-12-30T00:01:11"/>
    <n v="0.9214"/>
    <n v="9.9290000000000003E-3"/>
    <n v="9.214E-3"/>
    <n v="1"/>
    <n v="7.1428571428571426E-3"/>
    <n v="0.99285714285714288"/>
  </r>
  <r>
    <n v="168"/>
    <n v="161"/>
    <n v="0.95830000000000004"/>
    <n v="7"/>
    <d v="1899-12-30T00:00:18"/>
    <d v="1899-12-30T00:02:24"/>
    <d v="1899-12-30T00:02:24"/>
    <n v="0.73650000000000004"/>
    <n v="9.5830000000000012E-3"/>
    <n v="7.365E-3"/>
    <n v="7"/>
    <n v="4.1666666666666664E-2"/>
    <n v="0.95833333333333337"/>
  </r>
  <r>
    <n v="146"/>
    <n v="144"/>
    <n v="0.98629999999999995"/>
    <n v="2"/>
    <d v="1899-12-30T00:00:06"/>
    <d v="1899-12-30T00:02:38"/>
    <d v="1899-12-30T00:00:58"/>
    <n v="0.94479999999999997"/>
    <n v="9.8630000000000002E-3"/>
    <n v="9.4479999999999998E-3"/>
    <n v="2"/>
    <n v="1.3698630136986301E-2"/>
    <n v="0.98630136986301364"/>
  </r>
  <r>
    <n v="110"/>
    <n v="106"/>
    <n v="0.96360000000000001"/>
    <n v="4"/>
    <d v="1899-12-30T00:00:15"/>
    <d v="1899-12-30T00:02:50"/>
    <d v="1899-12-30T00:02:30"/>
    <n v="0.8"/>
    <n v="9.6360000000000005E-3"/>
    <n v="8.0000000000000002E-3"/>
    <n v="4"/>
    <n v="3.6363636363636362E-2"/>
    <n v="0.96363636363636362"/>
  </r>
  <r>
    <n v="342"/>
    <n v="333"/>
    <n v="0.97370000000000001"/>
    <n v="9"/>
    <d v="1899-12-30T00:00:15"/>
    <d v="1899-12-30T00:02:10"/>
    <d v="1899-12-30T00:02:39"/>
    <n v="0.81420000000000003"/>
    <n v="9.7370000000000009E-3"/>
    <n v="8.1419999999999999E-3"/>
    <n v="9"/>
    <n v="2.6315789473684209E-2"/>
    <n v="0.97368421052631582"/>
  </r>
  <r>
    <n v="190"/>
    <n v="183"/>
    <n v="0.96319999999999995"/>
    <n v="7"/>
    <d v="1899-12-30T00:00:16"/>
    <d v="1899-12-30T00:02:32"/>
    <d v="1899-12-30T00:01:59"/>
    <n v="0.78949999999999998"/>
    <n v="9.6319999999999999E-3"/>
    <n v="7.8949999999999992E-3"/>
    <n v="7"/>
    <n v="3.6842105263157891E-2"/>
    <n v="0.9631578947368421"/>
  </r>
  <r>
    <n v="25"/>
    <n v="24"/>
    <n v="0.96"/>
    <n v="1"/>
    <d v="1899-12-30T00:00:06"/>
    <d v="1899-12-30T00:02:22"/>
    <d v="1899-12-30T00:00:48"/>
    <n v="0.91669999999999996"/>
    <n v="9.5999999999999992E-3"/>
    <n v="9.1669999999999998E-3"/>
    <n v="1"/>
    <n v="0.04"/>
    <n v="0.96"/>
  </r>
  <r>
    <n v="169"/>
    <n v="162"/>
    <n v="0.95860000000000001"/>
    <n v="7"/>
    <d v="1899-12-30T00:00:09"/>
    <d v="1899-12-30T00:02:31"/>
    <d v="1899-12-30T00:04:36"/>
    <n v="0.89159999999999995"/>
    <n v="9.5860000000000008E-3"/>
    <n v="8.9160000000000003E-3"/>
    <n v="7"/>
    <n v="4.142011834319527E-2"/>
    <n v="0.95857988165680474"/>
  </r>
  <r>
    <n v="130"/>
    <n v="129"/>
    <n v="0.99229999999999996"/>
    <n v="1"/>
    <d v="1899-12-30T00:00:11"/>
    <d v="1899-12-30T00:02:30"/>
    <d v="1899-12-30T00:01:52"/>
    <n v="0.86919999999999997"/>
    <n v="9.9229999999999995E-3"/>
    <n v="8.6920000000000001E-3"/>
    <n v="1"/>
    <n v="7.6923076923076927E-3"/>
    <n v="0.99230769230769234"/>
  </r>
  <r>
    <n v="22"/>
    <n v="20"/>
    <n v="0.90910000000000002"/>
    <n v="2"/>
    <d v="1899-12-30T00:00:09"/>
    <d v="1899-12-30T00:03:15"/>
    <d v="1899-12-30T00:01:50"/>
    <n v="0.90480000000000005"/>
    <n v="9.0910000000000001E-3"/>
    <n v="9.0480000000000005E-3"/>
    <n v="2"/>
    <n v="9.0909090909090912E-2"/>
    <n v="0.90909090909090906"/>
  </r>
  <r>
    <n v="5"/>
    <n v="5"/>
    <n v="1"/>
    <n v="0"/>
    <d v="1899-12-30T00:00:28"/>
    <d v="1899-12-30T00:02:25"/>
    <d v="1899-12-30T00:01:14"/>
    <n v="0.6"/>
    <n v="0.01"/>
    <n v="6.0000000000000001E-3"/>
    <n v="0"/>
    <n v="0"/>
    <n v="1"/>
  </r>
  <r>
    <n v="119"/>
    <n v="115"/>
    <n v="0.96640000000000004"/>
    <n v="4"/>
    <d v="1899-12-30T00:00:11"/>
    <d v="1899-12-30T00:02:28"/>
    <d v="1899-12-30T00:01:50"/>
    <n v="0.86439999999999995"/>
    <n v="9.6640000000000007E-3"/>
    <n v="8.6439999999999989E-3"/>
    <n v="4"/>
    <n v="3.3613445378151259E-2"/>
    <n v="0.96638655462184875"/>
  </r>
  <r>
    <n v="140"/>
    <n v="138"/>
    <n v="0.98570000000000002"/>
    <n v="2"/>
    <d v="1899-12-30T00:00:09"/>
    <d v="1899-12-30T00:02:17"/>
    <d v="1899-12-30T00:02:11"/>
    <n v="0.9214"/>
    <n v="9.8569999999999994E-3"/>
    <n v="9.214E-3"/>
    <n v="2"/>
    <n v="1.4285714285714285E-2"/>
    <n v="0.98571428571428577"/>
  </r>
  <r>
    <n v="22"/>
    <n v="22"/>
    <n v="1"/>
    <n v="0"/>
    <d v="1899-12-30T00:00:06"/>
    <d v="1899-12-30T00:02:21"/>
    <d v="1899-12-30T00:00:48"/>
    <n v="0.90910000000000002"/>
    <n v="0.01"/>
    <n v="9.0910000000000001E-3"/>
    <n v="0"/>
    <n v="0"/>
    <n v="1"/>
  </r>
  <r>
    <n v="126"/>
    <n v="124"/>
    <n v="0.98409999999999997"/>
    <n v="2"/>
    <d v="1899-12-30T00:00:08"/>
    <d v="1899-12-30T00:02:35"/>
    <d v="1899-12-30T00:00:58"/>
    <n v="0.94399999999999995"/>
    <n v="9.8409999999999991E-3"/>
    <n v="9.4399999999999987E-3"/>
    <n v="2"/>
    <n v="1.5873015873015872E-2"/>
    <n v="0.98412698412698407"/>
  </r>
  <r>
    <n v="122"/>
    <n v="111"/>
    <n v="0.90980000000000005"/>
    <n v="11"/>
    <d v="1899-12-30T00:00:13"/>
    <d v="1899-12-30T00:02:43"/>
    <d v="1899-12-30T00:02:13"/>
    <n v="0.77690000000000003"/>
    <n v="9.0980000000000002E-3"/>
    <n v="7.7690000000000007E-3"/>
    <n v="11"/>
    <n v="9.0163934426229511E-2"/>
    <n v="0.9098360655737705"/>
  </r>
  <r>
    <n v="113"/>
    <n v="108"/>
    <n v="0.95579999999999998"/>
    <n v="5"/>
    <d v="1899-12-30T00:00:13"/>
    <d v="1899-12-30T00:02:31"/>
    <d v="1899-12-30T00:01:27"/>
    <n v="0.82879999999999998"/>
    <n v="9.5580000000000005E-3"/>
    <n v="8.2880000000000002E-3"/>
    <n v="5"/>
    <n v="4.4247787610619468E-2"/>
    <n v="0.95575221238938057"/>
  </r>
  <r>
    <n v="119"/>
    <n v="109"/>
    <n v="0.91600000000000004"/>
    <n v="10"/>
    <d v="1899-12-30T00:00:17"/>
    <d v="1899-12-30T00:02:36"/>
    <d v="1899-12-30T00:05:15"/>
    <n v="0.83620000000000005"/>
    <n v="9.1599999999999997E-3"/>
    <n v="8.3620000000000014E-3"/>
    <n v="10"/>
    <n v="8.4033613445378158E-2"/>
    <n v="0.91596638655462181"/>
  </r>
  <r>
    <n v="134"/>
    <n v="119"/>
    <n v="0.8881"/>
    <n v="15"/>
    <d v="1899-12-30T00:00:24"/>
    <d v="1899-12-30T00:02:46"/>
    <d v="1899-12-30T00:02:45"/>
    <n v="0.63429999999999997"/>
    <n v="8.881E-3"/>
    <n v="6.3429999999999997E-3"/>
    <n v="15"/>
    <n v="0.11194029850746269"/>
    <n v="0.88805970149253732"/>
  </r>
  <r>
    <n v="101"/>
    <n v="97"/>
    <n v="0.96040000000000003"/>
    <n v="4"/>
    <d v="1899-12-30T00:00:16"/>
    <d v="1899-12-30T00:02:33"/>
    <d v="1899-12-30T00:01:38"/>
    <n v="0.77"/>
    <n v="9.6039999999999997E-3"/>
    <n v="7.7000000000000002E-3"/>
    <n v="4"/>
    <n v="3.9603960396039604E-2"/>
    <n v="0.96039603960396036"/>
  </r>
  <r>
    <n v="20"/>
    <n v="20"/>
    <n v="1"/>
    <n v="0"/>
    <d v="1899-12-30T00:00:04"/>
    <d v="1899-12-30T00:02:24"/>
    <d v="1899-12-30T00:00:18"/>
    <n v="1"/>
    <n v="0.01"/>
    <n v="0.01"/>
    <n v="0"/>
    <n v="0"/>
    <n v="1"/>
  </r>
  <r>
    <n v="169"/>
    <n v="162"/>
    <n v="0.95860000000000001"/>
    <n v="7"/>
    <d v="1899-12-30T00:00:17"/>
    <d v="1899-12-30T00:02:32"/>
    <d v="1899-12-30T00:05:31"/>
    <n v="0.80120000000000002"/>
    <n v="9.5860000000000008E-3"/>
    <n v="8.012E-3"/>
    <n v="7"/>
    <n v="4.142011834319527E-2"/>
    <n v="0.95857988165680474"/>
  </r>
  <r>
    <n v="137"/>
    <n v="133"/>
    <n v="0.9708"/>
    <n v="4"/>
    <d v="1899-12-30T00:00:29"/>
    <d v="1899-12-30T00:02:37"/>
    <d v="1899-12-30T00:02:42"/>
    <n v="0.62039999999999995"/>
    <n v="9.7079999999999996E-3"/>
    <n v="6.2039999999999994E-3"/>
    <n v="4"/>
    <n v="2.9197080291970802E-2"/>
    <n v="0.97080291970802923"/>
  </r>
  <r>
    <n v="133"/>
    <n v="127"/>
    <n v="0.95489999999999997"/>
    <n v="6"/>
    <d v="1899-12-30T00:00:18"/>
    <d v="1899-12-30T00:02:39"/>
    <d v="1899-12-30T00:04:36"/>
    <n v="0.81950000000000001"/>
    <n v="9.5490000000000002E-3"/>
    <n v="8.1950000000000009E-3"/>
    <n v="6"/>
    <n v="4.5112781954887216E-2"/>
    <n v="0.95488721804511278"/>
  </r>
  <r>
    <n v="184"/>
    <n v="179"/>
    <n v="0.9728"/>
    <n v="5"/>
    <d v="1899-12-30T00:00:10"/>
    <d v="1899-12-30T00:02:03"/>
    <d v="1899-12-30T00:02:44"/>
    <n v="0.90559999999999996"/>
    <n v="9.7280000000000005E-3"/>
    <n v="9.0559999999999998E-3"/>
    <n v="5"/>
    <n v="2.717391304347826E-2"/>
    <n v="0.97282608695652173"/>
  </r>
  <r>
    <n v="145"/>
    <n v="135"/>
    <n v="0.93100000000000005"/>
    <n v="10"/>
    <d v="1899-12-30T00:00:21"/>
    <d v="1899-12-30T00:02:35"/>
    <d v="1899-12-30T00:03:10"/>
    <n v="0.74129999999999996"/>
    <n v="9.3100000000000006E-3"/>
    <n v="7.4129999999999995E-3"/>
    <n v="10"/>
    <n v="6.8965517241379309E-2"/>
    <n v="0.93103448275862066"/>
  </r>
  <r>
    <n v="114"/>
    <n v="108"/>
    <n v="0.94740000000000002"/>
    <n v="6"/>
    <d v="1899-12-30T00:00:14"/>
    <d v="1899-12-30T00:02:31"/>
    <d v="1899-12-30T00:02:33"/>
    <n v="0.82879999999999998"/>
    <n v="9.4739999999999998E-3"/>
    <n v="8.2880000000000002E-3"/>
    <n v="6"/>
    <n v="5.2631578947368418E-2"/>
    <n v="0.94736842105263153"/>
  </r>
  <r>
    <n v="24"/>
    <n v="23"/>
    <n v="0.95830000000000004"/>
    <n v="1"/>
    <d v="1899-12-30T00:00:05"/>
    <d v="1899-12-30T00:02:12"/>
    <d v="1899-12-30T00:00:55"/>
    <n v="0.95830000000000004"/>
    <n v="9.5830000000000012E-3"/>
    <n v="9.5830000000000012E-3"/>
    <n v="1"/>
    <n v="4.1666666666666664E-2"/>
    <n v="0.95833333333333337"/>
  </r>
  <r>
    <n v="143"/>
    <n v="136"/>
    <n v="0.95099999999999996"/>
    <n v="7"/>
    <d v="1899-12-30T00:00:09"/>
    <d v="1899-12-30T00:02:32"/>
    <d v="1899-12-30T00:05:30"/>
    <n v="0.84509999999999996"/>
    <n v="9.5099999999999994E-3"/>
    <n v="8.4510000000000002E-3"/>
    <n v="7"/>
    <n v="4.8951048951048952E-2"/>
    <n v="0.95104895104895104"/>
  </r>
  <r>
    <n v="119"/>
    <n v="114"/>
    <n v="0.95799999999999996"/>
    <n v="5"/>
    <d v="1899-12-30T00:00:08"/>
    <d v="1899-12-30T00:02:22"/>
    <d v="1899-12-30T00:01:19"/>
    <n v="0.90600000000000003"/>
    <n v="9.58E-3"/>
    <n v="9.0600000000000003E-3"/>
    <n v="5"/>
    <n v="4.2016806722689079E-2"/>
    <n v="0.95798319327731096"/>
  </r>
  <r>
    <n v="123"/>
    <n v="118"/>
    <n v="0.95930000000000004"/>
    <n v="5"/>
    <d v="1899-12-30T00:00:21"/>
    <d v="1899-12-30T00:02:46"/>
    <d v="1899-12-30T00:02:44"/>
    <n v="0.70730000000000004"/>
    <n v="9.5930000000000008E-3"/>
    <n v="7.0730000000000003E-3"/>
    <n v="5"/>
    <n v="4.065040650406504E-2"/>
    <n v="0.95934959349593496"/>
  </r>
  <r>
    <n v="145"/>
    <n v="141"/>
    <n v="0.97240000000000004"/>
    <n v="4"/>
    <d v="1899-12-30T00:00:14"/>
    <d v="1899-12-30T00:02:36"/>
    <d v="1899-12-30T00:01:50"/>
    <n v="0.83330000000000004"/>
    <n v="9.724E-3"/>
    <n v="8.3330000000000001E-3"/>
    <n v="4"/>
    <n v="2.7586206896551724E-2"/>
    <n v="0.97241379310344822"/>
  </r>
  <r>
    <n v="108"/>
    <n v="106"/>
    <n v="0.98150000000000004"/>
    <n v="2"/>
    <d v="1899-12-30T00:00:26"/>
    <d v="1899-12-30T00:02:50"/>
    <d v="1899-12-30T00:04:57"/>
    <n v="0.68220000000000003"/>
    <n v="9.8150000000000008E-3"/>
    <n v="6.8219999999999999E-3"/>
    <n v="2"/>
    <n v="1.8518518518518517E-2"/>
    <n v="0.98148148148148151"/>
  </r>
  <r>
    <n v="128"/>
    <n v="125"/>
    <n v="0.97660000000000002"/>
    <n v="3"/>
    <d v="1899-12-30T00:00:13"/>
    <d v="1899-12-30T00:02:45"/>
    <d v="1899-12-30T00:01:42"/>
    <n v="0.82679999999999998"/>
    <n v="9.7660000000000004E-3"/>
    <n v="8.2679999999999993E-3"/>
    <n v="3"/>
    <n v="2.34375E-2"/>
    <n v="0.9765625"/>
  </r>
  <r>
    <n v="27"/>
    <n v="26"/>
    <n v="0.96299999999999997"/>
    <n v="1"/>
    <d v="1899-12-30T00:00:20"/>
    <d v="1899-12-30T00:02:51"/>
    <d v="1899-12-30T00:02:40"/>
    <n v="0.84619999999999995"/>
    <n v="9.6299999999999997E-3"/>
    <n v="8.461999999999999E-3"/>
    <n v="1"/>
    <n v="3.7037037037037035E-2"/>
    <n v="0.96296296296296291"/>
  </r>
  <r>
    <n v="155"/>
    <n v="151"/>
    <n v="0.97419999999999995"/>
    <n v="4"/>
    <d v="1899-12-30T00:00:11"/>
    <d v="1899-12-30T00:02:32"/>
    <d v="1899-12-30T00:02:18"/>
    <n v="0.89610000000000001"/>
    <n v="9.7419999999999989E-3"/>
    <n v="8.9610000000000002E-3"/>
    <n v="4"/>
    <n v="2.5806451612903226E-2"/>
    <n v="0.97419354838709682"/>
  </r>
  <r>
    <n v="116"/>
    <n v="110"/>
    <n v="0.94830000000000003"/>
    <n v="6"/>
    <d v="1899-12-30T00:00:18"/>
    <d v="1899-12-30T00:02:23"/>
    <d v="1899-12-30T00:02:47"/>
    <n v="0.75"/>
    <n v="9.4830000000000001E-3"/>
    <n v="7.4999999999999997E-3"/>
    <n v="6"/>
    <n v="5.1724137931034482E-2"/>
    <n v="0.94827586206896552"/>
  </r>
  <r>
    <n v="117"/>
    <n v="111"/>
    <n v="0.94869999999999999"/>
    <n v="6"/>
    <d v="1899-12-30T00:00:18"/>
    <d v="1899-12-30T00:02:43"/>
    <d v="1899-12-30T00:02:06"/>
    <n v="0.76519999999999999"/>
    <n v="9.4870000000000006E-3"/>
    <n v="7.6519999999999999E-3"/>
    <n v="6"/>
    <n v="5.128205128205128E-2"/>
    <n v="0.94871794871794868"/>
  </r>
  <r>
    <n v="113"/>
    <n v="105"/>
    <n v="0.92920000000000003"/>
    <n v="8"/>
    <d v="1899-12-30T00:00:31"/>
    <d v="1899-12-30T00:02:37"/>
    <d v="1899-12-30T00:03:40"/>
    <n v="0.53979999999999995"/>
    <n v="9.2919999999999999E-3"/>
    <n v="5.3979999999999992E-3"/>
    <n v="8"/>
    <n v="7.0796460176991149E-2"/>
    <n v="0.92920353982300885"/>
  </r>
  <r>
    <n v="107"/>
    <n v="101"/>
    <n v="0.94389999999999996"/>
    <n v="6"/>
    <d v="1899-12-30T00:00:23"/>
    <d v="1899-12-30T00:02:44"/>
    <d v="1899-12-30T00:03:11"/>
    <n v="0.73580000000000001"/>
    <n v="9.4389999999999995E-3"/>
    <n v="7.358E-3"/>
    <n v="6"/>
    <n v="5.6074766355140186E-2"/>
    <n v="0.94392523364485981"/>
  </r>
  <r>
    <n v="146"/>
    <n v="141"/>
    <n v="0.96579999999999999"/>
    <n v="5"/>
    <d v="1899-12-30T00:00:25"/>
    <d v="1899-12-30T00:02:22"/>
    <d v="1899-12-30T00:02:46"/>
    <n v="0.65749999999999997"/>
    <n v="9.6579999999999999E-3"/>
    <n v="6.5750000000000001E-3"/>
    <n v="5"/>
    <n v="3.4246575342465752E-2"/>
    <n v="0.96575342465753422"/>
  </r>
  <r>
    <n v="29"/>
    <n v="26"/>
    <n v="0.89659999999999995"/>
    <n v="3"/>
    <d v="1899-12-30T00:00:09"/>
    <d v="1899-12-30T00:02:37"/>
    <d v="1899-12-30T00:01:50"/>
    <n v="0.85709999999999997"/>
    <n v="8.966E-3"/>
    <n v="8.5710000000000005E-3"/>
    <n v="3"/>
    <n v="0.10344827586206896"/>
    <n v="0.89655172413793105"/>
  </r>
  <r>
    <n v="231"/>
    <n v="228"/>
    <n v="0.98699999999999999"/>
    <n v="3"/>
    <d v="1899-12-30T00:00:15"/>
    <d v="1899-12-30T00:02:09"/>
    <d v="1899-12-30T00:03:26"/>
    <n v="0.81389999999999996"/>
    <n v="9.8700000000000003E-3"/>
    <n v="8.1390000000000004E-3"/>
    <n v="3"/>
    <n v="1.2987012987012988E-2"/>
    <n v="0.98701298701298701"/>
  </r>
  <r>
    <n v="239"/>
    <n v="215"/>
    <n v="0.89959999999999996"/>
    <n v="24"/>
    <d v="1899-12-30T00:00:23"/>
    <d v="1899-12-30T00:02:36"/>
    <d v="1899-12-30T00:04:35"/>
    <n v="0.66669999999999996"/>
    <n v="8.9959999999999988E-3"/>
    <n v="6.6669999999999993E-3"/>
    <n v="24"/>
    <n v="0.100418410041841"/>
    <n v="0.89958158995815896"/>
  </r>
  <r>
    <n v="174"/>
    <n v="154"/>
    <n v="0.8851"/>
    <n v="20"/>
    <d v="1899-12-30T00:00:29"/>
    <d v="1899-12-30T00:02:40"/>
    <d v="1899-12-30T00:05:08"/>
    <n v="0.61309999999999998"/>
    <n v="8.8509999999999995E-3"/>
    <n v="6.1310000000000002E-3"/>
    <n v="20"/>
    <n v="0.11494252873563218"/>
    <n v="0.88505747126436785"/>
  </r>
  <r>
    <n v="168"/>
    <n v="163"/>
    <n v="0.97019999999999995"/>
    <n v="5"/>
    <d v="1899-12-30T00:00:21"/>
    <d v="1899-12-30T00:02:49"/>
    <d v="1899-12-30T00:02:45"/>
    <n v="0.70660000000000001"/>
    <n v="9.7019999999999988E-3"/>
    <n v="7.0660000000000002E-3"/>
    <n v="5"/>
    <n v="2.976190476190476E-2"/>
    <n v="0.97023809523809523"/>
  </r>
  <r>
    <n v="135"/>
    <n v="128"/>
    <n v="0.94810000000000005"/>
    <n v="7"/>
    <d v="1899-12-30T00:00:18"/>
    <d v="1899-12-30T00:02:36"/>
    <d v="1899-12-30T00:05:30"/>
    <n v="0.72589999999999999"/>
    <n v="9.4809999999999998E-3"/>
    <n v="7.2589999999999998E-3"/>
    <n v="7"/>
    <n v="5.185185185185185E-2"/>
    <n v="0.94814814814814818"/>
  </r>
  <r>
    <n v="122"/>
    <n v="113"/>
    <n v="0.92620000000000002"/>
    <n v="9"/>
    <d v="1899-12-30T00:00:30"/>
    <d v="1899-12-30T00:02:49"/>
    <d v="1899-12-30T00:03:40"/>
    <n v="0.61160000000000003"/>
    <n v="9.2619999999999994E-3"/>
    <n v="6.1159999999999999E-3"/>
    <n v="9"/>
    <n v="7.3770491803278687E-2"/>
    <n v="0.92622950819672134"/>
  </r>
  <r>
    <n v="13"/>
    <n v="12"/>
    <n v="0.92310000000000003"/>
    <n v="1"/>
    <d v="1899-12-30T00:00:24"/>
    <d v="1899-12-30T00:02:45"/>
    <d v="1899-12-30T00:01:12"/>
    <n v="0.66669999999999996"/>
    <n v="9.2309999999999996E-3"/>
    <n v="6.6669999999999993E-3"/>
    <n v="1"/>
    <n v="7.6923076923076927E-2"/>
    <n v="0.92307692307692313"/>
  </r>
  <r>
    <n v="20"/>
    <n v="18"/>
    <n v="0.9"/>
    <n v="2"/>
    <d v="1899-12-30T00:00:23"/>
    <d v="1899-12-30T00:02:43"/>
    <d v="1899-12-30T00:02:44"/>
    <n v="0.73680000000000001"/>
    <n v="9.0000000000000011E-3"/>
    <n v="7.3680000000000004E-3"/>
    <n v="2"/>
    <n v="0.1"/>
    <n v="0.9"/>
  </r>
  <r>
    <n v="152"/>
    <n v="141"/>
    <n v="0.92759999999999998"/>
    <n v="11"/>
    <d v="1899-12-30T00:00:22"/>
    <d v="1899-12-30T00:02:41"/>
    <d v="1899-12-30T00:04:29"/>
    <n v="0.7"/>
    <n v="9.2759999999999995E-3"/>
    <n v="6.9999999999999993E-3"/>
    <n v="11"/>
    <n v="7.2368421052631582E-2"/>
    <n v="0.92763157894736847"/>
  </r>
  <r>
    <n v="132"/>
    <n v="131"/>
    <n v="0.99239999999999995"/>
    <n v="1"/>
    <d v="1899-12-30T00:00:12"/>
    <d v="1899-12-30T00:02:39"/>
    <d v="1899-12-30T00:02:00"/>
    <n v="0.87019999999999997"/>
    <n v="9.9239999999999988E-3"/>
    <n v="8.7019999999999997E-3"/>
    <n v="1"/>
    <n v="7.575757575757576E-3"/>
    <n v="0.99242424242424243"/>
  </r>
  <r>
    <n v="180"/>
    <n v="171"/>
    <n v="0.95"/>
    <n v="9"/>
    <d v="1899-12-30T00:00:21"/>
    <d v="1899-12-30T00:02:51"/>
    <d v="1899-12-30T00:02:39"/>
    <n v="0.71909999999999996"/>
    <n v="9.4999999999999998E-3"/>
    <n v="7.1909999999999995E-3"/>
    <n v="9"/>
    <n v="0.05"/>
    <n v="0.95"/>
  </r>
  <r>
    <n v="193"/>
    <n v="189"/>
    <n v="0.97929999999999995"/>
    <n v="4"/>
    <d v="1899-12-30T00:00:13"/>
    <d v="1899-12-30T00:02:35"/>
    <d v="1899-12-30T00:02:26"/>
    <n v="0.82899999999999996"/>
    <n v="9.7929999999999996E-3"/>
    <n v="8.2899999999999988E-3"/>
    <n v="4"/>
    <n v="2.072538860103627E-2"/>
    <n v="0.97927461139896377"/>
  </r>
  <r>
    <n v="245"/>
    <n v="236"/>
    <n v="0.96330000000000005"/>
    <n v="9"/>
    <d v="1899-12-30T00:00:13"/>
    <d v="1899-12-30T00:02:44"/>
    <d v="1899-12-30T00:02:20"/>
    <n v="0.82789999999999997"/>
    <n v="9.6330000000000009E-3"/>
    <n v="8.2789999999999999E-3"/>
    <n v="9"/>
    <n v="3.6734693877551024E-2"/>
    <n v="0.96326530612244898"/>
  </r>
  <r>
    <n v="35"/>
    <n v="34"/>
    <n v="0.97140000000000004"/>
    <n v="1"/>
    <d v="1899-12-30T00:00:11"/>
    <d v="1899-12-30T00:02:11"/>
    <d v="1899-12-30T00:01:44"/>
    <n v="0.88239999999999996"/>
    <n v="9.7140000000000004E-3"/>
    <n v="8.8240000000000002E-3"/>
    <n v="1"/>
    <n v="2.8571428571428571E-2"/>
    <n v="0.97142857142857142"/>
  </r>
  <r>
    <n v="198"/>
    <n v="190"/>
    <n v="0.95960000000000001"/>
    <n v="8"/>
    <d v="1899-12-30T00:00:12"/>
    <d v="1899-12-30T00:02:38"/>
    <d v="1899-12-30T00:01:22"/>
    <n v="0.84689999999999999"/>
    <n v="9.5960000000000004E-3"/>
    <n v="8.4689999999999991E-3"/>
    <n v="8"/>
    <n v="4.0404040404040407E-2"/>
    <n v="0.95959595959595956"/>
  </r>
  <r>
    <n v="47"/>
    <n v="47"/>
    <n v="1"/>
    <n v="0"/>
    <d v="1899-12-30T00:00:06"/>
    <d v="1899-12-30T00:02:09"/>
    <d v="1899-12-30T00:00:57"/>
    <n v="0.93620000000000003"/>
    <n v="0.01"/>
    <n v="9.3620000000000005E-3"/>
    <n v="0"/>
    <n v="0"/>
    <n v="1"/>
  </r>
  <r>
    <n v="187"/>
    <n v="186"/>
    <n v="0.99470000000000003"/>
    <n v="1"/>
    <d v="1899-12-30T00:00:07"/>
    <d v="1899-12-30T00:02:30"/>
    <d v="1899-12-30T00:02:45"/>
    <n v="0.93579999999999997"/>
    <n v="9.947000000000001E-3"/>
    <n v="9.358E-3"/>
    <n v="1"/>
    <n v="5.3475935828877002E-3"/>
    <n v="0.99465240641711228"/>
  </r>
  <r>
    <n v="57"/>
    <n v="54"/>
    <n v="0.94740000000000002"/>
    <n v="3"/>
    <d v="1899-12-30T00:00:07"/>
    <d v="1899-12-30T00:02:37"/>
    <d v="1899-12-30T00:00:55"/>
    <n v="0.91069999999999995"/>
    <n v="9.4739999999999998E-3"/>
    <n v="9.1069999999999988E-3"/>
    <n v="3"/>
    <n v="5.2631578947368418E-2"/>
    <n v="0.94736842105263153"/>
  </r>
  <r>
    <n v="169"/>
    <n v="162"/>
    <n v="0.95860000000000001"/>
    <n v="7"/>
    <d v="1899-12-30T00:00:09"/>
    <d v="1899-12-30T00:02:39"/>
    <d v="1899-12-30T00:01:50"/>
    <n v="0.88170000000000004"/>
    <n v="9.5860000000000008E-3"/>
    <n v="8.8170000000000002E-3"/>
    <n v="7"/>
    <n v="4.142011834319527E-2"/>
    <n v="0.95857988165680474"/>
  </r>
  <r>
    <n v="337"/>
    <n v="316"/>
    <n v="0.93769999999999998"/>
    <n v="21"/>
    <d v="1899-12-30T00:00:23"/>
    <d v="1899-12-30T00:02:13"/>
    <d v="1899-12-30T00:05:17"/>
    <n v="0.72919999999999996"/>
    <n v="9.3769999999999999E-3"/>
    <n v="7.2919999999999999E-3"/>
    <n v="21"/>
    <n v="6.2314540059347182E-2"/>
    <n v="0.93768545994065278"/>
  </r>
  <r>
    <n v="44"/>
    <n v="43"/>
    <n v="0.97729999999999995"/>
    <n v="1"/>
    <d v="1899-12-30T00:00:09"/>
    <d v="1899-12-30T00:02:35"/>
    <d v="1899-12-30T00:01:50"/>
    <n v="0.84089999999999998"/>
    <n v="9.7729999999999987E-3"/>
    <n v="8.4089999999999998E-3"/>
    <n v="1"/>
    <n v="2.2727272727272728E-2"/>
    <n v="0.97727272727272729"/>
  </r>
  <r>
    <n v="210"/>
    <n v="206"/>
    <n v="0.98099999999999998"/>
    <n v="4"/>
    <d v="1899-12-30T00:00:12"/>
    <d v="1899-12-30T00:02:39"/>
    <d v="1899-12-30T00:02:32"/>
    <n v="0.87080000000000002"/>
    <n v="9.8099999999999993E-3"/>
    <n v="8.7080000000000005E-3"/>
    <n v="4"/>
    <n v="1.9047619047619049E-2"/>
    <n v="0.98095238095238091"/>
  </r>
  <r>
    <n v="190"/>
    <n v="186"/>
    <n v="0.97889999999999999"/>
    <n v="4"/>
    <d v="1899-12-30T00:00:17"/>
    <d v="1899-12-30T00:02:22"/>
    <d v="1899-12-30T00:04:53"/>
    <n v="0.84130000000000005"/>
    <n v="9.7889999999999991E-3"/>
    <n v="8.4130000000000003E-3"/>
    <n v="4"/>
    <n v="2.1052631578947368E-2"/>
    <n v="0.97894736842105268"/>
  </r>
  <r>
    <n v="190"/>
    <n v="182"/>
    <n v="0.95789999999999997"/>
    <n v="8"/>
    <d v="1899-12-30T00:00:10"/>
    <d v="1899-12-30T00:02:40"/>
    <d v="1899-12-30T00:01:38"/>
    <n v="0.87029999999999996"/>
    <n v="9.578999999999999E-3"/>
    <n v="8.7029999999999989E-3"/>
    <n v="8"/>
    <n v="4.2105263157894736E-2"/>
    <n v="0.95789473684210524"/>
  </r>
  <r>
    <n v="169"/>
    <n v="168"/>
    <n v="0.99409999999999998"/>
    <n v="1"/>
    <d v="1899-12-30T00:00:11"/>
    <d v="1899-12-30T00:02:25"/>
    <d v="1899-12-30T00:01:48"/>
    <n v="0.88170000000000004"/>
    <n v="9.9410000000000002E-3"/>
    <n v="8.8170000000000002E-3"/>
    <n v="1"/>
    <n v="5.9171597633136093E-3"/>
    <n v="0.99408284023668636"/>
  </r>
  <r>
    <n v="52"/>
    <n v="50"/>
    <n v="0.96150000000000002"/>
    <n v="2"/>
    <d v="1899-12-30T00:00:06"/>
    <d v="1899-12-30T00:02:34"/>
    <d v="1899-12-30T00:00:58"/>
    <n v="0.92159999999999997"/>
    <n v="9.6150000000000003E-3"/>
    <n v="9.2160000000000002E-3"/>
    <n v="2"/>
    <n v="3.8461538461538464E-2"/>
    <n v="0.96153846153846156"/>
  </r>
  <r>
    <n v="144"/>
    <n v="137"/>
    <n v="0.95140000000000002"/>
    <n v="7"/>
    <d v="1899-12-30T00:00:14"/>
    <d v="1899-12-30T00:02:36"/>
    <d v="1899-12-30T00:02:56"/>
    <n v="0.77080000000000004"/>
    <n v="9.5139999999999999E-3"/>
    <n v="7.7080000000000004E-3"/>
    <n v="7"/>
    <n v="4.8611111111111112E-2"/>
    <n v="0.95138888888888884"/>
  </r>
  <r>
    <n v="36"/>
    <n v="36"/>
    <n v="1"/>
    <n v="0"/>
    <d v="1899-12-30T00:00:15"/>
    <d v="1899-12-30T00:02:53"/>
    <d v="1899-12-30T00:01:41"/>
    <n v="0.80559999999999998"/>
    <n v="0.01"/>
    <n v="8.0560000000000007E-3"/>
    <n v="0"/>
    <n v="0"/>
    <n v="1"/>
  </r>
  <r>
    <n v="155"/>
    <n v="148"/>
    <n v="0.95479999999999998"/>
    <n v="7"/>
    <d v="1899-12-30T00:00:14"/>
    <d v="1899-12-30T00:02:26"/>
    <d v="1899-12-30T00:03:23"/>
    <n v="0.81289999999999996"/>
    <n v="9.5479999999999992E-3"/>
    <n v="8.1289999999999991E-3"/>
    <n v="7"/>
    <n v="4.5161290322580643E-2"/>
    <n v="0.95483870967741935"/>
  </r>
  <r>
    <n v="159"/>
    <n v="154"/>
    <n v="0.96860000000000002"/>
    <n v="5"/>
    <d v="1899-12-30T00:00:16"/>
    <d v="1899-12-30T00:02:41"/>
    <d v="1899-12-30T00:02:12"/>
    <n v="0.78620000000000001"/>
    <n v="9.6860000000000002E-3"/>
    <n v="7.8620000000000009E-3"/>
    <n v="5"/>
    <n v="3.1446540880503145E-2"/>
    <n v="0.96855345911949686"/>
  </r>
  <r>
    <n v="115"/>
    <n v="110"/>
    <n v="0.95650000000000002"/>
    <n v="5"/>
    <d v="1899-12-30T00:00:14"/>
    <d v="1899-12-30T00:02:28"/>
    <d v="1899-12-30T00:02:17"/>
    <n v="0.83189999999999997"/>
    <n v="9.5650000000000006E-3"/>
    <n v="8.319E-3"/>
    <n v="5"/>
    <n v="4.3478260869565216E-2"/>
    <n v="0.95652173913043481"/>
  </r>
  <r>
    <n v="186"/>
    <n v="173"/>
    <n v="0.93010000000000004"/>
    <n v="13"/>
    <d v="1899-12-30T00:00:19"/>
    <d v="1899-12-30T00:02:39"/>
    <d v="1899-12-30T00:02:44"/>
    <n v="0.73509999999999998"/>
    <n v="9.3010000000000002E-3"/>
    <n v="7.3509999999999999E-3"/>
    <n v="13"/>
    <n v="6.9892473118279563E-2"/>
    <n v="0.93010752688172038"/>
  </r>
  <r>
    <n v="167"/>
    <n v="157"/>
    <n v="0.94010000000000005"/>
    <n v="10"/>
    <d v="1899-12-30T00:00:23"/>
    <d v="1899-12-30T00:02:32"/>
    <d v="1899-12-30T00:02:49"/>
    <n v="0.67679999999999996"/>
    <n v="9.4009999999999996E-3"/>
    <n v="6.7679999999999997E-3"/>
    <n v="10"/>
    <n v="5.9880239520958084E-2"/>
    <n v="0.94011976047904189"/>
  </r>
  <r>
    <n v="146"/>
    <n v="142"/>
    <n v="0.97260000000000002"/>
    <n v="4"/>
    <d v="1899-12-30T00:00:22"/>
    <d v="1899-12-30T00:02:42"/>
    <d v="1899-12-30T00:01:59"/>
    <n v="0.66900000000000004"/>
    <n v="9.7260000000000003E-3"/>
    <n v="6.6900000000000006E-3"/>
    <n v="4"/>
    <n v="2.7397260273972601E-2"/>
    <n v="0.9726027397260274"/>
  </r>
  <r>
    <n v="41"/>
    <n v="31"/>
    <n v="0.75609999999999999"/>
    <n v="10"/>
    <d v="1899-12-30T00:00:39"/>
    <d v="1899-12-30T00:03:43"/>
    <d v="1899-12-30T00:03:40"/>
    <n v="0.48780000000000001"/>
    <n v="7.561E-3"/>
    <n v="4.8780000000000004E-3"/>
    <n v="10"/>
    <n v="0.24390243902439024"/>
    <n v="0.75609756097560976"/>
  </r>
  <r>
    <n v="185"/>
    <n v="85"/>
    <n v="0.45950000000000002"/>
    <n v="100"/>
    <d v="1899-12-30T00:01:49"/>
    <d v="1899-12-30T00:02:46"/>
    <d v="1899-12-30T00:11:01"/>
    <n v="3.7999999999999999E-2"/>
    <n v="4.5950000000000001E-3"/>
    <n v="3.7999999999999997E-4"/>
    <n v="100"/>
    <n v="0.54054054054054057"/>
    <n v="0.45945945945945948"/>
  </r>
  <r>
    <n v="149"/>
    <n v="83"/>
    <n v="0.55700000000000005"/>
    <n v="66"/>
    <d v="1899-12-30T00:01:38"/>
    <d v="1899-12-30T00:02:18"/>
    <d v="1899-12-30T00:10:06"/>
    <n v="4.8300000000000003E-2"/>
    <n v="5.5700000000000003E-3"/>
    <n v="4.8300000000000003E-4"/>
    <n v="66"/>
    <n v="0.44295302013422821"/>
    <n v="0.55704697986577179"/>
  </r>
  <r>
    <n v="180"/>
    <n v="115"/>
    <n v="0.63890000000000002"/>
    <n v="65"/>
    <d v="1899-12-30T00:01:04"/>
    <d v="1899-12-30T00:02:33"/>
    <d v="1899-12-30T00:12:50"/>
    <n v="0.23860000000000001"/>
    <n v="6.3890000000000006E-3"/>
    <n v="2.3860000000000001E-3"/>
    <n v="65"/>
    <n v="0.3611111111111111"/>
    <n v="0.63888888888888884"/>
  </r>
  <r>
    <n v="173"/>
    <n v="144"/>
    <n v="0.83240000000000003"/>
    <n v="29"/>
    <d v="1899-12-30T00:00:38"/>
    <d v="1899-12-30T00:03:00"/>
    <d v="1899-12-30T00:05:32"/>
    <n v="0.4647"/>
    <n v="8.3239999999999998E-3"/>
    <n v="4.6470000000000001E-3"/>
    <n v="29"/>
    <n v="0.16763005780346821"/>
    <n v="0.83236994219653182"/>
  </r>
  <r>
    <n v="176"/>
    <n v="158"/>
    <n v="0.89770000000000005"/>
    <n v="18"/>
    <d v="1899-12-30T00:00:20"/>
    <d v="1899-12-30T00:02:33"/>
    <d v="1899-12-30T00:05:15"/>
    <n v="0.70350000000000001"/>
    <n v="8.9770000000000006E-3"/>
    <n v="7.0350000000000005E-3"/>
    <n v="18"/>
    <n v="0.10227272727272728"/>
    <n v="0.89772727272727271"/>
  </r>
  <r>
    <n v="147"/>
    <n v="120"/>
    <n v="0.81630000000000003"/>
    <n v="27"/>
    <d v="1899-12-30T00:00:46"/>
    <d v="1899-12-30T00:02:39"/>
    <d v="1899-12-30T00:04:16"/>
    <n v="0.39729999999999999"/>
    <n v="8.1630000000000001E-3"/>
    <n v="3.973E-3"/>
    <n v="27"/>
    <n v="0.18367346938775511"/>
    <n v="0.81632653061224492"/>
  </r>
  <r>
    <n v="84"/>
    <n v="77"/>
    <n v="0.91669999999999996"/>
    <n v="7"/>
    <d v="1899-12-30T00:00:17"/>
    <d v="1899-12-30T00:02:07"/>
    <d v="1899-12-30T00:04:30"/>
    <n v="0.7349"/>
    <n v="9.1669999999999998E-3"/>
    <n v="7.3489999999999996E-3"/>
    <n v="7"/>
    <n v="8.3333333333333329E-2"/>
    <n v="0.91666666666666663"/>
  </r>
  <r>
    <n v="325"/>
    <n v="78"/>
    <n v="0.24"/>
    <n v="247"/>
    <d v="1899-12-30T00:03:13"/>
    <d v="1899-12-30T00:03:01"/>
    <d v="1899-12-30T00:17:27"/>
    <n v="0"/>
    <n v="2.3999999999999998E-3"/>
    <n v="0"/>
    <n v="247"/>
    <n v="0.76"/>
    <n v="0.24"/>
  </r>
  <r>
    <n v="441"/>
    <n v="103"/>
    <n v="0.2336"/>
    <n v="338"/>
    <d v="1899-12-30T00:04:04"/>
    <d v="1899-12-30T00:02:43"/>
    <d v="1899-12-30T00:15:38"/>
    <n v="2.3E-3"/>
    <n v="2.336E-3"/>
    <n v="2.3E-5"/>
    <n v="338"/>
    <n v="0.76643990929705219"/>
    <n v="0.23356009070294784"/>
  </r>
  <r>
    <n v="525"/>
    <n v="116"/>
    <n v="0.221"/>
    <n v="409"/>
    <d v="1899-12-30T00:05:08"/>
    <d v="1899-12-30T00:03:08"/>
    <d v="1899-12-30T00:22:56"/>
    <n v="0"/>
    <n v="2.2100000000000002E-3"/>
    <n v="0"/>
    <n v="409"/>
    <n v="0.7790476190476191"/>
    <n v="0.22095238095238096"/>
  </r>
  <r>
    <n v="610"/>
    <n v="201"/>
    <n v="0.32950000000000002"/>
    <n v="409"/>
    <d v="1899-12-30T00:03:13"/>
    <d v="1899-12-30T00:02:52"/>
    <d v="1899-12-30T00:19:15"/>
    <n v="3.5200000000000002E-2"/>
    <n v="3.2950000000000002E-3"/>
    <n v="3.5200000000000005E-4"/>
    <n v="409"/>
    <n v="0.67049180327868851"/>
    <n v="0.32950819672131149"/>
  </r>
  <r>
    <n v="427"/>
    <n v="282"/>
    <n v="0.66039999999999999"/>
    <n v="145"/>
    <d v="1899-12-30T00:01:02"/>
    <d v="1899-12-30T00:02:49"/>
    <d v="1899-12-30T00:14:42"/>
    <n v="0.24879999999999999"/>
    <n v="6.6039999999999996E-3"/>
    <n v="2.4879999999999998E-3"/>
    <n v="145"/>
    <n v="0.33957845433255268"/>
    <n v="0.66042154566744726"/>
  </r>
  <r>
    <n v="378"/>
    <n v="331"/>
    <n v="0.87570000000000003"/>
    <n v="47"/>
    <d v="1899-12-30T00:00:43"/>
    <d v="1899-12-30T00:02:37"/>
    <d v="1899-12-30T00:05:30"/>
    <n v="0.40329999999999999"/>
    <n v="8.7570000000000009E-3"/>
    <n v="4.0330000000000001E-3"/>
    <n v="47"/>
    <n v="0.12433862433862433"/>
    <n v="0.8756613756613757"/>
  </r>
  <r>
    <n v="80"/>
    <n v="67"/>
    <n v="0.83750000000000002"/>
    <n v="13"/>
    <d v="1899-12-30T00:00:38"/>
    <d v="1899-12-30T00:03:12"/>
    <d v="1899-12-30T00:05:30"/>
    <n v="0.46250000000000002"/>
    <n v="8.3750000000000005E-3"/>
    <n v="4.6250000000000006E-3"/>
    <n v="13"/>
    <n v="0.16250000000000001"/>
    <n v="0.83750000000000002"/>
  </r>
  <r>
    <n v="356"/>
    <n v="320"/>
    <n v="0.89890000000000003"/>
    <n v="36"/>
    <d v="1899-12-30T00:00:34"/>
    <d v="1899-12-30T00:02:52"/>
    <d v="1899-12-30T00:05:30"/>
    <n v="0.52559999999999996"/>
    <n v="8.9890000000000005E-3"/>
    <n v="5.2559999999999994E-3"/>
    <n v="36"/>
    <n v="0.10112359550561797"/>
    <n v="0.898876404494382"/>
  </r>
  <r>
    <n v="409"/>
    <n v="355"/>
    <n v="0.86799999999999999"/>
    <n v="54"/>
    <d v="1899-12-30T00:00:44"/>
    <d v="1899-12-30T00:02:55"/>
    <d v="1899-12-30T00:04:21"/>
    <n v="0.39700000000000002"/>
    <n v="8.6800000000000002E-3"/>
    <n v="3.9700000000000004E-3"/>
    <n v="54"/>
    <n v="0.13202933985330073"/>
    <n v="0.86797066014669921"/>
  </r>
  <r>
    <n v="352"/>
    <n v="302"/>
    <n v="0.85799999999999998"/>
    <n v="50"/>
    <d v="1899-12-30T00:00:41"/>
    <d v="1899-12-30T00:03:03"/>
    <d v="1899-12-30T00:05:49"/>
    <n v="0.47399999999999998"/>
    <n v="8.5799999999999991E-3"/>
    <n v="4.7399999999999994E-3"/>
    <n v="50"/>
    <n v="0.14204545454545456"/>
    <n v="0.85795454545454541"/>
  </r>
  <r>
    <n v="282"/>
    <n v="239"/>
    <n v="0.84750000000000003"/>
    <n v="43"/>
    <d v="1899-12-30T00:00:39"/>
    <d v="1899-12-30T00:03:06"/>
    <d v="1899-12-30T00:08:26"/>
    <n v="0.51070000000000004"/>
    <n v="8.4749999999999999E-3"/>
    <n v="5.1070000000000004E-3"/>
    <n v="43"/>
    <n v="0.1524822695035461"/>
    <n v="0.84751773049645385"/>
  </r>
  <r>
    <n v="429"/>
    <n v="390"/>
    <n v="0.90910000000000002"/>
    <n v="39"/>
    <d v="1899-12-30T00:00:38"/>
    <d v="1899-12-30T00:02:41"/>
    <d v="1899-12-30T00:03:40"/>
    <n v="0.4466"/>
    <n v="9.0910000000000001E-3"/>
    <n v="4.4660000000000004E-3"/>
    <n v="39"/>
    <n v="9.0909090909090912E-2"/>
    <n v="0.90909090909090906"/>
  </r>
  <r>
    <n v="310"/>
    <n v="285"/>
    <n v="0.9194"/>
    <n v="25"/>
    <d v="1899-12-30T00:00:33"/>
    <d v="1899-12-30T00:02:45"/>
    <d v="1899-12-30T00:04:12"/>
    <n v="0.56110000000000004"/>
    <n v="9.1940000000000008E-3"/>
    <n v="5.6110000000000005E-3"/>
    <n v="25"/>
    <n v="8.0645161290322578E-2"/>
    <n v="0.91935483870967738"/>
  </r>
  <r>
    <n v="102"/>
    <n v="94"/>
    <n v="0.92159999999999997"/>
    <n v="8"/>
    <d v="1899-12-30T00:00:29"/>
    <d v="1899-12-30T00:02:40"/>
    <d v="1899-12-30T00:02:48"/>
    <n v="0.63729999999999998"/>
    <n v="9.2160000000000002E-3"/>
    <n v="6.3730000000000002E-3"/>
    <n v="8"/>
    <n v="7.8431372549019607E-2"/>
    <n v="0.92156862745098034"/>
  </r>
  <r>
    <n v="335"/>
    <n v="297"/>
    <n v="0.88660000000000005"/>
    <n v="38"/>
    <d v="1899-12-30T00:00:39"/>
    <d v="1899-12-30T00:02:33"/>
    <d v="1899-12-30T00:03:42"/>
    <n v="0.43640000000000001"/>
    <n v="8.8660000000000006E-3"/>
    <n v="4.3639999999999998E-3"/>
    <n v="38"/>
    <n v="0.11343283582089553"/>
    <n v="0.88656716417910453"/>
  </r>
  <r>
    <n v="313"/>
    <n v="291"/>
    <n v="0.92969999999999997"/>
    <n v="22"/>
    <d v="1899-12-30T00:00:26"/>
    <d v="1899-12-30T00:02:25"/>
    <d v="1899-12-30T00:03:42"/>
    <n v="0.64290000000000003"/>
    <n v="9.2969999999999997E-3"/>
    <n v="6.4290000000000007E-3"/>
    <n v="22"/>
    <n v="7.0287539936102233E-2"/>
    <n v="0.92971246006389774"/>
  </r>
  <r>
    <n v="251"/>
    <n v="240"/>
    <n v="0.95620000000000005"/>
    <n v="11"/>
    <d v="1899-12-30T00:00:24"/>
    <d v="1899-12-30T00:02:42"/>
    <d v="1899-12-30T00:02:45"/>
    <n v="0.67200000000000004"/>
    <n v="9.5620000000000011E-3"/>
    <n v="6.7200000000000003E-3"/>
    <n v="11"/>
    <n v="4.3824701195219126E-2"/>
    <n v="0.95617529880478092"/>
  </r>
  <r>
    <n v="190"/>
    <n v="176"/>
    <n v="0.92630000000000001"/>
    <n v="14"/>
    <d v="1899-12-30T00:00:24"/>
    <d v="1899-12-30T00:02:31"/>
    <d v="1899-12-30T00:03:53"/>
    <n v="0.67720000000000002"/>
    <n v="9.2630000000000004E-3"/>
    <n v="6.7720000000000002E-3"/>
    <n v="14"/>
    <n v="7.3684210526315783E-2"/>
    <n v="0.9263157894736842"/>
  </r>
  <r>
    <n v="188"/>
    <n v="170"/>
    <n v="0.90429999999999999"/>
    <n v="18"/>
    <d v="1899-12-30T00:00:34"/>
    <d v="1899-12-30T00:02:49"/>
    <d v="1899-12-30T00:06:25"/>
    <n v="0.5323"/>
    <n v="9.0430000000000007E-3"/>
    <n v="5.3229999999999996E-3"/>
    <n v="18"/>
    <n v="9.5744680851063829E-2"/>
    <n v="0.9042553191489362"/>
  </r>
  <r>
    <n v="166"/>
    <n v="160"/>
    <n v="0.96389999999999998"/>
    <n v="6"/>
    <d v="1899-12-30T00:00:15"/>
    <d v="1899-12-30T00:02:40"/>
    <d v="1899-12-30T00:02:45"/>
    <n v="0.81820000000000004"/>
    <n v="9.639E-3"/>
    <n v="8.182E-3"/>
    <n v="6"/>
    <n v="3.614457831325301E-2"/>
    <n v="0.96385542168674698"/>
  </r>
  <r>
    <n v="73"/>
    <n v="68"/>
    <n v="0.93149999999999999"/>
    <n v="5"/>
    <d v="1899-12-30T00:00:15"/>
    <d v="1899-12-30T00:02:13"/>
    <d v="1899-12-30T00:02:28"/>
    <n v="0.78869999999999996"/>
    <n v="9.3150000000000004E-3"/>
    <n v="7.8869999999999999E-3"/>
    <n v="5"/>
    <n v="6.8493150684931503E-2"/>
    <n v="0.93150684931506844"/>
  </r>
  <r>
    <n v="170"/>
    <n v="159"/>
    <n v="0.93530000000000002"/>
    <n v="11"/>
    <d v="1899-12-30T00:00:20"/>
    <d v="1899-12-30T00:02:40"/>
    <d v="1899-12-30T00:04:51"/>
    <n v="0.73209999999999997"/>
    <n v="9.3530000000000002E-3"/>
    <n v="7.3209999999999994E-3"/>
    <n v="11"/>
    <n v="6.4705882352941183E-2"/>
    <n v="0.93529411764705883"/>
  </r>
  <r>
    <n v="188"/>
    <n v="181"/>
    <n v="0.96279999999999999"/>
    <n v="7"/>
    <d v="1899-12-30T00:00:23"/>
    <d v="1899-12-30T00:02:39"/>
    <d v="1899-12-30T00:03:01"/>
    <n v="0.68279999999999996"/>
    <n v="9.6279999999999994E-3"/>
    <n v="6.8279999999999999E-3"/>
    <n v="7"/>
    <n v="3.7234042553191488E-2"/>
    <n v="0.96276595744680848"/>
  </r>
  <r>
    <n v="306"/>
    <n v="262"/>
    <n v="0.85619999999999996"/>
    <n v="44"/>
    <d v="1899-12-30T00:00:44"/>
    <d v="1899-12-30T00:02:48"/>
    <d v="1899-12-30T00:07:37"/>
    <n v="0.46329999999999999"/>
    <n v="8.5620000000000002E-3"/>
    <n v="4.633E-3"/>
    <n v="44"/>
    <n v="0.1437908496732026"/>
    <n v="0.85620915032679734"/>
  </r>
  <r>
    <n v="201"/>
    <n v="185"/>
    <n v="0.9204"/>
    <n v="16"/>
    <d v="1899-12-30T00:00:23"/>
    <d v="1899-12-30T00:02:38"/>
    <d v="1899-12-30T00:02:46"/>
    <n v="0.6734"/>
    <n v="9.2040000000000004E-3"/>
    <n v="6.7340000000000004E-3"/>
    <n v="16"/>
    <n v="7.9601990049751242E-2"/>
    <n v="0.92039800995024879"/>
  </r>
  <r>
    <n v="188"/>
    <n v="184"/>
    <n v="0.97870000000000001"/>
    <n v="4"/>
    <d v="1899-12-30T00:00:17"/>
    <d v="1899-12-30T00:02:36"/>
    <d v="1899-12-30T00:02:22"/>
    <n v="0.79259999999999997"/>
    <n v="9.7870000000000006E-3"/>
    <n v="7.925999999999999E-3"/>
    <n v="4"/>
    <n v="2.1276595744680851E-2"/>
    <n v="0.97872340425531912"/>
  </r>
  <r>
    <n v="148"/>
    <n v="131"/>
    <n v="0.8851"/>
    <n v="17"/>
    <d v="1899-12-30T00:00:31"/>
    <d v="1899-12-30T00:02:51"/>
    <d v="1899-12-30T00:03:36"/>
    <n v="0.53059999999999996"/>
    <n v="8.8509999999999995E-3"/>
    <n v="5.306E-3"/>
    <n v="17"/>
    <n v="0.11486486486486487"/>
    <n v="0.88513513513513509"/>
  </r>
  <r>
    <n v="21"/>
    <n v="17"/>
    <n v="0.8095"/>
    <n v="4"/>
    <d v="1899-12-30T00:00:52"/>
    <d v="1899-12-30T00:03:29"/>
    <d v="1899-12-30T00:11:00"/>
    <n v="0.52380000000000004"/>
    <n v="8.0949999999999998E-3"/>
    <n v="5.2380000000000005E-3"/>
    <n v="4"/>
    <n v="0.19047619047619047"/>
    <n v="0.80952380952380953"/>
  </r>
  <r>
    <n v="148"/>
    <n v="129"/>
    <n v="0.87160000000000004"/>
    <n v="19"/>
    <d v="1899-12-30T00:00:40"/>
    <d v="1899-12-30T00:03:01"/>
    <d v="1899-12-30T00:06:56"/>
    <n v="0.45519999999999999"/>
    <n v="8.7159999999999998E-3"/>
    <n v="4.5519999999999996E-3"/>
    <n v="19"/>
    <n v="0.12837837837837837"/>
    <n v="0.8716216216216216"/>
  </r>
  <r>
    <n v="167"/>
    <n v="154"/>
    <n v="0.92220000000000002"/>
    <n v="13"/>
    <d v="1899-12-30T00:00:17"/>
    <d v="1899-12-30T00:02:43"/>
    <d v="1899-12-30T00:02:49"/>
    <n v="0.7349"/>
    <n v="9.222000000000001E-3"/>
    <n v="7.3489999999999996E-3"/>
    <n v="13"/>
    <n v="7.7844311377245512E-2"/>
    <n v="0.92215568862275454"/>
  </r>
  <r>
    <n v="169"/>
    <n v="158"/>
    <n v="0.93489999999999995"/>
    <n v="11"/>
    <d v="1899-12-30T00:00:16"/>
    <d v="1899-12-30T00:02:36"/>
    <d v="1899-12-30T00:01:44"/>
    <n v="0.75"/>
    <n v="9.3489999999999997E-3"/>
    <n v="7.4999999999999997E-3"/>
    <n v="11"/>
    <n v="6.5088757396449703E-2"/>
    <n v="0.9349112426035503"/>
  </r>
  <r>
    <n v="175"/>
    <n v="163"/>
    <n v="0.93140000000000001"/>
    <n v="12"/>
    <d v="1899-12-30T00:00:22"/>
    <d v="1899-12-30T00:02:37"/>
    <d v="1899-12-30T00:02:18"/>
    <n v="0.71099999999999997"/>
    <n v="9.3139999999999994E-3"/>
    <n v="7.11E-3"/>
    <n v="12"/>
    <n v="6.8571428571428575E-2"/>
    <n v="0.93142857142857138"/>
  </r>
  <r>
    <n v="193"/>
    <n v="183"/>
    <n v="0.94820000000000004"/>
    <n v="10"/>
    <d v="1899-12-30T00:00:16"/>
    <d v="1899-12-30T00:02:49"/>
    <d v="1899-12-30T00:02:48"/>
    <n v="0.80210000000000004"/>
    <n v="9.4820000000000008E-3"/>
    <n v="8.0210000000000004E-3"/>
    <n v="10"/>
    <n v="5.181347150259067E-2"/>
    <n v="0.94818652849740936"/>
  </r>
  <r>
    <n v="154"/>
    <n v="144"/>
    <n v="0.93510000000000004"/>
    <n v="10"/>
    <d v="1899-12-30T00:00:20"/>
    <d v="1899-12-30T00:02:41"/>
    <d v="1899-12-30T00:02:54"/>
    <n v="0.73509999999999998"/>
    <n v="9.3509999999999999E-3"/>
    <n v="7.3509999999999999E-3"/>
    <n v="10"/>
    <n v="6.4935064935064929E-2"/>
    <n v="0.93506493506493504"/>
  </r>
  <r>
    <n v="35"/>
    <n v="34"/>
    <n v="0.97140000000000004"/>
    <n v="1"/>
    <d v="1899-12-30T00:00:14"/>
    <d v="1899-12-30T00:03:06"/>
    <d v="1899-12-30T00:00:58"/>
    <n v="0.77139999999999997"/>
    <n v="9.7140000000000004E-3"/>
    <n v="7.7139999999999995E-3"/>
    <n v="1"/>
    <n v="2.8571428571428571E-2"/>
    <n v="0.97142857142857142"/>
  </r>
  <r>
    <n v="172"/>
    <n v="161"/>
    <n v="0.93600000000000005"/>
    <n v="11"/>
    <d v="1899-12-30T00:00:20"/>
    <d v="1899-12-30T00:02:48"/>
    <d v="1899-12-30T00:02:32"/>
    <n v="0.72089999999999999"/>
    <n v="9.3600000000000003E-3"/>
    <n v="7.2090000000000001E-3"/>
    <n v="11"/>
    <n v="6.3953488372093026E-2"/>
    <n v="0.93604651162790697"/>
  </r>
  <r>
    <n v="195"/>
    <n v="182"/>
    <n v="0.93330000000000002"/>
    <n v="13"/>
    <d v="1899-12-30T00:00:24"/>
    <d v="1899-12-30T00:02:51"/>
    <d v="1899-12-30T00:03:10"/>
    <n v="0.66839999999999999"/>
    <n v="9.333000000000001E-3"/>
    <n v="6.6839999999999998E-3"/>
    <n v="13"/>
    <n v="6.6666666666666666E-2"/>
    <n v="0.93333333333333335"/>
  </r>
  <r>
    <n v="163"/>
    <n v="157"/>
    <n v="0.96319999999999995"/>
    <n v="6"/>
    <d v="1899-12-30T00:00:17"/>
    <d v="1899-12-30T00:02:46"/>
    <d v="1899-12-30T00:05:33"/>
    <n v="0.82210000000000005"/>
    <n v="9.6319999999999999E-3"/>
    <n v="8.2210000000000009E-3"/>
    <n v="6"/>
    <n v="3.6809815950920248E-2"/>
    <n v="0.96319018404907975"/>
  </r>
  <r>
    <n v="134"/>
    <n v="126"/>
    <n v="0.94030000000000002"/>
    <n v="8"/>
    <d v="1899-12-30T00:00:30"/>
    <d v="1899-12-30T00:02:58"/>
    <d v="1899-12-30T00:04:59"/>
    <n v="0.63570000000000004"/>
    <n v="9.4029999999999999E-3"/>
    <n v="6.3570000000000007E-3"/>
    <n v="8"/>
    <n v="5.9701492537313432E-2"/>
    <n v="0.94029850746268662"/>
  </r>
  <r>
    <n v="158"/>
    <n v="142"/>
    <n v="0.89870000000000005"/>
    <n v="16"/>
    <d v="1899-12-30T00:00:25"/>
    <d v="1899-12-30T00:02:45"/>
    <d v="1899-12-30T00:02:56"/>
    <n v="0.59350000000000003"/>
    <n v="8.9870000000000002E-3"/>
    <n v="5.9350000000000002E-3"/>
    <n v="16"/>
    <n v="0.10126582278481013"/>
    <n v="0.89873417721518989"/>
  </r>
  <r>
    <n v="161"/>
    <n v="144"/>
    <n v="0.89439999999999997"/>
    <n v="17"/>
    <d v="1899-12-30T00:00:34"/>
    <d v="1899-12-30T00:02:49"/>
    <d v="1899-12-30T00:05:00"/>
    <n v="0.53129999999999999"/>
    <n v="8.9440000000000006E-3"/>
    <n v="5.313E-3"/>
    <n v="17"/>
    <n v="0.10559006211180125"/>
    <n v="0.89440993788819878"/>
  </r>
  <r>
    <n v="36"/>
    <n v="34"/>
    <n v="0.94440000000000002"/>
    <n v="2"/>
    <d v="1899-12-30T00:00:20"/>
    <d v="1899-12-30T00:02:05"/>
    <d v="1899-12-30T00:01:57"/>
    <n v="0.72219999999999995"/>
    <n v="9.444000000000001E-3"/>
    <n v="7.2219999999999993E-3"/>
    <n v="2"/>
    <n v="5.5555555555555552E-2"/>
    <n v="0.94444444444444442"/>
  </r>
  <r>
    <n v="147"/>
    <n v="136"/>
    <n v="0.92520000000000002"/>
    <n v="11"/>
    <d v="1899-12-30T00:00:17"/>
    <d v="1899-12-30T00:02:55"/>
    <d v="1899-12-30T00:03:15"/>
    <n v="0.7671"/>
    <n v="9.2519999999999998E-3"/>
    <n v="7.6709999999999999E-3"/>
    <n v="11"/>
    <n v="7.4829931972789115E-2"/>
    <n v="0.92517006802721091"/>
  </r>
  <r>
    <n v="131"/>
    <n v="130"/>
    <n v="0.99239999999999995"/>
    <n v="1"/>
    <d v="1899-12-30T00:00:18"/>
    <d v="1899-12-30T00:02:47"/>
    <d v="1899-12-30T00:03:18"/>
    <n v="0.76919999999999999"/>
    <n v="9.9239999999999988E-3"/>
    <n v="7.6920000000000001E-3"/>
    <n v="1"/>
    <n v="7.6335877862595417E-3"/>
    <n v="0.99236641221374045"/>
  </r>
  <r>
    <n v="128"/>
    <n v="120"/>
    <n v="0.9375"/>
    <n v="8"/>
    <d v="1899-12-30T00:00:22"/>
    <d v="1899-12-30T00:02:47"/>
    <d v="1899-12-30T00:01:54"/>
    <n v="0.6825"/>
    <n v="9.3749999999999997E-3"/>
    <n v="6.8250000000000003E-3"/>
    <n v="8"/>
    <n v="6.25E-2"/>
    <n v="0.9375"/>
  </r>
  <r>
    <n v="136"/>
    <n v="119"/>
    <n v="0.875"/>
    <n v="17"/>
    <d v="1899-12-30T00:00:26"/>
    <d v="1899-12-30T00:02:52"/>
    <d v="1899-12-30T00:04:35"/>
    <n v="0.60150000000000003"/>
    <n v="8.7500000000000008E-3"/>
    <n v="6.0150000000000004E-3"/>
    <n v="17"/>
    <n v="0.125"/>
    <n v="0.875"/>
  </r>
  <r>
    <n v="225"/>
    <n v="209"/>
    <n v="0.92889999999999995"/>
    <n v="16"/>
    <d v="1899-12-30T00:00:19"/>
    <d v="1899-12-30T00:02:29"/>
    <d v="1899-12-30T00:04:06"/>
    <n v="0.76019999999999999"/>
    <n v="9.2889999999999986E-3"/>
    <n v="7.6020000000000003E-3"/>
    <n v="16"/>
    <n v="7.1111111111111111E-2"/>
    <n v="0.92888888888888888"/>
  </r>
  <r>
    <n v="167"/>
    <n v="151"/>
    <n v="0.9042"/>
    <n v="16"/>
    <d v="1899-12-30T00:00:19"/>
    <d v="1899-12-30T00:02:27"/>
    <d v="1899-12-30T00:02:44"/>
    <n v="0.73329999999999995"/>
    <n v="9.0419999999999997E-3"/>
    <n v="7.3329999999999992E-3"/>
    <n v="16"/>
    <n v="9.580838323353294E-2"/>
    <n v="0.90419161676646709"/>
  </r>
  <r>
    <n v="48"/>
    <n v="46"/>
    <n v="0.95830000000000004"/>
    <n v="2"/>
    <d v="1899-12-30T00:00:16"/>
    <d v="1899-12-30T00:02:26"/>
    <d v="1899-12-30T00:02:38"/>
    <n v="0.78720000000000001"/>
    <n v="9.5830000000000012E-3"/>
    <n v="7.8720000000000005E-3"/>
    <n v="2"/>
    <n v="4.1666666666666664E-2"/>
    <n v="0.95833333333333337"/>
  </r>
  <r>
    <n v="232"/>
    <n v="204"/>
    <n v="0.87929999999999997"/>
    <n v="28"/>
    <d v="1899-12-30T00:00:32"/>
    <d v="1899-12-30T00:02:22"/>
    <d v="1899-12-30T00:03:56"/>
    <n v="0.55410000000000004"/>
    <n v="8.7930000000000005E-3"/>
    <n v="5.5410000000000008E-3"/>
    <n v="28"/>
    <n v="0.1206896551724138"/>
    <n v="0.87931034482758619"/>
  </r>
  <r>
    <n v="198"/>
    <n v="187"/>
    <n v="0.94440000000000002"/>
    <n v="11"/>
    <d v="1899-12-30T00:00:27"/>
    <d v="1899-12-30T00:02:48"/>
    <d v="1899-12-30T00:03:13"/>
    <n v="0.60199999999999998"/>
    <n v="9.444000000000001E-3"/>
    <n v="6.0200000000000002E-3"/>
    <n v="11"/>
    <n v="5.5555555555555552E-2"/>
    <n v="0.94444444444444442"/>
  </r>
  <r>
    <n v="171"/>
    <n v="163"/>
    <n v="0.95320000000000005"/>
    <n v="8"/>
    <d v="1899-12-30T00:00:19"/>
    <d v="1899-12-30T00:02:41"/>
    <d v="1899-12-30T00:02:48"/>
    <n v="0.69410000000000005"/>
    <n v="9.5320000000000005E-3"/>
    <n v="6.9410000000000001E-3"/>
    <n v="8"/>
    <n v="4.6783625730994149E-2"/>
    <n v="0.95321637426900585"/>
  </r>
  <r>
    <n v="180"/>
    <n v="173"/>
    <n v="0.96109999999999995"/>
    <n v="7"/>
    <d v="1899-12-30T00:00:31"/>
    <d v="1899-12-30T00:02:49"/>
    <d v="1899-12-30T00:08:13"/>
    <n v="0.72219999999999995"/>
    <n v="9.6109999999999998E-3"/>
    <n v="7.2219999999999993E-3"/>
    <n v="7"/>
    <n v="3.888888888888889E-2"/>
    <n v="0.96111111111111114"/>
  </r>
  <r>
    <n v="192"/>
    <n v="175"/>
    <n v="0.91149999999999998"/>
    <n v="17"/>
    <d v="1899-12-30T00:00:26"/>
    <d v="1899-12-30T00:03:01"/>
    <d v="1899-12-30T00:03:40"/>
    <n v="0.61580000000000001"/>
    <n v="9.1149999999999998E-3"/>
    <n v="6.1580000000000003E-3"/>
    <n v="17"/>
    <n v="8.8541666666666671E-2"/>
    <n v="0.91145833333333337"/>
  </r>
  <r>
    <n v="194"/>
    <n v="180"/>
    <n v="0.92779999999999996"/>
    <n v="14"/>
    <d v="1899-12-30T00:00:25"/>
    <d v="1899-12-30T00:02:50"/>
    <d v="1899-12-30T00:04:03"/>
    <n v="0.68389999999999995"/>
    <n v="9.2779999999999998E-3"/>
    <n v="6.8389999999999996E-3"/>
    <n v="14"/>
    <n v="7.2164948453608241E-2"/>
    <n v="0.92783505154639179"/>
  </r>
  <r>
    <n v="37"/>
    <n v="27"/>
    <n v="0.72970000000000002"/>
    <n v="10"/>
    <d v="1899-12-30T00:00:35"/>
    <d v="1899-12-30T00:02:53"/>
    <d v="1899-12-30T00:02:58"/>
    <n v="0.5"/>
    <n v="7.2970000000000005E-3"/>
    <n v="5.0000000000000001E-3"/>
    <n v="10"/>
    <n v="0.27027027027027029"/>
    <n v="0.72972972972972971"/>
  </r>
  <r>
    <n v="180"/>
    <n v="169"/>
    <n v="0.93889999999999996"/>
    <n v="11"/>
    <d v="1899-12-30T00:00:23"/>
    <d v="1899-12-30T00:02:44"/>
    <d v="1899-12-30T00:02:05"/>
    <n v="0.67979999999999996"/>
    <n v="9.3889999999999998E-3"/>
    <n v="6.7979999999999994E-3"/>
    <n v="11"/>
    <n v="6.1111111111111109E-2"/>
    <n v="0.93888888888888888"/>
  </r>
  <r>
    <n v="213"/>
    <n v="198"/>
    <n v="0.92959999999999998"/>
    <n v="15"/>
    <d v="1899-12-30T00:00:16"/>
    <d v="1899-12-30T00:02:47"/>
    <d v="1899-12-30T00:06:21"/>
    <n v="0.77249999999999996"/>
    <n v="9.2960000000000004E-3"/>
    <n v="7.7249999999999992E-3"/>
    <n v="15"/>
    <n v="7.0422535211267609E-2"/>
    <n v="0.92957746478873238"/>
  </r>
  <r>
    <n v="251"/>
    <n v="239"/>
    <n v="0.95220000000000005"/>
    <n v="12"/>
    <d v="1899-12-30T00:00:21"/>
    <d v="1899-12-30T00:02:18"/>
    <d v="1899-12-30T00:02:48"/>
    <n v="0.7177"/>
    <n v="9.5220000000000009E-3"/>
    <n v="7.1770000000000002E-3"/>
    <n v="12"/>
    <n v="4.7808764940239043E-2"/>
    <n v="0.952191235059761"/>
  </r>
  <r>
    <n v="200"/>
    <n v="189"/>
    <n v="0.94499999999999995"/>
    <n v="11"/>
    <d v="1899-12-30T00:00:19"/>
    <d v="1899-12-30T00:02:53"/>
    <d v="1899-12-30T00:04:36"/>
    <n v="0.76259999999999994"/>
    <n v="9.4500000000000001E-3"/>
    <n v="7.6259999999999991E-3"/>
    <n v="11"/>
    <n v="5.5E-2"/>
    <n v="0.94499999999999995"/>
  </r>
  <r>
    <n v="214"/>
    <n v="205"/>
    <n v="0.95789999999999997"/>
    <n v="9"/>
    <d v="1899-12-30T00:00:25"/>
    <d v="1899-12-30T00:02:48"/>
    <d v="1899-12-30T00:07:17"/>
    <n v="0.71960000000000002"/>
    <n v="9.578999999999999E-3"/>
    <n v="7.1960000000000001E-3"/>
    <n v="9"/>
    <n v="4.2056074766355138E-2"/>
    <n v="0.95794392523364491"/>
  </r>
  <r>
    <n v="185"/>
    <n v="154"/>
    <n v="0.83240000000000003"/>
    <n v="31"/>
    <d v="1899-12-30T00:00:47"/>
    <d v="1899-12-30T00:02:56"/>
    <d v="1899-12-30T00:03:16"/>
    <n v="0.35909999999999997"/>
    <n v="8.3239999999999998E-3"/>
    <n v="3.5909999999999996E-3"/>
    <n v="31"/>
    <n v="0.16756756756756758"/>
    <n v="0.83243243243243248"/>
  </r>
  <r>
    <n v="49"/>
    <n v="46"/>
    <n v="0.93879999999999997"/>
    <n v="3"/>
    <d v="1899-12-30T00:00:38"/>
    <d v="1899-12-30T00:02:21"/>
    <d v="1899-12-30T00:02:16"/>
    <n v="0.52080000000000004"/>
    <n v="9.3880000000000005E-3"/>
    <n v="5.2080000000000008E-3"/>
    <n v="3"/>
    <n v="6.1224489795918366E-2"/>
    <n v="0.93877551020408168"/>
  </r>
  <r>
    <n v="193"/>
    <n v="185"/>
    <n v="0.95850000000000002"/>
    <n v="8"/>
    <d v="1899-12-30T00:00:21"/>
    <d v="1899-12-30T00:02:51"/>
    <d v="1899-12-30T00:03:57"/>
    <n v="0.75790000000000002"/>
    <n v="9.5849999999999998E-3"/>
    <n v="7.5789999999999998E-3"/>
    <n v="8"/>
    <n v="4.145077720207254E-2"/>
    <n v="0.95854922279792742"/>
  </r>
  <r>
    <n v="195"/>
    <n v="184"/>
    <n v="0.94359999999999999"/>
    <n v="11"/>
    <d v="1899-12-30T00:00:22"/>
    <d v="1899-12-30T00:02:39"/>
    <d v="1899-12-30T00:02:38"/>
    <n v="0.7"/>
    <n v="9.4359999999999999E-3"/>
    <n v="6.9999999999999993E-3"/>
    <n v="11"/>
    <n v="5.6410256410256411E-2"/>
    <n v="0.94358974358974357"/>
  </r>
  <r>
    <n v="211"/>
    <n v="195"/>
    <n v="0.92420000000000002"/>
    <n v="16"/>
    <d v="1899-12-30T00:00:34"/>
    <d v="1899-12-30T00:02:51"/>
    <d v="1899-12-30T00:04:31"/>
    <n v="0.56940000000000002"/>
    <n v="9.2420000000000002E-3"/>
    <n v="5.6940000000000003E-3"/>
    <n v="16"/>
    <n v="7.582938388625593E-2"/>
    <n v="0.92417061611374407"/>
  </r>
  <r>
    <n v="200"/>
    <n v="190"/>
    <n v="0.95"/>
    <n v="10"/>
    <d v="1899-12-30T00:00:15"/>
    <d v="1899-12-30T00:02:56"/>
    <d v="1899-12-30T00:03:06"/>
    <n v="0.80930000000000002"/>
    <n v="9.4999999999999998E-3"/>
    <n v="8.0929999999999995E-3"/>
    <n v="10"/>
    <n v="0.05"/>
    <n v="0.95"/>
  </r>
  <r>
    <n v="48"/>
    <n v="47"/>
    <n v="0.97919999999999996"/>
    <n v="1"/>
    <d v="1899-12-30T00:00:15"/>
    <d v="1899-12-30T00:03:13"/>
    <d v="1899-12-30T00:02:58"/>
    <n v="0.8125"/>
    <n v="9.7920000000000004E-3"/>
    <n v="8.1250000000000003E-3"/>
    <n v="1"/>
    <n v="2.0833333333333332E-2"/>
    <n v="0.97916666666666663"/>
  </r>
  <r>
    <n v="164"/>
    <n v="159"/>
    <n v="0.96950000000000003"/>
    <n v="5"/>
    <d v="1899-12-30T00:00:20"/>
    <d v="1899-12-30T00:02:51"/>
    <d v="1899-12-30T00:04:47"/>
    <n v="0.77780000000000005"/>
    <n v="9.6950000000000005E-3"/>
    <n v="7.7780000000000002E-3"/>
    <n v="5"/>
    <n v="3.048780487804878E-2"/>
    <n v="0.96951219512195119"/>
  </r>
  <r>
    <n v="43"/>
    <n v="42"/>
    <n v="0.97670000000000001"/>
    <n v="1"/>
    <d v="1899-12-30T00:00:14"/>
    <d v="1899-12-30T00:02:32"/>
    <d v="1899-12-30T00:02:34"/>
    <n v="0.83720000000000006"/>
    <n v="9.7669999999999996E-3"/>
    <n v="8.372000000000001E-3"/>
    <n v="1"/>
    <n v="2.3255813953488372E-2"/>
    <n v="0.97674418604651159"/>
  </r>
  <r>
    <n v="236"/>
    <n v="223"/>
    <n v="0.94489999999999996"/>
    <n v="13"/>
    <d v="1899-12-30T00:00:26"/>
    <d v="1899-12-30T00:02:46"/>
    <d v="1899-12-30T00:03:38"/>
    <n v="0.64829999999999999"/>
    <n v="9.4489999999999991E-3"/>
    <n v="6.483E-3"/>
    <n v="13"/>
    <n v="5.5084745762711863E-2"/>
    <n v="0.94491525423728817"/>
  </r>
  <r>
    <n v="270"/>
    <n v="262"/>
    <n v="0.97040000000000004"/>
    <n v="8"/>
    <d v="1899-12-30T00:00:15"/>
    <d v="1899-12-30T00:02:36"/>
    <d v="1899-12-30T00:02:08"/>
    <n v="0.83209999999999995"/>
    <n v="9.7040000000000008E-3"/>
    <n v="8.3210000000000003E-3"/>
    <n v="8"/>
    <n v="2.9629629629629631E-2"/>
    <n v="0.97037037037037033"/>
  </r>
  <r>
    <n v="304"/>
    <n v="262"/>
    <n v="0.86180000000000001"/>
    <n v="42"/>
    <d v="1899-12-30T00:00:34"/>
    <d v="1899-12-30T00:02:56"/>
    <d v="1899-12-30T00:07:01"/>
    <n v="0.56620000000000004"/>
    <n v="8.6180000000000007E-3"/>
    <n v="5.6620000000000004E-3"/>
    <n v="42"/>
    <n v="0.13815789473684212"/>
    <n v="0.86184210526315785"/>
  </r>
  <r>
    <n v="286"/>
    <n v="270"/>
    <n v="0.94410000000000005"/>
    <n v="16"/>
    <d v="1899-12-30T00:00:20"/>
    <d v="1899-12-30T00:02:48"/>
    <d v="1899-12-30T00:03:06"/>
    <n v="0.71479999999999999"/>
    <n v="9.4409999999999997E-3"/>
    <n v="7.1479999999999998E-3"/>
    <n v="16"/>
    <n v="5.5944055944055944E-2"/>
    <n v="0.94405594405594406"/>
  </r>
  <r>
    <n v="317"/>
    <n v="284"/>
    <n v="0.89590000000000003"/>
    <n v="33"/>
    <d v="1899-12-30T00:00:30"/>
    <d v="1899-12-30T00:02:48"/>
    <d v="1899-12-30T00:08:16"/>
    <n v="0.6603"/>
    <n v="8.9589999999999999E-3"/>
    <n v="6.6030000000000004E-3"/>
    <n v="33"/>
    <n v="0.10410094637223975"/>
    <n v="0.89589905362776023"/>
  </r>
  <r>
    <n v="471"/>
    <n v="396"/>
    <n v="0.84079999999999999"/>
    <n v="75"/>
    <d v="1899-12-30T00:00:59"/>
    <d v="1899-12-30T00:02:41"/>
    <d v="1899-12-30T00:05:29"/>
    <n v="0.308"/>
    <n v="8.4080000000000005E-3"/>
    <n v="3.0799999999999998E-3"/>
    <n v="75"/>
    <n v="0.15923566878980891"/>
    <n v="0.84076433121019112"/>
  </r>
  <r>
    <n v="48"/>
    <n v="44"/>
    <n v="0.91669999999999996"/>
    <n v="4"/>
    <d v="1899-12-30T00:00:29"/>
    <d v="1899-12-30T00:02:31"/>
    <d v="1899-12-30T00:03:07"/>
    <n v="0.65959999999999996"/>
    <n v="9.1669999999999998E-3"/>
    <n v="6.5959999999999994E-3"/>
    <n v="4"/>
    <n v="8.3333333333333329E-2"/>
    <n v="0.91666666666666663"/>
  </r>
  <r>
    <n v="375"/>
    <n v="317"/>
    <n v="0.84530000000000005"/>
    <n v="58"/>
    <d v="1899-12-30T00:00:43"/>
    <d v="1899-12-30T00:02:52"/>
    <d v="1899-12-30T00:05:06"/>
    <n v="0.40870000000000001"/>
    <n v="8.4530000000000004E-3"/>
    <n v="4.0870000000000004E-3"/>
    <n v="58"/>
    <n v="0.15466666666666667"/>
    <n v="0.84533333333333338"/>
  </r>
  <r>
    <n v="327"/>
    <n v="309"/>
    <n v="0.94499999999999995"/>
    <n v="18"/>
    <d v="1899-12-30T00:00:22"/>
    <d v="1899-12-30T00:02:48"/>
    <d v="1899-12-30T00:03:46"/>
    <n v="0.68210000000000004"/>
    <n v="9.4500000000000001E-3"/>
    <n v="6.8210000000000007E-3"/>
    <n v="18"/>
    <n v="5.5045871559633031E-2"/>
    <n v="0.94495412844036697"/>
  </r>
  <r>
    <n v="366"/>
    <n v="316"/>
    <n v="0.86339999999999995"/>
    <n v="50"/>
    <d v="1899-12-30T00:00:37"/>
    <d v="1899-12-30T00:02:44"/>
    <d v="1899-12-30T00:05:11"/>
    <n v="0.53739999999999999"/>
    <n v="8.6339999999999993E-3"/>
    <n v="5.3740000000000003E-3"/>
    <n v="50"/>
    <n v="0.13661202185792351"/>
    <n v="0.86338797814207646"/>
  </r>
  <r>
    <n v="121"/>
    <n v="105"/>
    <n v="0.86780000000000002"/>
    <n v="16"/>
    <d v="1899-12-30T00:00:47"/>
    <d v="1899-12-30T00:03:00"/>
    <d v="1899-12-30T00:08:41"/>
    <n v="0.6"/>
    <n v="8.6779999999999999E-3"/>
    <n v="6.0000000000000001E-3"/>
    <n v="16"/>
    <n v="0.13223140495867769"/>
    <n v="0.86776859504132231"/>
  </r>
  <r>
    <n v="287"/>
    <n v="266"/>
    <n v="0.92679999999999996"/>
    <n v="21"/>
    <d v="1899-12-30T00:00:34"/>
    <d v="1899-12-30T00:03:06"/>
    <d v="1899-12-30T00:04:08"/>
    <n v="0.59719999999999995"/>
    <n v="9.2680000000000002E-3"/>
    <n v="5.9719999999999999E-3"/>
    <n v="21"/>
    <n v="7.3170731707317069E-2"/>
    <n v="0.92682926829268297"/>
  </r>
  <r>
    <n v="298"/>
    <n v="277"/>
    <n v="0.92949999999999999"/>
    <n v="21"/>
    <d v="1899-12-30T00:00:39"/>
    <d v="1899-12-30T00:03:08"/>
    <d v="1899-12-30T00:03:35"/>
    <n v="0.51180000000000003"/>
    <n v="9.2949999999999994E-3"/>
    <n v="5.1180000000000002E-3"/>
    <n v="21"/>
    <n v="7.0469798657718116E-2"/>
    <n v="0.92953020134228193"/>
  </r>
  <r>
    <n v="70"/>
    <n v="56"/>
    <n v="0.8"/>
    <n v="14"/>
    <d v="1899-12-30T00:00:46"/>
    <d v="1899-12-30T00:03:23"/>
    <d v="1899-12-30T00:05:08"/>
    <n v="0.45710000000000001"/>
    <n v="8.0000000000000002E-3"/>
    <n v="4.5710000000000004E-3"/>
    <n v="14"/>
    <n v="0.2"/>
    <n v="0.8"/>
  </r>
  <r>
    <n v="287"/>
    <n v="255"/>
    <n v="0.88849999999999996"/>
    <n v="32"/>
    <d v="1899-12-30T00:00:40"/>
    <d v="1899-12-30T00:03:30"/>
    <d v="1899-12-30T00:04:09"/>
    <n v="0.46810000000000002"/>
    <n v="8.8849999999999988E-3"/>
    <n v="4.6810000000000003E-3"/>
    <n v="32"/>
    <n v="0.11149825783972125"/>
    <n v="0.88850174216027877"/>
  </r>
  <r>
    <n v="298"/>
    <n v="259"/>
    <n v="0.86909999999999998"/>
    <n v="39"/>
    <d v="1899-12-30T00:00:30"/>
    <d v="1899-12-30T00:03:14"/>
    <d v="1899-12-30T00:07:15"/>
    <n v="0.57969999999999999"/>
    <n v="8.6909999999999991E-3"/>
    <n v="5.7970000000000001E-3"/>
    <n v="39"/>
    <n v="0.13087248322147652"/>
    <n v="0.86912751677852351"/>
  </r>
  <r>
    <n v="347"/>
    <n v="317"/>
    <n v="0.91349999999999998"/>
    <n v="30"/>
    <d v="1899-12-30T00:00:30"/>
    <d v="1899-12-30T00:03:11"/>
    <d v="1899-12-30T00:05:52"/>
    <n v="0.59770000000000001"/>
    <n v="9.134999999999999E-3"/>
    <n v="5.9769999999999997E-3"/>
    <n v="30"/>
    <n v="8.645533141210375E-2"/>
    <n v="0.91354466858789629"/>
  </r>
  <r>
    <n v="414"/>
    <n v="356"/>
    <n v="0.8599"/>
    <n v="58"/>
    <d v="1899-12-30T00:00:43"/>
    <d v="1899-12-30T00:03:27"/>
    <d v="1899-12-30T00:15:32"/>
    <n v="0.47149999999999997"/>
    <n v="8.5990000000000007E-3"/>
    <n v="4.7149999999999996E-3"/>
    <n v="58"/>
    <n v="0.14009661835748793"/>
    <n v="0.85990338164251212"/>
  </r>
  <r>
    <n v="406"/>
    <n v="362"/>
    <n v="0.89159999999999995"/>
    <n v="44"/>
    <d v="1899-12-30T00:00:37"/>
    <d v="1899-12-30T00:03:02"/>
    <d v="1899-12-30T00:05:17"/>
    <n v="0.53480000000000005"/>
    <n v="8.9160000000000003E-3"/>
    <n v="5.3480000000000003E-3"/>
    <n v="44"/>
    <n v="0.10837438423645321"/>
    <n v="0.89162561576354682"/>
  </r>
  <r>
    <n v="366"/>
    <n v="322"/>
    <n v="0.87980000000000003"/>
    <n v="44"/>
    <d v="1899-12-30T00:00:35"/>
    <d v="1899-12-30T00:03:03"/>
    <d v="1899-12-30T00:11:12"/>
    <n v="0.5706"/>
    <n v="8.7980000000000003E-3"/>
    <n v="5.7060000000000001E-3"/>
    <n v="44"/>
    <n v="0.12021857923497267"/>
    <n v="0.8797814207650273"/>
  </r>
  <r>
    <n v="68"/>
    <n v="64"/>
    <n v="0.94120000000000004"/>
    <n v="4"/>
    <d v="1899-12-30T00:00:14"/>
    <d v="1899-12-30T00:02:58"/>
    <d v="1899-12-30T00:02:04"/>
    <n v="0.82350000000000001"/>
    <n v="9.4120000000000002E-3"/>
    <n v="8.2349999999999993E-3"/>
    <n v="4"/>
    <n v="5.8823529411764705E-2"/>
    <n v="0.94117647058823528"/>
  </r>
  <r>
    <n v="350"/>
    <n v="320"/>
    <n v="0.9143"/>
    <n v="30"/>
    <d v="1899-12-30T00:00:37"/>
    <d v="1899-12-30T00:03:13"/>
    <d v="1899-12-30T00:05:39"/>
    <n v="0.54179999999999995"/>
    <n v="9.1430000000000001E-3"/>
    <n v="5.4179999999999992E-3"/>
    <n v="30"/>
    <n v="8.5714285714285715E-2"/>
    <n v="0.91428571428571426"/>
  </r>
  <r>
    <n v="437"/>
    <n v="352"/>
    <n v="0.80549999999999999"/>
    <n v="85"/>
    <d v="1899-12-30T00:00:52"/>
    <d v="1899-12-30T00:03:01"/>
    <d v="1899-12-30T00:09:33"/>
    <n v="0.41260000000000002"/>
    <n v="8.0549999999999997E-3"/>
    <n v="4.1260000000000003E-3"/>
    <n v="85"/>
    <n v="0.19450800915331809"/>
    <n v="0.80549199084668188"/>
  </r>
  <r>
    <n v="484"/>
    <n v="438"/>
    <n v="0.90500000000000003"/>
    <n v="46"/>
    <d v="1899-12-30T00:00:45"/>
    <d v="1899-12-30T00:02:57"/>
    <d v="1899-12-30T00:05:47"/>
    <n v="0.44790000000000002"/>
    <n v="9.0500000000000008E-3"/>
    <n v="4.4790000000000003E-3"/>
    <n v="46"/>
    <n v="9.5041322314049589E-2"/>
    <n v="0.9049586776859504"/>
  </r>
  <r>
    <n v="405"/>
    <n v="368"/>
    <n v="0.90859999999999996"/>
    <n v="37"/>
    <d v="1899-12-30T00:00:35"/>
    <d v="1899-12-30T00:03:09"/>
    <d v="1899-12-30T00:05:41"/>
    <n v="0.58099999999999996"/>
    <n v="9.0860000000000003E-3"/>
    <n v="5.8099999999999992E-3"/>
    <n v="37"/>
    <n v="9.1358024691358022E-2"/>
    <n v="0.90864197530864199"/>
  </r>
  <r>
    <n v="570"/>
    <n v="368"/>
    <n v="0.64559999999999995"/>
    <n v="202"/>
    <d v="1899-12-30T00:01:11"/>
    <d v="1899-12-30T00:03:24"/>
    <d v="1899-12-30T00:25:51"/>
    <n v="0.2354"/>
    <n v="6.4559999999999999E-3"/>
    <n v="2.3540000000000002E-3"/>
    <n v="202"/>
    <n v="0.35438596491228069"/>
    <n v="0.64561403508771931"/>
  </r>
  <r>
    <n v="424"/>
    <n v="384"/>
    <n v="0.90569999999999995"/>
    <n v="40"/>
    <d v="1899-12-30T00:00:49"/>
    <d v="1899-12-30T00:03:14"/>
    <d v="1899-12-30T00:08:56"/>
    <n v="0.3952"/>
    <n v="9.0569999999999991E-3"/>
    <n v="3.9519999999999998E-3"/>
    <n v="40"/>
    <n v="9.4339622641509441E-2"/>
    <n v="0.90566037735849059"/>
  </r>
  <r>
    <n v="60"/>
    <n v="57"/>
    <n v="0.95"/>
    <n v="3"/>
    <d v="1899-12-30T00:00:32"/>
    <d v="1899-12-30T00:03:19"/>
    <d v="1899-12-30T00:03:00"/>
    <n v="0.55930000000000002"/>
    <n v="9.4999999999999998E-3"/>
    <n v="5.5929999999999999E-3"/>
    <n v="3"/>
    <n v="0.05"/>
    <n v="0.95"/>
  </r>
  <r>
    <n v="497"/>
    <n v="442"/>
    <n v="0.88929999999999998"/>
    <n v="55"/>
    <d v="1899-12-30T00:00:48"/>
    <d v="1899-12-30T00:01:36"/>
    <d v="1899-12-30T00:10:45"/>
    <n v="0.57579999999999998"/>
    <n v="8.8929999999999999E-3"/>
    <n v="5.7580000000000001E-3"/>
    <n v="55"/>
    <n v="0.11066398390342053"/>
    <n v="0.88933601609657953"/>
  </r>
  <r>
    <n v="429"/>
    <n v="378"/>
    <n v="0.88109999999999999"/>
    <n v="51"/>
    <d v="1899-12-30T00:00:37"/>
    <d v="1899-12-30T00:02:05"/>
    <d v="1899-12-30T00:10:55"/>
    <n v="0.55289999999999995"/>
    <n v="8.8109999999999994E-3"/>
    <n v="5.5289999999999992E-3"/>
    <n v="51"/>
    <n v="0.11888111888111888"/>
    <n v="0.88111888111888115"/>
  </r>
  <r>
    <n v="499"/>
    <n v="388"/>
    <n v="0.77759999999999996"/>
    <n v="111"/>
    <d v="1899-12-30T00:00:54"/>
    <d v="1899-12-30T00:02:15"/>
    <d v="1899-12-30T00:16:59"/>
    <n v="0.47760000000000002"/>
    <n v="7.7759999999999999E-3"/>
    <n v="4.7759999999999999E-3"/>
    <n v="111"/>
    <n v="0.22244488977955912"/>
    <n v="0.77755511022044088"/>
  </r>
  <r>
    <n v="510"/>
    <n v="434"/>
    <n v="0.85099999999999998"/>
    <n v="76"/>
    <d v="1899-12-30T00:00:48"/>
    <d v="1899-12-30T00:03:29"/>
    <d v="1899-12-30T00:10:21"/>
    <n v="0.4219"/>
    <n v="8.5100000000000002E-3"/>
    <n v="4.2189999999999997E-3"/>
    <n v="76"/>
    <n v="0.14901960784313725"/>
    <n v="0.85098039215686272"/>
  </r>
  <r>
    <n v="549"/>
    <n v="458"/>
    <n v="0.83420000000000005"/>
    <n v="91"/>
    <d v="1899-12-30T00:01:13"/>
    <d v="1899-12-30T00:03:35"/>
    <d v="1899-12-30T00:09:12"/>
    <n v="0.29070000000000001"/>
    <n v="8.3420000000000005E-3"/>
    <n v="2.9070000000000003E-3"/>
    <n v="91"/>
    <n v="0.16575591985428051"/>
    <n v="0.83424408014571949"/>
  </r>
  <r>
    <n v="590"/>
    <n v="444"/>
    <n v="0.75249999999999995"/>
    <n v="146"/>
    <d v="1899-12-30T00:01:23"/>
    <d v="1899-12-30T00:03:34"/>
    <d v="1899-12-30T00:08:58"/>
    <n v="0.1903"/>
    <n v="7.5249999999999996E-3"/>
    <n v="1.903E-3"/>
    <n v="146"/>
    <n v="0.24745762711864408"/>
    <n v="0.75254237288135595"/>
  </r>
  <r>
    <n v="137"/>
    <n v="120"/>
    <n v="0.87590000000000001"/>
    <n v="17"/>
    <d v="1899-12-30T00:00:58"/>
    <d v="1899-12-30T00:03:11"/>
    <d v="1899-12-30T00:05:22"/>
    <n v="0.33090000000000003"/>
    <n v="8.7589999999999994E-3"/>
    <n v="3.3090000000000003E-3"/>
    <n v="17"/>
    <n v="0.12408759124087591"/>
    <n v="0.87591240875912413"/>
  </r>
  <r>
    <n v="598"/>
    <n v="476"/>
    <n v="0.79600000000000004"/>
    <n v="122"/>
    <d v="1899-12-30T00:00:58"/>
    <d v="1899-12-30T00:03:39"/>
    <d v="1899-12-30T00:08:45"/>
    <n v="0.32029999999999997"/>
    <n v="7.9600000000000001E-3"/>
    <n v="3.2029999999999997E-3"/>
    <n v="122"/>
    <n v="0.20401337792642141"/>
    <n v="0.79598662207357862"/>
  </r>
  <r>
    <n v="231"/>
    <n v="180"/>
    <n v="0.7792"/>
    <n v="51"/>
    <d v="1899-12-30T00:01:04"/>
    <d v="1899-12-30T00:03:33"/>
    <d v="1899-12-30T00:09:07"/>
    <n v="0.33779999999999999"/>
    <n v="7.7920000000000003E-3"/>
    <n v="3.3779999999999999E-3"/>
    <n v="51"/>
    <n v="0.22077922077922077"/>
    <n v="0.77922077922077926"/>
  </r>
  <r>
    <n v="724"/>
    <n v="362"/>
    <n v="0.5"/>
    <n v="362"/>
    <d v="1899-12-30T00:02:01"/>
    <d v="1899-12-30T00:03:55"/>
    <d v="1899-12-30T00:12:18"/>
    <n v="0.1166"/>
    <n v="5.0000000000000001E-3"/>
    <n v="1.1659999999999999E-3"/>
    <n v="362"/>
    <n v="0.5"/>
    <n v="0.5"/>
  </r>
  <r>
    <n v="732"/>
    <n v="367"/>
    <n v="0.50139999999999996"/>
    <n v="365"/>
    <d v="1899-12-30T00:02:48"/>
    <d v="1899-12-30T00:02:52"/>
    <d v="1899-12-30T00:16:38"/>
    <n v="8.09E-2"/>
    <n v="5.0139999999999994E-3"/>
    <n v="8.0900000000000004E-4"/>
    <n v="365"/>
    <n v="0.49863387978142076"/>
    <n v="0.50136612021857918"/>
  </r>
  <r>
    <n v="582"/>
    <n v="301"/>
    <n v="0.51719999999999999"/>
    <n v="281"/>
    <d v="1899-12-30T00:02:41"/>
    <d v="1899-12-30T00:04:13"/>
    <d v="1899-12-30T00:21:42"/>
    <n v="0.1208"/>
    <n v="5.1719999999999995E-3"/>
    <n v="1.2080000000000001E-3"/>
    <n v="281"/>
    <n v="0.48281786941580757"/>
    <n v="0.51718213058419249"/>
  </r>
  <r>
    <n v="621"/>
    <n v="344"/>
    <n v="0.55389999999999995"/>
    <n v="277"/>
    <d v="1899-12-30T00:02:07"/>
    <d v="1899-12-30T00:03:29"/>
    <d v="1899-12-30T00:12:24"/>
    <n v="0.1447"/>
    <n v="5.5389999999999997E-3"/>
    <n v="1.4469999999999999E-3"/>
    <n v="277"/>
    <n v="0.44605475040257647"/>
    <n v="0.55394524959742353"/>
  </r>
  <r>
    <n v="116"/>
    <n v="106"/>
    <n v="0.91379999999999995"/>
    <n v="10"/>
    <d v="1899-12-30T00:00:34"/>
    <d v="1899-12-30T00:04:23"/>
    <d v="1899-12-30T00:04:44"/>
    <n v="0.62929999999999997"/>
    <n v="9.1380000000000003E-3"/>
    <n v="6.293E-3"/>
    <n v="10"/>
    <n v="8.6206896551724144E-2"/>
    <n v="0.91379310344827591"/>
  </r>
  <r>
    <n v="533"/>
    <n v="300"/>
    <n v="0.56289999999999996"/>
    <n v="233"/>
    <d v="1899-12-30T00:02:12"/>
    <d v="1899-12-30T00:04:03"/>
    <d v="1899-12-30T00:12:24"/>
    <n v="0.1255"/>
    <n v="5.6289999999999995E-3"/>
    <n v="1.255E-3"/>
    <n v="233"/>
    <n v="0.43714821763602252"/>
    <n v="0.56285178236397748"/>
  </r>
  <r>
    <n v="416"/>
    <n v="322"/>
    <n v="0.77400000000000002"/>
    <n v="94"/>
    <d v="1899-12-30T00:01:04"/>
    <d v="1899-12-30T00:03:34"/>
    <d v="1899-12-30T00:06:12"/>
    <n v="0.38590000000000002"/>
    <n v="7.7400000000000004E-3"/>
    <n v="3.859E-3"/>
    <n v="94"/>
    <n v="0.22596153846153846"/>
    <n v="0.77403846153846156"/>
  </r>
  <r>
    <n v="415"/>
    <n v="259"/>
    <n v="0.62409999999999999"/>
    <n v="156"/>
    <d v="1899-12-30T00:02:10"/>
    <d v="1899-12-30T00:03:57"/>
    <d v="1899-12-30T00:13:38"/>
    <n v="0.1789"/>
    <n v="6.241E-3"/>
    <n v="1.789E-3"/>
    <n v="156"/>
    <n v="0.37590361445783133"/>
    <n v="0.62409638554216873"/>
  </r>
  <r>
    <n v="433"/>
    <n v="289"/>
    <n v="0.66739999999999999"/>
    <n v="144"/>
    <d v="1899-12-30T00:01:42"/>
    <d v="1899-12-30T00:03:28"/>
    <d v="1899-12-30T00:13:12"/>
    <n v="0.22950000000000001"/>
    <n v="6.6740000000000002E-3"/>
    <n v="2.2950000000000002E-3"/>
    <n v="144"/>
    <n v="0.33256351039260967"/>
    <n v="0.66743648960739033"/>
  </r>
  <r>
    <n v="454"/>
    <n v="284"/>
    <n v="0.62560000000000004"/>
    <n v="170"/>
    <d v="1899-12-30T00:01:53"/>
    <d v="1899-12-30T00:03:34"/>
    <d v="1899-12-30T00:19:22"/>
    <n v="0.24440000000000001"/>
    <n v="6.2560000000000003E-3"/>
    <n v="2.444E-3"/>
    <n v="170"/>
    <n v="0.37444933920704848"/>
    <n v="0.62555066079295152"/>
  </r>
  <r>
    <n v="244"/>
    <n v="195"/>
    <n v="0.79920000000000002"/>
    <n v="49"/>
    <d v="1899-12-30T00:01:25"/>
    <d v="1899-12-30T00:03:51"/>
    <d v="1899-12-30T00:11:22"/>
    <n v="0.36670000000000003"/>
    <n v="7.9920000000000008E-3"/>
    <n v="3.6670000000000001E-3"/>
    <n v="49"/>
    <n v="0.20081967213114754"/>
    <n v="0.79918032786885251"/>
  </r>
  <r>
    <n v="51"/>
    <n v="48"/>
    <n v="0.94120000000000004"/>
    <n v="3"/>
    <d v="1899-12-30T00:00:14"/>
    <d v="1899-12-30T00:03:26"/>
    <d v="1899-12-30T00:03:21"/>
    <n v="0.84309999999999996"/>
    <n v="9.4120000000000002E-3"/>
    <n v="8.4309999999999993E-3"/>
    <n v="3"/>
    <n v="5.8823529411764705E-2"/>
    <n v="0.94117647058823528"/>
  </r>
  <r>
    <n v="202"/>
    <n v="176"/>
    <n v="0.87129999999999996"/>
    <n v="26"/>
    <d v="1899-12-30T00:00:24"/>
    <d v="1899-12-30T00:03:42"/>
    <d v="1899-12-30T00:05:28"/>
    <n v="0.67159999999999997"/>
    <n v="8.7130000000000003E-3"/>
    <n v="6.7159999999999997E-3"/>
    <n v="26"/>
    <n v="0.12871287128712872"/>
    <n v="0.87128712871287128"/>
  </r>
  <r>
    <n v="128"/>
    <n v="118"/>
    <n v="0.92190000000000005"/>
    <n v="10"/>
    <d v="1899-12-30T00:00:30"/>
    <d v="1899-12-30T00:03:42"/>
    <d v="1899-12-30T00:07:53"/>
    <n v="0.74019999999999997"/>
    <n v="9.2189999999999998E-3"/>
    <n v="7.4019999999999997E-3"/>
    <n v="10"/>
    <n v="7.8125E-2"/>
    <n v="0.921875"/>
  </r>
  <r>
    <n v="102"/>
    <n v="100"/>
    <n v="0.98040000000000005"/>
    <n v="2"/>
    <d v="1899-12-30T00:00:14"/>
    <d v="1899-12-30T00:03:32"/>
    <d v="1899-12-30T00:03:09"/>
    <n v="0.85289999999999999"/>
    <n v="9.8040000000000002E-3"/>
    <n v="8.5290000000000001E-3"/>
    <n v="2"/>
    <n v="1.9607843137254902E-2"/>
    <n v="0.98039215686274506"/>
  </r>
  <r>
    <n v="201"/>
    <n v="169"/>
    <n v="0.84079999999999999"/>
    <n v="32"/>
    <d v="1899-12-30T00:00:32"/>
    <d v="1899-12-30T00:03:25"/>
    <d v="1899-12-30T00:06:12"/>
    <n v="0.58079999999999998"/>
    <n v="8.4080000000000005E-3"/>
    <n v="5.8079999999999998E-3"/>
    <n v="32"/>
    <n v="0.15920398009950248"/>
    <n v="0.84079601990049746"/>
  </r>
  <r>
    <n v="261"/>
    <n v="195"/>
    <n v="0.74709999999999999"/>
    <n v="66"/>
    <d v="1899-12-30T00:01:01"/>
    <d v="1899-12-30T00:03:27"/>
    <d v="1899-12-30T00:07:55"/>
    <n v="0.37980000000000003"/>
    <n v="7.4710000000000002E-3"/>
    <n v="3.7980000000000002E-3"/>
    <n v="66"/>
    <n v="0.25287356321839083"/>
    <n v="0.74712643678160917"/>
  </r>
  <r>
    <n v="201"/>
    <n v="173"/>
    <n v="0.86070000000000002"/>
    <n v="28"/>
    <d v="1899-12-30T00:00:41"/>
    <d v="1899-12-30T00:03:15"/>
    <d v="1899-12-30T00:06:50"/>
    <n v="0.59499999999999997"/>
    <n v="8.6070000000000001E-3"/>
    <n v="5.9499999999999996E-3"/>
    <n v="28"/>
    <n v="0.13930348258706468"/>
    <n v="0.86069651741293529"/>
  </r>
  <r>
    <n v="64"/>
    <n v="61"/>
    <n v="0.95309999999999995"/>
    <n v="3"/>
    <d v="1899-12-30T00:00:09"/>
    <d v="1899-12-30T00:03:15"/>
    <d v="1899-12-30T00:02:23"/>
    <n v="0.92059999999999997"/>
    <n v="9.5309999999999995E-3"/>
    <n v="9.2059999999999989E-3"/>
    <n v="3"/>
    <n v="4.6875E-2"/>
    <n v="0.953125"/>
  </r>
  <r>
    <n v="200"/>
    <n v="168"/>
    <n v="0.84"/>
    <n v="32"/>
    <d v="1899-12-30T00:00:51"/>
    <d v="1899-12-30T00:03:23"/>
    <d v="1899-12-30T00:06:46"/>
    <n v="0.4874"/>
    <n v="8.3999999999999995E-3"/>
    <n v="4.8739999999999999E-3"/>
    <n v="32"/>
    <n v="0.16"/>
    <n v="0.84"/>
  </r>
  <r>
    <n v="158"/>
    <n v="148"/>
    <n v="0.93669999999999998"/>
    <n v="10"/>
    <d v="1899-12-30T00:00:30"/>
    <d v="1899-12-30T00:03:17"/>
    <d v="1899-12-30T00:04:08"/>
    <n v="0.56689999999999996"/>
    <n v="9.3670000000000003E-3"/>
    <n v="5.6689999999999996E-3"/>
    <n v="10"/>
    <n v="6.3291139240506333E-2"/>
    <n v="0.93670886075949367"/>
  </r>
  <r>
    <n v="174"/>
    <n v="155"/>
    <n v="0.89080000000000004"/>
    <n v="19"/>
    <d v="1899-12-30T00:00:26"/>
    <d v="1899-12-30T00:03:01"/>
    <d v="1899-12-30T00:05:10"/>
    <n v="0.62350000000000005"/>
    <n v="8.908000000000001E-3"/>
    <n v="6.235000000000001E-3"/>
    <n v="19"/>
    <n v="0.10919540229885058"/>
    <n v="0.89080459770114939"/>
  </r>
  <r>
    <n v="67"/>
    <n v="64"/>
    <n v="0.95520000000000005"/>
    <n v="3"/>
    <d v="1899-12-30T00:00:26"/>
    <d v="1899-12-30T00:03:31"/>
    <d v="1899-12-30T00:04:58"/>
    <n v="0.71209999999999996"/>
    <n v="9.5519999999999997E-3"/>
    <n v="7.1209999999999997E-3"/>
    <n v="3"/>
    <n v="4.4776119402985072E-2"/>
    <n v="0.95522388059701491"/>
  </r>
  <r>
    <n v="24"/>
    <n v="23"/>
    <n v="0.95830000000000004"/>
    <n v="1"/>
    <d v="1899-12-30T00:00:23"/>
    <d v="1899-12-30T00:02:50"/>
    <d v="1899-12-30T00:02:01"/>
    <n v="0.75"/>
    <n v="9.5830000000000012E-3"/>
    <n v="7.4999999999999997E-3"/>
    <n v="1"/>
    <n v="4.1666666666666664E-2"/>
    <n v="0.95833333333333337"/>
  </r>
  <r>
    <n v="106"/>
    <n v="92"/>
    <n v="0.8679"/>
    <n v="14"/>
    <d v="1899-12-30T00:00:44"/>
    <d v="1899-12-30T00:03:03"/>
    <d v="1899-12-30T00:05:04"/>
    <n v="0.45629999999999998"/>
    <n v="8.6789999999999992E-3"/>
    <n v="4.5630000000000002E-3"/>
    <n v="14"/>
    <n v="0.13207547169811321"/>
    <n v="0.86792452830188682"/>
  </r>
  <r>
    <n v="52"/>
    <n v="50"/>
    <n v="0.96150000000000002"/>
    <n v="2"/>
    <d v="1899-12-30T00:00:11"/>
    <d v="1899-12-30T00:03:19"/>
    <d v="1899-12-30T00:01:24"/>
    <n v="0.88460000000000005"/>
    <n v="9.6150000000000003E-3"/>
    <n v="8.8459999999999997E-3"/>
    <n v="2"/>
    <n v="3.8461538461538464E-2"/>
    <n v="0.96153846153846156"/>
  </r>
  <r>
    <n v="223"/>
    <n v="203"/>
    <n v="0.9103"/>
    <n v="20"/>
    <d v="1899-12-30T00:00:31"/>
    <d v="1899-12-30T00:03:18"/>
    <d v="1899-12-30T00:04:11"/>
    <n v="0.621"/>
    <n v="9.103E-3"/>
    <n v="6.2100000000000002E-3"/>
    <n v="20"/>
    <n v="8.9686098654708515E-2"/>
    <n v="0.91031390134529144"/>
  </r>
  <r>
    <n v="274"/>
    <n v="233"/>
    <n v="0.85040000000000004"/>
    <n v="41"/>
    <d v="1899-12-30T00:00:48"/>
    <d v="1899-12-30T00:03:27"/>
    <d v="1899-12-30T00:05:10"/>
    <n v="0.36059999999999998"/>
    <n v="8.5040000000000011E-3"/>
    <n v="3.6059999999999998E-3"/>
    <n v="41"/>
    <n v="0.14963503649635038"/>
    <n v="0.85036496350364965"/>
  </r>
  <r>
    <n v="280"/>
    <n v="263"/>
    <n v="0.93930000000000002"/>
    <n v="17"/>
    <d v="1899-12-30T00:00:23"/>
    <d v="1899-12-30T00:03:13"/>
    <d v="1899-12-30T00:03:50"/>
    <n v="0.6764"/>
    <n v="9.3930000000000003E-3"/>
    <n v="6.764E-3"/>
    <n v="17"/>
    <n v="6.0714285714285714E-2"/>
    <n v="0.93928571428571428"/>
  </r>
  <r>
    <n v="534"/>
    <n v="468"/>
    <n v="0.87639999999999996"/>
    <n v="66"/>
    <d v="1899-12-30T00:00:30"/>
    <d v="1899-12-30T00:02:46"/>
    <d v="1899-12-30T00:04:39"/>
    <n v="0.57469999999999999"/>
    <n v="8.7639999999999992E-3"/>
    <n v="5.7469999999999995E-3"/>
    <n v="66"/>
    <n v="0.12359550561797752"/>
    <n v="0.8764044943820225"/>
  </r>
  <r>
    <n v="315"/>
    <n v="300"/>
    <n v="0.95240000000000002"/>
    <n v="15"/>
    <d v="1899-12-30T00:00:24"/>
    <d v="1899-12-30T00:03:11"/>
    <d v="1899-12-30T00:02:50"/>
    <n v="0.70230000000000004"/>
    <n v="9.5239999999999995E-3"/>
    <n v="7.0230000000000006E-3"/>
    <n v="15"/>
    <n v="4.7619047619047616E-2"/>
    <n v="0.95238095238095233"/>
  </r>
  <r>
    <n v="122"/>
    <n v="113"/>
    <n v="0.92620000000000002"/>
    <n v="9"/>
    <d v="1899-12-30T00:00:20"/>
    <d v="1899-12-30T00:02:58"/>
    <d v="1899-12-30T00:02:19"/>
    <n v="0.76670000000000005"/>
    <n v="9.2619999999999994E-3"/>
    <n v="7.6670000000000002E-3"/>
    <n v="9"/>
    <n v="7.3770491803278687E-2"/>
    <n v="0.92622950819672134"/>
  </r>
  <r>
    <n v="63"/>
    <n v="60"/>
    <n v="0.95240000000000002"/>
    <n v="3"/>
    <d v="1899-12-30T00:00:21"/>
    <d v="1899-12-30T00:02:51"/>
    <d v="1899-12-30T00:02:52"/>
    <n v="0.7419"/>
    <n v="9.5239999999999995E-3"/>
    <n v="7.4190000000000002E-3"/>
    <n v="3"/>
    <n v="4.7619047619047616E-2"/>
    <n v="0.95238095238095233"/>
  </r>
  <r>
    <n v="402"/>
    <n v="368"/>
    <n v="0.91539999999999999"/>
    <n v="34"/>
    <d v="1899-12-30T00:00:32"/>
    <d v="1899-12-30T00:03:07"/>
    <d v="1899-12-30T00:03:06"/>
    <n v="0.54179999999999995"/>
    <n v="9.1540000000000007E-3"/>
    <n v="5.4179999999999992E-3"/>
    <n v="34"/>
    <n v="8.45771144278607E-2"/>
    <n v="0.91542288557213936"/>
  </r>
  <r>
    <n v="413"/>
    <n v="370"/>
    <n v="0.89590000000000003"/>
    <n v="43"/>
    <d v="1899-12-30T00:00:29"/>
    <d v="1899-12-30T00:03:10"/>
    <d v="1899-12-30T00:03:22"/>
    <n v="0.58420000000000005"/>
    <n v="8.9589999999999999E-3"/>
    <n v="5.8420000000000008E-3"/>
    <n v="43"/>
    <n v="0.10411622276029056"/>
    <n v="0.89588377723970947"/>
  </r>
  <r>
    <n v="389"/>
    <n v="346"/>
    <n v="0.88949999999999996"/>
    <n v="43"/>
    <d v="1899-12-30T00:00:36"/>
    <d v="1899-12-30T00:03:21"/>
    <d v="1899-12-30T00:05:10"/>
    <n v="0.49869999999999998"/>
    <n v="8.8950000000000001E-3"/>
    <n v="4.9870000000000001E-3"/>
    <n v="43"/>
    <n v="0.11053984575835475"/>
    <n v="0.88946015424164526"/>
  </r>
  <r>
    <n v="495"/>
    <n v="308"/>
    <n v="0.62219999999999998"/>
    <n v="187"/>
    <d v="1899-12-30T00:01:31"/>
    <d v="1899-12-30T00:03:25"/>
    <d v="1899-12-30T00:16:35"/>
    <n v="0.18559999999999999"/>
    <n v="6.2220000000000001E-3"/>
    <n v="1.8559999999999998E-3"/>
    <n v="187"/>
    <n v="0.37777777777777777"/>
    <n v="0.62222222222222223"/>
  </r>
  <r>
    <n v="712"/>
    <n v="340"/>
    <n v="0.47749999999999998"/>
    <n v="372"/>
    <d v="1899-12-30T00:02:00"/>
    <d v="1899-12-30T00:03:26"/>
    <d v="1899-12-30T00:16:25"/>
    <n v="0.1226"/>
    <n v="4.7749999999999997E-3"/>
    <n v="1.2260000000000001E-3"/>
    <n v="372"/>
    <n v="0.52247191011235961"/>
    <n v="0.47752808988764045"/>
  </r>
  <r>
    <n v="1057"/>
    <n v="602"/>
    <n v="0.56950000000000001"/>
    <n v="455"/>
    <d v="1899-12-30T00:01:44"/>
    <d v="1899-12-30T00:02:33"/>
    <d v="1899-12-30T00:12:24"/>
    <n v="0.1149"/>
    <n v="5.6950000000000004E-3"/>
    <n v="1.1490000000000001E-3"/>
    <n v="455"/>
    <n v="0.43046357615894038"/>
    <n v="0.56953642384105962"/>
  </r>
  <r>
    <n v="620"/>
    <n v="321"/>
    <n v="0.51770000000000005"/>
    <n v="299"/>
    <d v="1899-12-30T00:02:42"/>
    <d v="1899-12-30T00:03:13"/>
    <d v="1899-12-30T00:16:34"/>
    <n v="0.1087"/>
    <n v="5.1770000000000002E-3"/>
    <n v="1.0870000000000001E-3"/>
    <n v="299"/>
    <n v="0.48225806451612901"/>
    <n v="0.51774193548387093"/>
  </r>
  <r>
    <n v="1575"/>
    <n v="871"/>
    <n v="0.55300000000000005"/>
    <n v="704"/>
    <d v="1899-12-30T00:01:32"/>
    <d v="1899-12-30T00:02:33"/>
    <d v="1899-12-30T00:22:45"/>
    <n v="0.13930000000000001"/>
    <n v="5.5300000000000002E-3"/>
    <n v="1.3930000000000001E-3"/>
    <n v="704"/>
    <n v="0.44698412698412698"/>
    <n v="0.55301587301587296"/>
  </r>
  <r>
    <n v="1349"/>
    <n v="775"/>
    <n v="0.57450000000000001"/>
    <n v="574"/>
    <d v="1899-12-30T00:01:46"/>
    <d v="1899-12-30T00:03:10"/>
    <d v="1899-12-30T00:15:53"/>
    <n v="0.1216"/>
    <n v="5.7450000000000001E-3"/>
    <n v="1.2160000000000001E-3"/>
    <n v="574"/>
    <n v="0.42550037064492219"/>
    <n v="0.57449962935507781"/>
  </r>
  <r>
    <n v="999"/>
    <n v="454"/>
    <n v="0.45450000000000002"/>
    <n v="545"/>
    <d v="1899-12-30T00:02:48"/>
    <d v="1899-12-30T00:03:14"/>
    <d v="1899-12-30T00:13:24"/>
    <n v="4.07E-2"/>
    <n v="4.5450000000000004E-3"/>
    <n v="4.0700000000000003E-4"/>
    <n v="545"/>
    <n v="0.54554554554554557"/>
    <n v="0.45445445445445448"/>
  </r>
  <r>
    <n v="968"/>
    <n v="547"/>
    <n v="0.56510000000000005"/>
    <n v="421"/>
    <d v="1899-12-30T00:02:26"/>
    <d v="1899-12-30T00:03:18"/>
    <d v="1899-12-30T00:14:13"/>
    <n v="0.1171"/>
    <n v="5.6510000000000006E-3"/>
    <n v="1.1709999999999999E-3"/>
    <n v="421"/>
    <n v="0.43491735537190085"/>
    <n v="0.56508264462809921"/>
  </r>
  <r>
    <n v="1066"/>
    <n v="453"/>
    <n v="0.42499999999999999"/>
    <n v="613"/>
    <d v="1899-12-30T00:05:04"/>
    <d v="1899-12-30T00:03:39"/>
    <d v="1899-12-30T00:22:37"/>
    <n v="2.24E-2"/>
    <n v="4.2500000000000003E-3"/>
    <n v="2.24E-4"/>
    <n v="613"/>
    <n v="0.575046904315197"/>
    <n v="0.424953095684803"/>
  </r>
  <r>
    <n v="788"/>
    <n v="633"/>
    <n v="0.80330000000000001"/>
    <n v="155"/>
    <d v="1899-12-30T00:01:13"/>
    <d v="1899-12-30T00:03:23"/>
    <d v="1899-12-30T00:12:26"/>
    <n v="0.20880000000000001"/>
    <n v="8.0330000000000002E-3"/>
    <n v="2.088E-3"/>
    <n v="155"/>
    <n v="0.1967005076142132"/>
    <n v="0.8032994923857868"/>
  </r>
  <r>
    <n v="252"/>
    <n v="213"/>
    <n v="0.84519999999999995"/>
    <n v="39"/>
    <d v="1899-12-30T00:00:53"/>
    <d v="1899-12-30T00:03:31"/>
    <d v="1899-12-30T00:08:17"/>
    <n v="0.44080000000000003"/>
    <n v="8.4519999999999994E-3"/>
    <n v="4.4080000000000005E-3"/>
    <n v="39"/>
    <n v="0.15476190476190477"/>
    <n v="0.84523809523809523"/>
  </r>
  <r>
    <n v="842"/>
    <n v="625"/>
    <n v="0.74229999999999996"/>
    <n v="217"/>
    <d v="1899-12-30T00:01:11"/>
    <d v="1899-12-30T00:03:10"/>
    <d v="1899-12-30T00:14:28"/>
    <n v="0.26929999999999998"/>
    <n v="7.4229999999999999E-3"/>
    <n v="2.6929999999999996E-3"/>
    <n v="217"/>
    <n v="0.25771971496437057"/>
    <n v="0.74228028503562948"/>
  </r>
  <r>
    <n v="847"/>
    <n v="722"/>
    <n v="0.85240000000000005"/>
    <n v="125"/>
    <d v="1899-12-30T00:00:54"/>
    <d v="1899-12-30T00:03:04"/>
    <d v="1899-12-30T00:08:05"/>
    <n v="0.33489999999999998"/>
    <n v="8.5240000000000003E-3"/>
    <n v="3.3489999999999995E-3"/>
    <n v="125"/>
    <n v="0.14757969303423848"/>
    <n v="0.85242030696576154"/>
  </r>
  <r>
    <n v="800"/>
    <n v="615"/>
    <n v="0.76880000000000004"/>
    <n v="185"/>
    <d v="1899-12-30T00:01:07"/>
    <d v="1899-12-30T00:03:25"/>
    <d v="1899-12-30T00:07:24"/>
    <n v="0.23980000000000001"/>
    <n v="7.6880000000000004E-3"/>
    <n v="2.398E-3"/>
    <n v="185"/>
    <n v="0.23125000000000001"/>
    <n v="0.76875000000000004"/>
  </r>
  <r>
    <n v="1100"/>
    <n v="823"/>
    <n v="0.74819999999999998"/>
    <n v="277"/>
    <d v="1899-12-30T00:01:08"/>
    <d v="1899-12-30T00:03:18"/>
    <d v="1899-12-30T00:15:31"/>
    <n v="0.29649999999999999"/>
    <n v="7.4819999999999999E-3"/>
    <n v="2.9649999999999998E-3"/>
    <n v="277"/>
    <n v="0.25181818181818183"/>
    <n v="0.74818181818181817"/>
  </r>
  <r>
    <n v="1242"/>
    <n v="909"/>
    <n v="0.7319"/>
    <n v="333"/>
    <d v="1899-12-30T00:01:23"/>
    <d v="1899-12-30T00:03:04"/>
    <d v="1899-12-30T00:11:11"/>
    <n v="0.19"/>
    <n v="7.319E-3"/>
    <n v="1.9E-3"/>
    <n v="333"/>
    <n v="0.26811594202898553"/>
    <n v="0.73188405797101452"/>
  </r>
  <r>
    <n v="732"/>
    <n v="460"/>
    <n v="0.62839999999999996"/>
    <n v="272"/>
    <d v="1899-12-30T00:01:31"/>
    <d v="1899-12-30T00:03:12"/>
    <d v="1899-12-30T00:10:29"/>
    <n v="0.1792"/>
    <n v="6.2839999999999997E-3"/>
    <n v="1.792E-3"/>
    <n v="272"/>
    <n v="0.37158469945355194"/>
    <n v="0.62841530054644812"/>
  </r>
  <r>
    <n v="112"/>
    <n v="104"/>
    <n v="0.92859999999999998"/>
    <n v="8"/>
    <d v="1899-12-30T00:00:34"/>
    <d v="1899-12-30T00:03:21"/>
    <d v="1899-12-30T00:04:13"/>
    <n v="0.56359999999999999"/>
    <n v="9.2859999999999991E-3"/>
    <n v="5.6359999999999995E-3"/>
    <n v="8"/>
    <n v="7.1428571428571425E-2"/>
    <n v="0.9285714285714286"/>
  </r>
  <r>
    <n v="482"/>
    <n v="434"/>
    <n v="0.90039999999999998"/>
    <n v="48"/>
    <d v="1899-12-30T00:00:41"/>
    <d v="1899-12-30T00:03:01"/>
    <d v="1899-12-30T00:11:01"/>
    <n v="0.47439999999999999"/>
    <n v="9.0039999999999999E-3"/>
    <n v="4.744E-3"/>
    <n v="48"/>
    <n v="9.9585062240663894E-2"/>
    <n v="0.90041493775933612"/>
  </r>
  <r>
    <n v="570"/>
    <n v="484"/>
    <n v="0.84909999999999997"/>
    <n v="86"/>
    <d v="1899-12-30T00:00:51"/>
    <d v="1899-12-30T00:03:07"/>
    <d v="1899-12-30T00:11:48"/>
    <n v="0.36899999999999999"/>
    <n v="8.4910000000000003E-3"/>
    <n v="3.6900000000000001E-3"/>
    <n v="86"/>
    <n v="0.15087719298245614"/>
    <n v="0.84912280701754383"/>
  </r>
  <r>
    <n v="490"/>
    <n v="398"/>
    <n v="0.81220000000000003"/>
    <n v="92"/>
    <d v="1899-12-30T00:00:50"/>
    <d v="1899-12-30T00:03:17"/>
    <d v="1899-12-30T00:21:44"/>
    <n v="0.36099999999999999"/>
    <n v="8.1220000000000007E-3"/>
    <n v="3.6099999999999999E-3"/>
    <n v="92"/>
    <n v="0.18775510204081633"/>
    <n v="0.81224489795918364"/>
  </r>
  <r>
    <n v="462"/>
    <n v="311"/>
    <n v="0.67320000000000002"/>
    <n v="151"/>
    <d v="1899-12-30T00:01:11"/>
    <d v="1899-12-30T00:03:17"/>
    <d v="1899-12-30T00:08:50"/>
    <n v="0.26340000000000002"/>
    <n v="6.7320000000000001E-3"/>
    <n v="2.6340000000000001E-3"/>
    <n v="151"/>
    <n v="0.32683982683982682"/>
    <n v="0.67316017316017318"/>
  </r>
  <r>
    <n v="428"/>
    <n v="373"/>
    <n v="0.87150000000000005"/>
    <n v="55"/>
    <d v="1899-12-30T00:00:40"/>
    <d v="1899-12-30T00:02:58"/>
    <d v="1899-12-30T00:07:01"/>
    <n v="0.50600000000000001"/>
    <n v="8.7150000000000005E-3"/>
    <n v="5.0600000000000003E-3"/>
    <n v="55"/>
    <n v="0.12850467289719625"/>
    <n v="0.87149532710280375"/>
  </r>
  <r>
    <n v="393"/>
    <n v="312"/>
    <n v="0.79390000000000005"/>
    <n v="81"/>
    <d v="1899-12-30T00:01:02"/>
    <d v="1899-12-30T00:03:16"/>
    <d v="1899-12-30T00:08:16"/>
    <n v="0.314"/>
    <n v="7.9389999999999999E-3"/>
    <n v="3.14E-3"/>
    <n v="81"/>
    <n v="0.20610687022900764"/>
    <n v="0.79389312977099236"/>
  </r>
  <r>
    <n v="58"/>
    <n v="50"/>
    <n v="0.86209999999999998"/>
    <n v="8"/>
    <d v="1899-12-30T00:00:29"/>
    <d v="1899-12-30T00:03:04"/>
    <d v="1899-12-30T00:03:06"/>
    <n v="0.6724"/>
    <n v="8.6210000000000002E-3"/>
    <n v="6.7239999999999999E-3"/>
    <n v="8"/>
    <n v="0.13793103448275862"/>
    <n v="0.86206896551724133"/>
  </r>
  <r>
    <n v="316"/>
    <n v="279"/>
    <n v="0.88290000000000002"/>
    <n v="37"/>
    <d v="1899-12-30T00:00:40"/>
    <d v="1899-12-30T00:02:58"/>
    <d v="1899-12-30T00:03:31"/>
    <n v="0.44159999999999999"/>
    <n v="8.829E-3"/>
    <n v="4.4159999999999998E-3"/>
    <n v="37"/>
    <n v="0.11708860759493671"/>
    <n v="0.88291139240506333"/>
  </r>
  <r>
    <n v="298"/>
    <n v="274"/>
    <n v="0.91949999999999998"/>
    <n v="24"/>
    <d v="1899-12-30T00:00:30"/>
    <d v="1899-12-30T00:02:59"/>
    <d v="1899-12-30T00:03:02"/>
    <n v="0.55779999999999996"/>
    <n v="9.195E-3"/>
    <n v="5.5779999999999996E-3"/>
    <n v="24"/>
    <n v="8.0536912751677847E-2"/>
    <n v="0.91946308724832215"/>
  </r>
  <r>
    <n v="308"/>
    <n v="275"/>
    <n v="0.89290000000000003"/>
    <n v="33"/>
    <d v="1899-12-30T00:00:40"/>
    <d v="1899-12-30T00:02:56"/>
    <d v="1899-12-30T00:06:54"/>
    <n v="0.51629999999999998"/>
    <n v="8.9289999999999994E-3"/>
    <n v="5.1630000000000001E-3"/>
    <n v="33"/>
    <n v="0.10714285714285714"/>
    <n v="0.8928571428571429"/>
  </r>
  <r>
    <n v="259"/>
    <n v="242"/>
    <n v="0.93440000000000001"/>
    <n v="17"/>
    <d v="1899-12-30T00:00:16"/>
    <d v="1899-12-30T00:02:54"/>
    <d v="1899-12-30T00:04:09"/>
    <n v="0.78259999999999996"/>
    <n v="9.3439999999999999E-3"/>
    <n v="7.8259999999999996E-3"/>
    <n v="17"/>
    <n v="6.5637065637065631E-2"/>
    <n v="0.93436293436293438"/>
  </r>
  <r>
    <n v="464"/>
    <n v="391"/>
    <n v="0.8427"/>
    <n v="73"/>
    <d v="1899-12-30T00:00:55"/>
    <d v="1899-12-30T00:03:31"/>
    <d v="1899-12-30T00:05:13"/>
    <n v="0.35449999999999998"/>
    <n v="8.4270000000000005E-3"/>
    <n v="3.545E-3"/>
    <n v="73"/>
    <n v="0.15732758620689655"/>
    <n v="0.84267241379310343"/>
  </r>
  <r>
    <n v="302"/>
    <n v="275"/>
    <n v="0.91059999999999997"/>
    <n v="27"/>
    <d v="1899-12-30T00:00:30"/>
    <d v="1899-12-30T00:03:02"/>
    <d v="1899-12-30T00:09:54"/>
    <n v="0.56040000000000001"/>
    <n v="9.1059999999999995E-3"/>
    <n v="5.6040000000000005E-3"/>
    <n v="27"/>
    <n v="8.9403973509933773E-2"/>
    <n v="0.91059602649006621"/>
  </r>
  <r>
    <n v="47"/>
    <n v="45"/>
    <n v="0.95740000000000003"/>
    <n v="2"/>
    <d v="1899-12-30T00:00:12"/>
    <d v="1899-12-30T00:02:41"/>
    <d v="1899-12-30T00:02:37"/>
    <n v="0.85109999999999997"/>
    <n v="9.5740000000000009E-3"/>
    <n v="8.5109999999999995E-3"/>
    <n v="2"/>
    <n v="4.2553191489361701E-2"/>
    <n v="0.95744680851063835"/>
  </r>
  <r>
    <n v="293"/>
    <n v="279"/>
    <n v="0.95220000000000005"/>
    <n v="14"/>
    <d v="1899-12-30T00:00:22"/>
    <d v="1899-12-30T00:02:53"/>
    <d v="1899-12-30T00:02:57"/>
    <n v="0.67469999999999997"/>
    <n v="9.5220000000000009E-3"/>
    <n v="6.7469999999999995E-3"/>
    <n v="14"/>
    <n v="4.778156996587031E-2"/>
    <n v="0.95221843003412965"/>
  </r>
  <r>
    <n v="245"/>
    <n v="225"/>
    <n v="0.91839999999999999"/>
    <n v="20"/>
    <d v="1899-12-30T00:00:18"/>
    <d v="1899-12-30T00:02:55"/>
    <d v="1899-12-30T00:04:11"/>
    <n v="0.73550000000000004"/>
    <n v="9.1839999999999995E-3"/>
    <n v="7.3550000000000004E-3"/>
    <n v="20"/>
    <n v="8.1632653061224483E-2"/>
    <n v="0.91836734693877553"/>
  </r>
  <r>
    <n v="295"/>
    <n v="227"/>
    <n v="0.76949999999999996"/>
    <n v="68"/>
    <d v="1899-12-30T00:00:48"/>
    <d v="1899-12-30T00:03:19"/>
    <d v="1899-12-30T00:05:42"/>
    <n v="0.44790000000000002"/>
    <n v="7.6949999999999996E-3"/>
    <n v="4.4790000000000003E-3"/>
    <n v="68"/>
    <n v="0.23050847457627119"/>
    <n v="0.76949152542372878"/>
  </r>
  <r>
    <n v="205"/>
    <n v="196"/>
    <n v="0.95609999999999995"/>
    <n v="9"/>
    <d v="1899-12-30T00:00:20"/>
    <d v="1899-12-30T00:03:06"/>
    <d v="1899-12-30T00:05:10"/>
    <n v="0.73660000000000003"/>
    <n v="9.5610000000000001E-3"/>
    <n v="7.3660000000000002E-3"/>
    <n v="9"/>
    <n v="4.3902439024390241E-2"/>
    <n v="0.95609756097560972"/>
  </r>
  <r>
    <n v="249"/>
    <n v="215"/>
    <n v="0.86350000000000005"/>
    <n v="34"/>
    <d v="1899-12-30T00:00:40"/>
    <d v="1899-12-30T00:02:58"/>
    <d v="1899-12-30T00:24:51"/>
    <n v="0.46089999999999998"/>
    <n v="8.6350000000000003E-3"/>
    <n v="4.6089999999999994E-3"/>
    <n v="34"/>
    <n v="0.13654618473895583"/>
    <n v="0.86345381526104414"/>
  </r>
  <r>
    <n v="236"/>
    <n v="213"/>
    <n v="0.90249999999999997"/>
    <n v="23"/>
    <d v="1899-12-30T00:00:26"/>
    <d v="1899-12-30T00:03:14"/>
    <d v="1899-12-30T00:03:54"/>
    <n v="0.63360000000000005"/>
    <n v="9.025E-3"/>
    <n v="6.3360000000000005E-3"/>
    <n v="23"/>
    <n v="9.7457627118644072E-2"/>
    <n v="0.90254237288135597"/>
  </r>
  <r>
    <n v="39"/>
    <n v="39"/>
    <n v="1"/>
    <n v="0"/>
    <d v="1899-12-30T00:00:14"/>
    <d v="1899-12-30T00:02:30"/>
    <d v="1899-12-30T00:02:27"/>
    <n v="0.87180000000000002"/>
    <n v="0.01"/>
    <n v="8.7180000000000001E-3"/>
    <n v="0"/>
    <n v="0"/>
    <n v="1"/>
  </r>
  <r>
    <n v="208"/>
    <n v="194"/>
    <n v="0.93269999999999997"/>
    <n v="14"/>
    <d v="1899-12-30T00:00:17"/>
    <d v="1899-12-30T00:02:54"/>
    <d v="1899-12-30T00:02:59"/>
    <n v="0.76959999999999995"/>
    <n v="9.3270000000000002E-3"/>
    <n v="7.6959999999999997E-3"/>
    <n v="14"/>
    <n v="6.7307692307692304E-2"/>
    <n v="0.93269230769230771"/>
  </r>
  <r>
    <n v="39"/>
    <n v="38"/>
    <n v="0.97440000000000004"/>
    <n v="1"/>
    <d v="1899-12-30T00:00:04"/>
    <d v="1899-12-30T00:02:21"/>
    <d v="1899-12-30T00:01:02"/>
    <n v="0.94869999999999999"/>
    <n v="9.7440000000000009E-3"/>
    <n v="9.4870000000000006E-3"/>
    <n v="1"/>
    <n v="2.564102564102564E-2"/>
    <n v="0.97435897435897434"/>
  </r>
  <r>
    <n v="115"/>
    <n v="110"/>
    <n v="0.95650000000000002"/>
    <n v="5"/>
    <d v="1899-12-30T00:00:08"/>
    <d v="1899-12-30T00:02:46"/>
    <d v="1899-12-30T00:04:12"/>
    <n v="0.90429999999999999"/>
    <n v="9.5650000000000006E-3"/>
    <n v="9.0430000000000007E-3"/>
    <n v="5"/>
    <n v="4.3478260869565216E-2"/>
    <n v="0.95652173913043481"/>
  </r>
  <r>
    <n v="338"/>
    <n v="308"/>
    <n v="0.91120000000000001"/>
    <n v="30"/>
    <d v="1899-12-30T00:00:27"/>
    <d v="1899-12-30T00:02:50"/>
    <d v="1899-12-30T00:04:11"/>
    <n v="0.63100000000000001"/>
    <n v="9.1120000000000003E-3"/>
    <n v="6.3099999999999996E-3"/>
    <n v="30"/>
    <n v="8.8757396449704137E-2"/>
    <n v="0.91124260355029585"/>
  </r>
  <r>
    <n v="404"/>
    <n v="320"/>
    <n v="0.79210000000000003"/>
    <n v="84"/>
    <d v="1899-12-30T00:00:45"/>
    <d v="1899-12-30T00:02:58"/>
    <d v="1899-12-30T00:11:53"/>
    <n v="0.51390000000000002"/>
    <n v="7.921000000000001E-3"/>
    <n v="5.1390000000000003E-3"/>
    <n v="84"/>
    <n v="0.20792079207920791"/>
    <n v="0.79207920792079212"/>
  </r>
  <r>
    <n v="436"/>
    <n v="393"/>
    <n v="0.90139999999999998"/>
    <n v="43"/>
    <d v="1899-12-30T00:00:26"/>
    <d v="1899-12-30T00:02:51"/>
    <d v="1899-12-30T00:06:13"/>
    <n v="0.65259999999999996"/>
    <n v="9.0139999999999994E-3"/>
    <n v="6.5259999999999997E-3"/>
    <n v="43"/>
    <n v="9.862385321100918E-2"/>
    <n v="0.90137614678899081"/>
  </r>
  <r>
    <n v="73"/>
    <n v="72"/>
    <n v="0.98629999999999995"/>
    <n v="1"/>
    <d v="1899-12-30T00:00:07"/>
    <d v="1899-12-30T00:02:46"/>
    <d v="1899-12-30T00:01:43"/>
    <n v="0.93149999999999999"/>
    <n v="9.8630000000000002E-3"/>
    <n v="9.3150000000000004E-3"/>
    <n v="1"/>
    <n v="1.3698630136986301E-2"/>
    <n v="0.98630136986301364"/>
  </r>
  <r>
    <n v="521"/>
    <n v="492"/>
    <n v="0.94430000000000003"/>
    <n v="29"/>
    <d v="1899-12-30T00:00:17"/>
    <d v="1899-12-30T00:02:45"/>
    <d v="1899-12-30T00:03:23"/>
    <n v="0.78939999999999999"/>
    <n v="9.443E-3"/>
    <n v="7.894E-3"/>
    <n v="29"/>
    <n v="5.5662188099808059E-2"/>
    <n v="0.94433781190019195"/>
  </r>
  <r>
    <n v="648"/>
    <n v="564"/>
    <n v="0.87039999999999995"/>
    <n v="84"/>
    <d v="1899-12-30T00:00:27"/>
    <d v="1899-12-30T00:02:46"/>
    <d v="1899-12-30T00:05:25"/>
    <n v="0.61360000000000003"/>
    <n v="8.7039999999999999E-3"/>
    <n v="6.136E-3"/>
    <n v="84"/>
    <n v="0.12962962962962962"/>
    <n v="0.87037037037037035"/>
  </r>
  <r>
    <n v="729"/>
    <n v="592"/>
    <n v="0.81210000000000004"/>
    <n v="137"/>
    <d v="1899-12-30T00:00:55"/>
    <d v="1899-12-30T00:02:53"/>
    <d v="1899-12-30T00:07:29"/>
    <n v="0.35830000000000001"/>
    <n v="8.1209999999999997E-3"/>
    <n v="3.5830000000000002E-3"/>
    <n v="137"/>
    <n v="0.18792866941015088"/>
    <n v="0.81207133058984915"/>
  </r>
  <r>
    <n v="1196"/>
    <n v="718"/>
    <n v="0.60029999999999994"/>
    <n v="478"/>
    <d v="1899-12-30T00:01:52"/>
    <d v="1899-12-30T00:03:09"/>
    <d v="1899-12-30T00:11:06"/>
    <n v="0.1462"/>
    <n v="6.0029999999999997E-3"/>
    <n v="1.462E-3"/>
    <n v="478"/>
    <n v="0.39966555183946489"/>
    <n v="0.60033444816053516"/>
  </r>
  <r>
    <n v="436"/>
    <n v="323"/>
    <n v="0.74080000000000001"/>
    <n v="113"/>
    <d v="1899-12-30T00:00:44"/>
    <d v="1899-12-30T00:03:02"/>
    <d v="1899-12-30T00:06:12"/>
    <n v="0.4375"/>
    <n v="7.4080000000000005E-3"/>
    <n v="4.3750000000000004E-3"/>
    <n v="113"/>
    <n v="0.25917431192660551"/>
    <n v="0.74082568807339455"/>
  </r>
  <r>
    <n v="191"/>
    <n v="178"/>
    <n v="0.93189999999999995"/>
    <n v="13"/>
    <d v="1899-12-30T00:00:16"/>
    <d v="1899-12-30T00:02:51"/>
    <d v="1899-12-30T00:04:08"/>
    <n v="0.80530000000000002"/>
    <n v="9.3189999999999992E-3"/>
    <n v="8.0529999999999994E-3"/>
    <n v="13"/>
    <n v="6.8062827225130892E-2"/>
    <n v="0.93193717277486909"/>
  </r>
  <r>
    <n v="68"/>
    <n v="68"/>
    <n v="1"/>
    <n v="0"/>
    <d v="1899-12-30T00:00:05"/>
    <d v="1899-12-30T00:02:56"/>
    <d v="1899-12-30T00:01:39"/>
    <n v="0.98529999999999995"/>
    <n v="0.01"/>
    <n v="9.8529999999999989E-3"/>
    <n v="0"/>
    <n v="0"/>
    <n v="1"/>
  </r>
  <r>
    <n v="498"/>
    <n v="429"/>
    <n v="0.86140000000000005"/>
    <n v="69"/>
    <d v="1899-12-30T00:00:34"/>
    <d v="1899-12-30T00:03:09"/>
    <d v="1899-12-30T00:04:12"/>
    <n v="0.5071"/>
    <n v="8.6140000000000001E-3"/>
    <n v="5.071E-3"/>
    <n v="69"/>
    <n v="0.13855421686746988"/>
    <n v="0.86144578313253017"/>
  </r>
  <r>
    <n v="358"/>
    <n v="329"/>
    <n v="0.91900000000000004"/>
    <n v="29"/>
    <d v="1899-12-30T00:00:21"/>
    <d v="1899-12-30T00:03:03"/>
    <d v="1899-12-30T00:02:15"/>
    <n v="0.66949999999999998"/>
    <n v="9.1900000000000003E-3"/>
    <n v="6.6949999999999996E-3"/>
    <n v="29"/>
    <n v="8.1005586592178769E-2"/>
    <n v="0.91899441340782118"/>
  </r>
  <r>
    <n v="340"/>
    <n v="302"/>
    <n v="0.88819999999999999"/>
    <n v="38"/>
    <d v="1899-12-30T00:00:24"/>
    <d v="1899-12-30T00:02:50"/>
    <d v="1899-12-30T00:05:10"/>
    <n v="0.65669999999999995"/>
    <n v="8.8819999999999993E-3"/>
    <n v="6.5669999999999999E-3"/>
    <n v="38"/>
    <n v="0.11176470588235295"/>
    <n v="0.88823529411764701"/>
  </r>
  <r>
    <n v="322"/>
    <n v="306"/>
    <n v="0.95030000000000003"/>
    <n v="16"/>
    <d v="1899-12-30T00:00:16"/>
    <d v="1899-12-30T00:02:39"/>
    <d v="1899-12-30T00:06:17"/>
    <n v="0.77739999999999998"/>
    <n v="9.503000000000001E-3"/>
    <n v="7.7739999999999997E-3"/>
    <n v="16"/>
    <n v="4.9689440993788817E-2"/>
    <n v="0.9503105590062112"/>
  </r>
  <r>
    <n v="296"/>
    <n v="282"/>
    <n v="0.95269999999999999"/>
    <n v="14"/>
    <d v="1899-12-30T00:00:18"/>
    <d v="1899-12-30T00:02:37"/>
    <d v="1899-12-30T00:02:45"/>
    <n v="0.76529999999999998"/>
    <n v="9.5270000000000007E-3"/>
    <n v="7.6530000000000001E-3"/>
    <n v="14"/>
    <n v="4.72972972972973E-2"/>
    <n v="0.95270270270270274"/>
  </r>
  <r>
    <n v="264"/>
    <n v="234"/>
    <n v="0.88639999999999997"/>
    <n v="30"/>
    <d v="1899-12-30T00:00:20"/>
    <d v="1899-12-30T00:02:34"/>
    <d v="1899-12-30T00:04:54"/>
    <n v="0.69879999999999998"/>
    <n v="8.8640000000000004E-3"/>
    <n v="6.9879999999999994E-3"/>
    <n v="30"/>
    <n v="0.11363636363636363"/>
    <n v="0.88636363636363635"/>
  </r>
  <r>
    <n v="52"/>
    <n v="51"/>
    <n v="0.98080000000000001"/>
    <n v="1"/>
    <d v="1899-12-30T00:00:06"/>
    <d v="1899-12-30T00:02:36"/>
    <d v="1899-12-30T00:01:05"/>
    <n v="0.94120000000000004"/>
    <n v="9.8080000000000007E-3"/>
    <n v="9.4120000000000002E-3"/>
    <n v="1"/>
    <n v="1.9230769230769232E-2"/>
    <n v="0.98076923076923073"/>
  </r>
  <r>
    <n v="266"/>
    <n v="264"/>
    <n v="0.99250000000000005"/>
    <n v="2"/>
    <d v="1899-12-30T00:00:09"/>
    <d v="1899-12-30T00:02:39"/>
    <d v="1899-12-30T00:02:01"/>
    <n v="0.90980000000000005"/>
    <n v="9.9249999999999998E-3"/>
    <n v="9.0980000000000002E-3"/>
    <n v="2"/>
    <n v="7.5187969924812026E-3"/>
    <n v="0.99248120300751874"/>
  </r>
  <r>
    <n v="242"/>
    <n v="238"/>
    <n v="0.98350000000000004"/>
    <n v="4"/>
    <d v="1899-12-30T00:00:09"/>
    <d v="1899-12-30T00:02:45"/>
    <d v="1899-12-30T00:02:30"/>
    <n v="0.90459999999999996"/>
    <n v="9.835E-3"/>
    <n v="9.0460000000000002E-3"/>
    <n v="4"/>
    <n v="1.6528925619834711E-2"/>
    <n v="0.98347107438016534"/>
  </r>
  <r>
    <n v="241"/>
    <n v="228"/>
    <n v="0.94610000000000005"/>
    <n v="13"/>
    <d v="1899-12-30T00:00:19"/>
    <d v="1899-12-30T00:02:48"/>
    <d v="1899-12-30T00:06:08"/>
    <n v="0.79579999999999995"/>
    <n v="9.4610000000000007E-3"/>
    <n v="7.9579999999999998E-3"/>
    <n v="13"/>
    <n v="5.3941908713692949E-2"/>
    <n v="0.94605809128630702"/>
  </r>
  <r>
    <n v="279"/>
    <n v="269"/>
    <n v="0.96419999999999995"/>
    <n v="10"/>
    <d v="1899-12-30T00:00:08"/>
    <d v="1899-12-30T00:02:43"/>
    <d v="1899-12-30T00:03:07"/>
    <n v="0.91300000000000003"/>
    <n v="9.6419999999999995E-3"/>
    <n v="9.130000000000001E-3"/>
    <n v="10"/>
    <n v="3.5842293906810034E-2"/>
    <n v="0.96415770609318996"/>
  </r>
  <r>
    <n v="73"/>
    <n v="72"/>
    <n v="0.98629999999999995"/>
    <n v="1"/>
    <d v="1899-12-30T00:00:08"/>
    <d v="1899-12-30T00:03:04"/>
    <d v="1899-12-30T00:02:10"/>
    <n v="0.91779999999999995"/>
    <n v="9.8630000000000002E-3"/>
    <n v="9.1779999999999987E-3"/>
    <n v="1"/>
    <n v="1.3698630136986301E-2"/>
    <n v="0.98630136986301364"/>
  </r>
  <r>
    <n v="226"/>
    <n v="218"/>
    <n v="0.96460000000000001"/>
    <n v="8"/>
    <d v="1899-12-30T00:00:08"/>
    <d v="1899-12-30T00:02:54"/>
    <d v="1899-12-30T00:02:47"/>
    <n v="0.91859999999999997"/>
    <n v="9.6460000000000001E-3"/>
    <n v="9.1859999999999997E-3"/>
    <n v="8"/>
    <n v="3.5398230088495575E-2"/>
    <n v="0.96460176991150437"/>
  </r>
  <r>
    <n v="43"/>
    <n v="42"/>
    <n v="0.97670000000000001"/>
    <n v="1"/>
    <d v="1899-12-30T00:00:11"/>
    <d v="1899-12-30T00:02:38"/>
    <d v="1899-12-30T00:01:17"/>
    <n v="0.83720000000000006"/>
    <n v="9.7669999999999996E-3"/>
    <n v="8.372000000000001E-3"/>
    <n v="1"/>
    <n v="2.3255813953488372E-2"/>
    <n v="0.97674418604651159"/>
  </r>
  <r>
    <n v="311"/>
    <n v="255"/>
    <n v="0.81989999999999996"/>
    <n v="56"/>
    <d v="1899-12-30T00:00:45"/>
    <d v="1899-12-30T00:02:55"/>
    <d v="1899-12-30T00:04:50"/>
    <n v="0.4718"/>
    <n v="8.1989999999999997E-3"/>
    <n v="4.718E-3"/>
    <n v="56"/>
    <n v="0.18006430868167203"/>
    <n v="0.819935691318328"/>
  </r>
  <r>
    <n v="251"/>
    <n v="210"/>
    <n v="0.8367"/>
    <n v="41"/>
    <d v="1899-12-30T00:00:26"/>
    <d v="1899-12-30T00:02:54"/>
    <d v="1899-12-30T00:09:18"/>
    <n v="0.63519999999999999"/>
    <n v="8.3669999999999994E-3"/>
    <n v="6.352E-3"/>
    <n v="41"/>
    <n v="0.16334661354581673"/>
    <n v="0.8366533864541833"/>
  </r>
  <r>
    <n v="339"/>
    <n v="313"/>
    <n v="0.92330000000000001"/>
    <n v="26"/>
    <d v="1899-12-30T00:00:12"/>
    <d v="1899-12-30T00:02:02"/>
    <d v="1899-12-30T00:06:41"/>
    <n v="0.82089999999999996"/>
    <n v="9.2329999999999999E-3"/>
    <n v="8.2089999999999993E-3"/>
    <n v="26"/>
    <n v="7.6696165191740412E-2"/>
    <n v="0.92330383480825962"/>
  </r>
  <r>
    <n v="323"/>
    <n v="261"/>
    <n v="0.80800000000000005"/>
    <n v="62"/>
    <d v="1899-12-30T00:00:41"/>
    <d v="1899-12-30T00:02:57"/>
    <d v="1899-12-30T00:09:27"/>
    <n v="0.53990000000000005"/>
    <n v="8.0800000000000004E-3"/>
    <n v="5.3990000000000002E-3"/>
    <n v="62"/>
    <n v="0.19195046439628483"/>
    <n v="0.80804953560371517"/>
  </r>
  <r>
    <n v="289"/>
    <n v="265"/>
    <n v="0.91700000000000004"/>
    <n v="24"/>
    <d v="1899-12-30T00:00:11"/>
    <d v="1899-12-30T00:03:00"/>
    <d v="1899-12-30T00:05:42"/>
    <n v="0.8327"/>
    <n v="9.1700000000000011E-3"/>
    <n v="8.3269999999999993E-3"/>
    <n v="24"/>
    <n v="8.3044982698961933E-2"/>
    <n v="0.91695501730103801"/>
  </r>
  <r>
    <n v="310"/>
    <n v="281"/>
    <n v="0.90649999999999997"/>
    <n v="29"/>
    <d v="1899-12-30T00:00:15"/>
    <d v="1899-12-30T00:02:41"/>
    <d v="1899-12-30T00:02:57"/>
    <n v="0.79120000000000001"/>
    <n v="9.0650000000000001E-3"/>
    <n v="7.9120000000000006E-3"/>
    <n v="29"/>
    <n v="9.3548387096774197E-2"/>
    <n v="0.90645161290322585"/>
  </r>
  <r>
    <n v="33"/>
    <n v="31"/>
    <n v="0.93940000000000001"/>
    <n v="2"/>
    <d v="1899-12-30T00:00:14"/>
    <d v="1899-12-30T00:02:53"/>
    <d v="1899-12-30T00:02:07"/>
    <n v="0.84850000000000003"/>
    <n v="9.3939999999999996E-3"/>
    <n v="8.4849999999999995E-3"/>
    <n v="2"/>
    <n v="6.0606060606060608E-2"/>
    <n v="0.93939393939393945"/>
  </r>
  <r>
    <n v="346"/>
    <n v="318"/>
    <n v="0.91910000000000003"/>
    <n v="28"/>
    <d v="1899-12-30T00:00:12"/>
    <d v="1899-12-30T00:02:36"/>
    <d v="1899-12-30T00:03:32"/>
    <n v="0.82489999999999997"/>
    <n v="9.1909999999999995E-3"/>
    <n v="8.2489999999999994E-3"/>
    <n v="28"/>
    <n v="8.0924855491329481E-2"/>
    <n v="0.91907514450867056"/>
  </r>
  <r>
    <n v="325"/>
    <n v="285"/>
    <n v="0.87690000000000001"/>
    <n v="40"/>
    <d v="1899-12-30T00:00:32"/>
    <d v="1899-12-30T00:02:45"/>
    <d v="1899-12-30T00:09:39"/>
    <n v="0.60819999999999996"/>
    <n v="8.7690000000000008E-3"/>
    <n v="6.0819999999999997E-3"/>
    <n v="40"/>
    <n v="0.12307692307692308"/>
    <n v="0.87692307692307692"/>
  </r>
  <r>
    <n v="627"/>
    <n v="504"/>
    <n v="0.80379999999999996"/>
    <n v="123"/>
    <d v="1899-12-30T00:00:37"/>
    <d v="1899-12-30T00:03:20"/>
    <d v="1899-12-30T00:19:42"/>
    <n v="0.56930000000000003"/>
    <n v="8.038E-3"/>
    <n v="5.6930000000000001E-3"/>
    <n v="123"/>
    <n v="0.19617224880382775"/>
    <n v="0.80382775119617222"/>
  </r>
  <r>
    <n v="905"/>
    <n v="631"/>
    <n v="0.69720000000000004"/>
    <n v="274"/>
    <d v="1899-12-30T00:01:23"/>
    <d v="1899-12-30T00:03:42"/>
    <d v="1899-12-30T00:12:04"/>
    <n v="0.25679999999999997"/>
    <n v="6.9720000000000008E-3"/>
    <n v="2.5679999999999995E-3"/>
    <n v="274"/>
    <n v="0.3027624309392265"/>
    <n v="0.6972375690607735"/>
  </r>
  <r>
    <n v="1141"/>
    <n v="610"/>
    <n v="0.53459999999999996"/>
    <n v="531"/>
    <d v="1899-12-30T00:01:46"/>
    <d v="1899-12-30T00:03:12"/>
    <d v="1899-12-30T00:25:51"/>
    <n v="0.14549999999999999"/>
    <n v="5.3460000000000001E-3"/>
    <n v="1.4549999999999999E-3"/>
    <n v="531"/>
    <n v="0.4653812445223488"/>
    <n v="0.53461875547765114"/>
  </r>
  <r>
    <n v="863"/>
    <n v="511"/>
    <n v="0.59209999999999996"/>
    <n v="352"/>
    <d v="1899-12-30T00:02:07"/>
    <d v="1899-12-30T00:03:03"/>
    <d v="1899-12-30T00:15:43"/>
    <n v="0.12130000000000001"/>
    <n v="5.9209999999999992E-3"/>
    <n v="1.2130000000000001E-3"/>
    <n v="352"/>
    <n v="0.40787949015063729"/>
    <n v="0.59212050984936271"/>
  </r>
  <r>
    <n v="63"/>
    <n v="56"/>
    <n v="0.88890000000000002"/>
    <n v="7"/>
    <d v="1899-12-30T00:00:16"/>
    <d v="1899-12-30T00:02:31"/>
    <d v="1899-12-30T00:04:08"/>
    <n v="0.7097"/>
    <n v="8.8890000000000011E-3"/>
    <n v="7.097E-3"/>
    <n v="7"/>
    <n v="0.1111111111111111"/>
    <n v="0.88888888888888884"/>
  </r>
  <r>
    <n v="573"/>
    <n v="487"/>
    <n v="0.84989999999999999"/>
    <n v="86"/>
    <d v="1899-12-30T00:00:56"/>
    <d v="1899-12-30T00:02:45"/>
    <d v="1899-12-30T00:05:43"/>
    <n v="0.34989999999999999"/>
    <n v="8.4989999999999996E-3"/>
    <n v="3.4989999999999999E-3"/>
    <n v="86"/>
    <n v="0.15008726003490402"/>
    <n v="0.84991273996509598"/>
  </r>
  <r>
    <n v="391"/>
    <n v="323"/>
    <n v="0.82609999999999995"/>
    <n v="68"/>
    <d v="1899-12-30T00:00:46"/>
    <d v="1899-12-30T00:03:08"/>
    <d v="1899-12-30T00:08:16"/>
    <n v="0.42709999999999998"/>
    <n v="8.2609999999999992E-3"/>
    <n v="4.2709999999999996E-3"/>
    <n v="68"/>
    <n v="0.17391304347826086"/>
    <n v="0.82608695652173914"/>
  </r>
  <r>
    <n v="526"/>
    <n v="355"/>
    <n v="0.67490000000000006"/>
    <n v="171"/>
    <d v="1899-12-30T00:01:29"/>
    <d v="1899-12-30T00:03:50"/>
    <d v="1899-12-30T00:18:47"/>
    <n v="0.224"/>
    <n v="6.7490000000000007E-3"/>
    <n v="2.2400000000000002E-3"/>
    <n v="171"/>
    <n v="0.32509505703422054"/>
    <n v="0.67490494296577952"/>
  </r>
  <r>
    <n v="343"/>
    <n v="309"/>
    <n v="0.90090000000000003"/>
    <n v="34"/>
    <d v="1899-12-30T00:00:39"/>
    <d v="1899-12-30T00:03:24"/>
    <d v="1899-12-30T00:05:10"/>
    <n v="0.48820000000000002"/>
    <n v="9.0089999999999996E-3"/>
    <n v="4.8820000000000001E-3"/>
    <n v="34"/>
    <n v="9.9125364431486881E-2"/>
    <n v="0.9008746355685131"/>
  </r>
  <r>
    <n v="401"/>
    <n v="346"/>
    <n v="0.86280000000000001"/>
    <n v="55"/>
    <d v="1899-12-30T00:00:41"/>
    <d v="1899-12-30T00:03:13"/>
    <d v="1899-12-30T00:05:10"/>
    <n v="0.44269999999999998"/>
    <n v="8.6280000000000003E-3"/>
    <n v="4.4269999999999995E-3"/>
    <n v="55"/>
    <n v="0.13715710723192021"/>
    <n v="0.86284289276807979"/>
  </r>
  <r>
    <n v="281"/>
    <n v="239"/>
    <n v="0.85050000000000003"/>
    <n v="42"/>
    <d v="1899-12-30T00:00:41"/>
    <d v="1899-12-30T00:03:07"/>
    <d v="1899-12-30T00:03:20"/>
    <n v="0.42549999999999999"/>
    <n v="8.5050000000000004E-3"/>
    <n v="4.2550000000000001E-3"/>
    <n v="42"/>
    <n v="0.1494661921708185"/>
    <n v="0.85053380782918153"/>
  </r>
  <r>
    <n v="46"/>
    <n v="39"/>
    <n v="0.8478"/>
    <n v="7"/>
    <d v="1899-12-30T00:00:11"/>
    <d v="1899-12-30T00:03:09"/>
    <d v="1899-12-30T00:04:09"/>
    <n v="0.80430000000000001"/>
    <n v="8.4779999999999994E-3"/>
    <n v="8.0429999999999998E-3"/>
    <n v="7"/>
    <n v="0.15217391304347827"/>
    <n v="0.84782608695652173"/>
  </r>
  <r>
    <n v="357"/>
    <n v="323"/>
    <n v="0.90480000000000005"/>
    <n v="34"/>
    <d v="1899-12-30T00:00:32"/>
    <d v="1899-12-30T00:03:08"/>
    <d v="1899-12-30T00:07:14"/>
    <n v="0.60909999999999997"/>
    <n v="9.0480000000000005E-3"/>
    <n v="6.0910000000000001E-3"/>
    <n v="34"/>
    <n v="9.5238095238095233E-2"/>
    <n v="0.90476190476190477"/>
  </r>
  <r>
    <n v="280"/>
    <n v="255"/>
    <n v="0.91069999999999995"/>
    <n v="25"/>
    <d v="1899-12-30T00:00:34"/>
    <d v="1899-12-30T00:03:02"/>
    <d v="1899-12-30T00:03:31"/>
    <n v="0.52900000000000003"/>
    <n v="9.1069999999999988E-3"/>
    <n v="5.2900000000000004E-3"/>
    <n v="25"/>
    <n v="8.9285714285714288E-2"/>
    <n v="0.9107142857142857"/>
  </r>
  <r>
    <n v="258"/>
    <n v="247"/>
    <n v="0.95740000000000003"/>
    <n v="11"/>
    <d v="1899-12-30T00:00:25"/>
    <d v="1899-12-30T00:02:57"/>
    <d v="1899-12-30T00:04:12"/>
    <n v="0.70199999999999996"/>
    <n v="9.5740000000000009E-3"/>
    <n v="7.0199999999999993E-3"/>
    <n v="11"/>
    <n v="4.2635658914728682E-2"/>
    <n v="0.95736434108527135"/>
  </r>
  <r>
    <n v="282"/>
    <n v="255"/>
    <n v="0.90429999999999999"/>
    <n v="27"/>
    <d v="1899-12-30T00:00:18"/>
    <d v="1899-12-30T00:02:47"/>
    <d v="1899-12-30T00:04:09"/>
    <n v="0.74729999999999996"/>
    <n v="9.0430000000000007E-3"/>
    <n v="7.4729999999999996E-3"/>
    <n v="27"/>
    <n v="9.5744680851063829E-2"/>
    <n v="0.9042553191489362"/>
  </r>
  <r>
    <n v="253"/>
    <n v="240"/>
    <n v="0.9486"/>
    <n v="13"/>
    <d v="1899-12-30T00:00:18"/>
    <d v="1899-12-30T00:02:41"/>
    <d v="1899-12-30T00:06:11"/>
    <n v="0.752"/>
    <n v="9.4859999999999996E-3"/>
    <n v="7.5199999999999998E-3"/>
    <n v="13"/>
    <n v="5.1383399209486168E-2"/>
    <n v="0.9486166007905138"/>
  </r>
  <r>
    <n v="266"/>
    <n v="232"/>
    <n v="0.87219999999999998"/>
    <n v="34"/>
    <d v="1899-12-30T00:00:37"/>
    <d v="1899-12-30T00:02:49"/>
    <d v="1899-12-30T00:06:11"/>
    <n v="0.57589999999999997"/>
    <n v="8.7220000000000006E-3"/>
    <n v="5.7589999999999994E-3"/>
    <n v="34"/>
    <n v="0.12781954887218044"/>
    <n v="0.8721804511278195"/>
  </r>
  <r>
    <n v="30"/>
    <n v="29"/>
    <n v="0.9667"/>
    <n v="1"/>
    <d v="1899-12-30T00:00:10"/>
    <d v="1899-12-30T00:03:21"/>
    <d v="1899-12-30T00:00:49"/>
    <n v="0.9"/>
    <n v="9.6670000000000002E-3"/>
    <n v="9.0000000000000011E-3"/>
    <n v="1"/>
    <n v="3.3333333333333333E-2"/>
    <n v="0.96666666666666667"/>
  </r>
  <r>
    <n v="258"/>
    <n v="230"/>
    <n v="0.89149999999999996"/>
    <n v="28"/>
    <d v="1899-12-30T00:00:33"/>
    <d v="1899-12-30T00:03:01"/>
    <d v="1899-12-30T00:04:14"/>
    <n v="0.53539999999999999"/>
    <n v="8.9149999999999993E-3"/>
    <n v="5.3540000000000003E-3"/>
    <n v="28"/>
    <n v="0.10852713178294573"/>
    <n v="0.89147286821705429"/>
  </r>
  <r>
    <n v="293"/>
    <n v="282"/>
    <n v="0.96250000000000002"/>
    <n v="11"/>
    <d v="1899-12-30T00:00:23"/>
    <d v="1899-12-30T00:02:39"/>
    <d v="1899-12-30T00:02:38"/>
    <n v="0.70240000000000002"/>
    <n v="9.6249999999999999E-3"/>
    <n v="7.0239999999999999E-3"/>
    <n v="11"/>
    <n v="3.7542662116040959E-2"/>
    <n v="0.96245733788395904"/>
  </r>
  <r>
    <n v="377"/>
    <n v="341"/>
    <n v="0.90449999999999997"/>
    <n v="36"/>
    <d v="1899-12-30T00:00:20"/>
    <d v="1899-12-30T00:02:21"/>
    <d v="1899-12-30T00:03:09"/>
    <n v="0.68279999999999996"/>
    <n v="9.0449999999999992E-3"/>
    <n v="6.8279999999999999E-3"/>
    <n v="36"/>
    <n v="9.5490716180371346E-2"/>
    <n v="0.9045092838196287"/>
  </r>
  <r>
    <n v="196"/>
    <n v="182"/>
    <n v="0.92859999999999998"/>
    <n v="14"/>
    <d v="1899-12-30T00:00:28"/>
    <d v="1899-12-30T00:02:37"/>
    <d v="1899-12-30T00:02:54"/>
    <n v="0.61860000000000004"/>
    <n v="9.2859999999999991E-3"/>
    <n v="6.1860000000000005E-3"/>
    <n v="14"/>
    <n v="7.1428571428571425E-2"/>
    <n v="0.9285714285714286"/>
  </r>
  <r>
    <n v="192"/>
    <n v="173"/>
    <n v="0.90100000000000002"/>
    <n v="19"/>
    <d v="1899-12-30T00:00:33"/>
    <d v="1899-12-30T00:02:44"/>
    <d v="1899-12-30T00:06:39"/>
    <n v="0.61780000000000002"/>
    <n v="9.0100000000000006E-3"/>
    <n v="6.1780000000000003E-3"/>
    <n v="19"/>
    <n v="9.8958333333333329E-2"/>
    <n v="0.90104166666666663"/>
  </r>
  <r>
    <n v="185"/>
    <n v="178"/>
    <n v="0.96220000000000006"/>
    <n v="7"/>
    <d v="1899-12-30T00:00:17"/>
    <d v="1899-12-30T00:02:46"/>
    <d v="1899-12-30T00:03:09"/>
    <n v="0.7772"/>
    <n v="9.6220000000000003E-3"/>
    <n v="7.7720000000000003E-3"/>
    <n v="7"/>
    <n v="3.783783783783784E-2"/>
    <n v="0.96216216216216222"/>
  </r>
  <r>
    <n v="27"/>
    <n v="25"/>
    <n v="0.92589999999999995"/>
    <n v="2"/>
    <d v="1899-12-30T00:00:18"/>
    <d v="1899-12-30T00:02:09"/>
    <d v="1899-12-30T00:03:07"/>
    <n v="0.74070000000000003"/>
    <n v="9.2589999999999999E-3"/>
    <n v="7.4070000000000004E-3"/>
    <n v="2"/>
    <n v="7.407407407407407E-2"/>
    <n v="0.92592592592592593"/>
  </r>
  <r>
    <n v="222"/>
    <n v="214"/>
    <n v="0.96399999999999997"/>
    <n v="8"/>
    <d v="1899-12-30T00:00:18"/>
    <d v="1899-12-30T00:02:57"/>
    <d v="1899-12-30T00:06:12"/>
    <n v="0.74660000000000004"/>
    <n v="9.6399999999999993E-3"/>
    <n v="7.4660000000000004E-3"/>
    <n v="8"/>
    <n v="3.6036036036036036E-2"/>
    <n v="0.963963963963964"/>
  </r>
  <r>
    <n v="217"/>
    <n v="198"/>
    <n v="0.91239999999999999"/>
    <n v="19"/>
    <d v="1899-12-30T00:00:09"/>
    <d v="1899-12-30T00:02:43"/>
    <d v="1899-12-30T00:02:57"/>
    <n v="0.88829999999999998"/>
    <n v="9.1240000000000002E-3"/>
    <n v="8.8830000000000003E-3"/>
    <n v="19"/>
    <n v="8.755760368663594E-2"/>
    <n v="0.9124423963133641"/>
  </r>
  <r>
    <n v="204"/>
    <n v="197"/>
    <n v="0.9657"/>
    <n v="7"/>
    <d v="1899-12-30T00:00:17"/>
    <d v="1899-12-30T00:02:40"/>
    <d v="1899-12-30T00:03:50"/>
    <n v="0.79700000000000004"/>
    <n v="9.6570000000000007E-3"/>
    <n v="7.9699999999999997E-3"/>
    <n v="7"/>
    <n v="3.4313725490196081E-2"/>
    <n v="0.96568627450980393"/>
  </r>
  <r>
    <n v="191"/>
    <n v="181"/>
    <n v="0.9476"/>
    <n v="10"/>
    <d v="1899-12-30T00:00:12"/>
    <d v="1899-12-30T00:02:46"/>
    <d v="1899-12-30T00:04:44"/>
    <n v="0.87229999999999996"/>
    <n v="9.476E-3"/>
    <n v="8.7229999999999999E-3"/>
    <n v="10"/>
    <n v="5.2356020942408377E-2"/>
    <n v="0.94764397905759157"/>
  </r>
  <r>
    <n v="176"/>
    <n v="157"/>
    <n v="0.89200000000000002"/>
    <n v="19"/>
    <d v="1899-12-30T00:00:17"/>
    <d v="1899-12-30T00:02:51"/>
    <d v="1899-12-30T00:04:08"/>
    <n v="0.73529999999999995"/>
    <n v="8.9200000000000008E-3"/>
    <n v="7.3529999999999993E-3"/>
    <n v="19"/>
    <n v="0.10795454545454546"/>
    <n v="0.89204545454545459"/>
  </r>
  <r>
    <n v="176"/>
    <n v="163"/>
    <n v="0.92610000000000003"/>
    <n v="13"/>
    <d v="1899-12-30T00:00:24"/>
    <d v="1899-12-30T00:03:11"/>
    <d v="1899-12-30T00:03:07"/>
    <n v="0.64159999999999995"/>
    <n v="9.2610000000000001E-3"/>
    <n v="6.4159999999999998E-3"/>
    <n v="13"/>
    <n v="7.3863636363636367E-2"/>
    <n v="0.92613636363636365"/>
  </r>
  <r>
    <n v="26"/>
    <n v="26"/>
    <n v="1"/>
    <n v="0"/>
    <d v="1899-12-30T00:00:24"/>
    <d v="1899-12-30T00:03:03"/>
    <d v="1899-12-30T00:01:57"/>
    <n v="0.69230000000000003"/>
    <n v="0.01"/>
    <n v="6.9230000000000003E-3"/>
    <n v="0"/>
    <n v="0"/>
    <n v="1"/>
  </r>
  <r>
    <n v="170"/>
    <n v="167"/>
    <n v="0.98240000000000005"/>
    <n v="3"/>
    <d v="1899-12-30T00:00:16"/>
    <d v="1899-12-30T00:02:47"/>
    <d v="1899-12-30T00:02:08"/>
    <n v="0.79410000000000003"/>
    <n v="9.8240000000000011E-3"/>
    <n v="7.9410000000000001E-3"/>
    <n v="3"/>
    <n v="1.7647058823529412E-2"/>
    <n v="0.98235294117647054"/>
  </r>
  <r>
    <n v="154"/>
    <n v="147"/>
    <n v="0.95450000000000002"/>
    <n v="7"/>
    <d v="1899-12-30T00:00:21"/>
    <d v="1899-12-30T00:03:02"/>
    <d v="1899-12-30T00:03:47"/>
    <n v="0.75160000000000005"/>
    <n v="9.5449999999999997E-3"/>
    <n v="7.5160000000000001E-3"/>
    <n v="7"/>
    <n v="4.5454545454545456E-2"/>
    <n v="0.95454545454545459"/>
  </r>
  <r>
    <n v="165"/>
    <n v="152"/>
    <n v="0.92120000000000002"/>
    <n v="13"/>
    <d v="1899-12-30T00:00:17"/>
    <d v="1899-12-30T00:02:58"/>
    <d v="1899-12-30T00:03:40"/>
    <n v="0.8075"/>
    <n v="9.2119999999999997E-3"/>
    <n v="8.0750000000000006E-3"/>
    <n v="13"/>
    <n v="7.8787878787878782E-2"/>
    <n v="0.92121212121212126"/>
  </r>
  <r>
    <n v="153"/>
    <n v="143"/>
    <n v="0.93459999999999999"/>
    <n v="10"/>
    <d v="1899-12-30T00:00:19"/>
    <d v="1899-12-30T00:03:05"/>
    <d v="1899-12-30T00:03:15"/>
    <n v="0.77629999999999999"/>
    <n v="9.3460000000000001E-3"/>
    <n v="7.7629999999999999E-3"/>
    <n v="10"/>
    <n v="6.535947712418301E-2"/>
    <n v="0.934640522875817"/>
  </r>
  <r>
    <n v="175"/>
    <n v="169"/>
    <n v="0.9657"/>
    <n v="6"/>
    <d v="1899-12-30T00:00:11"/>
    <d v="1899-12-30T00:02:17"/>
    <d v="1899-12-30T00:02:12"/>
    <n v="0.85629999999999995"/>
    <n v="9.6570000000000007E-3"/>
    <n v="8.5629999999999994E-3"/>
    <n v="6"/>
    <n v="3.4285714285714287E-2"/>
    <n v="0.96571428571428575"/>
  </r>
  <r>
    <n v="241"/>
    <n v="214"/>
    <n v="0.88800000000000001"/>
    <n v="27"/>
    <d v="1899-12-30T00:00:29"/>
    <d v="1899-12-30T00:03:00"/>
    <d v="1899-12-30T00:14:33"/>
    <n v="0.6623"/>
    <n v="8.8800000000000007E-3"/>
    <n v="6.6230000000000004E-3"/>
    <n v="27"/>
    <n v="0.11203319502074689"/>
    <n v="0.88796680497925307"/>
  </r>
  <r>
    <n v="14"/>
    <n v="14"/>
    <n v="1"/>
    <n v="0"/>
    <d v="1899-12-30T00:00:16"/>
    <d v="1899-12-30T00:02:46"/>
    <d v="1899-12-30T00:01:27"/>
    <n v="0.85709999999999997"/>
    <n v="0.01"/>
    <n v="8.5710000000000005E-3"/>
    <n v="0"/>
    <n v="0"/>
    <n v="1"/>
  </r>
  <r>
    <n v="57"/>
    <n v="55"/>
    <n v="0.96489999999999998"/>
    <n v="2"/>
    <d v="1899-12-30T00:00:12"/>
    <d v="1899-12-30T00:02:35"/>
    <d v="1899-12-30T00:02:07"/>
    <n v="0.85960000000000003"/>
    <n v="9.6489999999999996E-3"/>
    <n v="8.5959999999999995E-3"/>
    <n v="2"/>
    <n v="3.5087719298245612E-2"/>
    <n v="0.96491228070175439"/>
  </r>
  <r>
    <n v="954"/>
    <n v="644"/>
    <n v="0.67510000000000003"/>
    <n v="310"/>
    <d v="1899-12-30T00:01:14"/>
    <d v="1899-12-30T00:02:05"/>
    <d v="1899-12-30T00:11:12"/>
    <n v="0.26329999999999998"/>
    <n v="6.7510000000000001E-3"/>
    <n v="2.6329999999999999E-3"/>
    <n v="310"/>
    <n v="0.3249475890985325"/>
    <n v="0.6750524109014675"/>
  </r>
  <r>
    <n v="374"/>
    <n v="344"/>
    <n v="0.91979999999999995"/>
    <n v="30"/>
    <d v="1899-12-30T00:00:28"/>
    <d v="1899-12-30T00:03:03"/>
    <d v="1899-12-30T00:08:52"/>
    <n v="0.61850000000000005"/>
    <n v="9.1979999999999996E-3"/>
    <n v="6.1850000000000004E-3"/>
    <n v="30"/>
    <n v="8.0213903743315509E-2"/>
    <n v="0.9197860962566845"/>
  </r>
  <r>
    <n v="265"/>
    <n v="245"/>
    <n v="0.92449999999999999"/>
    <n v="20"/>
    <d v="1899-12-30T00:00:31"/>
    <d v="1899-12-30T00:03:05"/>
    <d v="1899-12-30T00:03:21"/>
    <n v="0.56699999999999995"/>
    <n v="9.2449999999999997E-3"/>
    <n v="5.6699999999999997E-3"/>
    <n v="20"/>
    <n v="7.5471698113207544E-2"/>
    <n v="0.92452830188679247"/>
  </r>
  <r>
    <n v="222"/>
    <n v="205"/>
    <n v="0.9234"/>
    <n v="17"/>
    <d v="1899-12-30T00:00:20"/>
    <d v="1899-12-30T00:03:12"/>
    <d v="1899-12-30T00:02:10"/>
    <n v="0.72689999999999999"/>
    <n v="9.2339999999999992E-3"/>
    <n v="7.2690000000000003E-3"/>
    <n v="17"/>
    <n v="7.6576576576576572E-2"/>
    <n v="0.92342342342342343"/>
  </r>
  <r>
    <n v="203"/>
    <n v="192"/>
    <n v="0.94579999999999997"/>
    <n v="11"/>
    <d v="1899-12-30T00:00:27"/>
    <d v="1899-12-30T00:03:04"/>
    <d v="1899-12-30T00:04:07"/>
    <n v="0.68659999999999999"/>
    <n v="9.4579999999999994E-3"/>
    <n v="6.8659999999999997E-3"/>
    <n v="11"/>
    <n v="5.4187192118226604E-2"/>
    <n v="0.94581280788177335"/>
  </r>
  <r>
    <n v="33"/>
    <n v="31"/>
    <n v="0.93940000000000001"/>
    <n v="2"/>
    <d v="1899-12-30T00:00:29"/>
    <d v="1899-12-30T00:02:15"/>
    <d v="1899-12-30T00:05:43"/>
    <n v="0.78129999999999999"/>
    <n v="9.3939999999999996E-3"/>
    <n v="7.8130000000000005E-3"/>
    <n v="2"/>
    <n v="6.0606060606060608E-2"/>
    <n v="0.93939393939393945"/>
  </r>
  <r>
    <n v="220"/>
    <n v="195"/>
    <n v="0.88639999999999997"/>
    <n v="25"/>
    <d v="1899-12-30T00:00:28"/>
    <d v="1899-12-30T00:02:45"/>
    <d v="1899-12-30T00:03:06"/>
    <n v="0.59619999999999995"/>
    <n v="8.8640000000000004E-3"/>
    <n v="5.9619999999999994E-3"/>
    <n v="25"/>
    <n v="0.11363636363636363"/>
    <n v="0.88636363636363635"/>
  </r>
  <r>
    <n v="185"/>
    <n v="177"/>
    <n v="0.95679999999999998"/>
    <n v="8"/>
    <d v="1899-12-30T00:00:16"/>
    <d v="1899-12-30T00:02:33"/>
    <d v="1899-12-30T00:03:08"/>
    <n v="0.80110000000000003"/>
    <n v="9.5680000000000001E-3"/>
    <n v="8.0110000000000008E-3"/>
    <n v="8"/>
    <n v="4.3243243243243246E-2"/>
    <n v="0.95675675675675675"/>
  </r>
  <r>
    <n v="203"/>
    <n v="172"/>
    <n v="0.84730000000000005"/>
    <n v="31"/>
    <d v="1899-12-30T00:00:34"/>
    <d v="1899-12-30T00:02:53"/>
    <d v="1899-12-30T00:05:06"/>
    <n v="0.52790000000000004"/>
    <n v="8.4730000000000014E-3"/>
    <n v="5.2790000000000007E-3"/>
    <n v="31"/>
    <n v="0.15270935960591134"/>
    <n v="0.84729064039408863"/>
  </r>
  <r>
    <n v="218"/>
    <n v="193"/>
    <n v="0.88529999999999998"/>
    <n v="25"/>
    <d v="1899-12-30T00:00:34"/>
    <d v="1899-12-30T00:02:58"/>
    <d v="1899-12-30T00:07:34"/>
    <n v="0.61970000000000003"/>
    <n v="8.8529999999999998E-3"/>
    <n v="6.1970000000000003E-3"/>
    <n v="25"/>
    <n v="0.11467889908256881"/>
    <n v="0.88532110091743121"/>
  </r>
  <r>
    <n v="204"/>
    <n v="194"/>
    <n v="0.95099999999999996"/>
    <n v="10"/>
    <d v="1899-12-30T00:00:16"/>
    <d v="1899-12-30T00:02:52"/>
    <d v="1899-12-30T00:03:06"/>
    <n v="0.81310000000000004"/>
    <n v="9.5099999999999994E-3"/>
    <n v="8.1310000000000011E-3"/>
    <n v="10"/>
    <n v="4.9019607843137254E-2"/>
    <n v="0.9509803921568627"/>
  </r>
  <r>
    <n v="242"/>
    <n v="211"/>
    <n v="0.87190000000000001"/>
    <n v="31"/>
    <d v="1899-12-30T00:00:44"/>
    <d v="1899-12-30T00:02:57"/>
    <d v="1899-12-30T00:06:08"/>
    <n v="0.47699999999999998"/>
    <n v="8.7189999999999993E-3"/>
    <n v="4.7699999999999999E-3"/>
    <n v="31"/>
    <n v="0.128099173553719"/>
    <n v="0.87190082644628097"/>
  </r>
  <r>
    <n v="29"/>
    <n v="29"/>
    <n v="1"/>
    <n v="0"/>
    <d v="1899-12-30T00:00:08"/>
    <d v="1899-12-30T00:02:40"/>
    <d v="1899-12-30T00:00:44"/>
    <n v="0.89659999999999995"/>
    <n v="0.01"/>
    <n v="8.966E-3"/>
    <n v="0"/>
    <n v="0"/>
    <n v="1"/>
  </r>
  <r>
    <n v="171"/>
    <n v="163"/>
    <n v="0.95320000000000005"/>
    <n v="8"/>
    <d v="1899-12-30T00:00:24"/>
    <d v="1899-12-30T00:02:58"/>
    <d v="1899-12-30T00:03:19"/>
    <n v="0.69230000000000003"/>
    <n v="9.5320000000000005E-3"/>
    <n v="6.9230000000000003E-3"/>
    <n v="8"/>
    <n v="4.6783625730994149E-2"/>
    <n v="0.95321637426900585"/>
  </r>
  <r>
    <n v="190"/>
    <n v="166"/>
    <n v="0.87370000000000003"/>
    <n v="24"/>
    <d v="1899-12-30T00:00:46"/>
    <d v="1899-12-30T00:02:59"/>
    <d v="1899-12-30T00:09:20"/>
    <n v="0.42249999999999999"/>
    <n v="8.737E-3"/>
    <n v="4.2249999999999996E-3"/>
    <n v="24"/>
    <n v="0.12631578947368421"/>
    <n v="0.87368421052631584"/>
  </r>
  <r>
    <n v="221"/>
    <n v="196"/>
    <n v="0.88690000000000002"/>
    <n v="25"/>
    <d v="1899-12-30T00:00:33"/>
    <d v="1899-12-30T00:02:57"/>
    <d v="1899-12-30T00:05:25"/>
    <n v="0.53669999999999995"/>
    <n v="8.8690000000000001E-3"/>
    <n v="5.3669999999999994E-3"/>
    <n v="25"/>
    <n v="0.11312217194570136"/>
    <n v="0.8868778280542986"/>
  </r>
  <r>
    <n v="297"/>
    <n v="241"/>
    <n v="0.81140000000000001"/>
    <n v="56"/>
    <d v="1899-12-30T00:00:49"/>
    <d v="1899-12-30T00:03:11"/>
    <d v="1899-12-30T00:06:52"/>
    <n v="0.44829999999999998"/>
    <n v="8.1139999999999997E-3"/>
    <n v="4.483E-3"/>
    <n v="56"/>
    <n v="0.18855218855218855"/>
    <n v="0.81144781144781142"/>
  </r>
  <r>
    <n v="233"/>
    <n v="214"/>
    <n v="0.91849999999999998"/>
    <n v="19"/>
    <d v="1899-12-30T00:00:26"/>
    <d v="1899-12-30T00:02:49"/>
    <d v="1899-12-30T00:03:53"/>
    <n v="0.625"/>
    <n v="9.1850000000000005E-3"/>
    <n v="6.2500000000000003E-3"/>
    <n v="19"/>
    <n v="8.15450643776824E-2"/>
    <n v="0.91845493562231761"/>
  </r>
  <r>
    <n v="198"/>
    <n v="191"/>
    <n v="0.96460000000000001"/>
    <n v="7"/>
    <d v="1899-12-30T00:00:14"/>
    <d v="1899-12-30T00:03:01"/>
    <d v="1899-12-30T00:02:09"/>
    <n v="0.82740000000000002"/>
    <n v="9.6460000000000001E-3"/>
    <n v="8.2740000000000001E-3"/>
    <n v="7"/>
    <n v="3.5353535353535352E-2"/>
    <n v="0.96464646464646464"/>
  </r>
  <r>
    <n v="15"/>
    <n v="15"/>
    <n v="1"/>
    <n v="0"/>
    <d v="1899-12-30T00:00:04"/>
    <d v="1899-12-30T00:03:19"/>
    <d v="1899-12-30T00:00:14"/>
    <n v="1"/>
    <n v="0.01"/>
    <n v="0.01"/>
    <n v="0"/>
    <n v="0"/>
    <n v="1"/>
  </r>
  <r>
    <n v="27"/>
    <n v="25"/>
    <n v="0.92589999999999995"/>
    <n v="2"/>
    <d v="1899-12-30T00:00:08"/>
    <d v="1899-12-30T00:02:34"/>
    <d v="1899-12-30T00:02:04"/>
    <n v="0.88890000000000002"/>
    <n v="9.2589999999999999E-3"/>
    <n v="8.8890000000000011E-3"/>
    <n v="2"/>
    <n v="7.407407407407407E-2"/>
    <n v="0.92592592592592593"/>
  </r>
  <r>
    <n v="7"/>
    <n v="6"/>
    <n v="0.85709999999999997"/>
    <n v="1"/>
    <d v="1899-12-30T00:00:03"/>
    <d v="1899-12-30T00:04:48"/>
    <d v="1899-12-30T00:00:31"/>
    <n v="0.85709999999999997"/>
    <n v="8.5710000000000005E-3"/>
    <n v="8.5710000000000005E-3"/>
    <n v="1"/>
    <n v="0.14285714285714285"/>
    <n v="0.8571428571428571"/>
  </r>
  <r>
    <n v="169"/>
    <n v="144"/>
    <n v="0.85209999999999997"/>
    <n v="25"/>
    <d v="1899-12-30T00:00:33"/>
    <d v="1899-12-30T00:02:36"/>
    <d v="1899-12-30T00:08:31"/>
    <n v="0.56359999999999999"/>
    <n v="8.5209999999999991E-3"/>
    <n v="5.6359999999999995E-3"/>
    <n v="25"/>
    <n v="0.14792899408284024"/>
    <n v="0.85207100591715978"/>
  </r>
  <r>
    <n v="224"/>
    <n v="206"/>
    <n v="0.91959999999999997"/>
    <n v="18"/>
    <d v="1899-12-30T00:00:20"/>
    <d v="1899-12-30T00:02:35"/>
    <d v="1899-12-30T00:02:26"/>
    <n v="0.70720000000000005"/>
    <n v="9.1959999999999993E-3"/>
    <n v="7.0720000000000002E-3"/>
    <n v="18"/>
    <n v="8.0357142857142863E-2"/>
    <n v="0.9196428571428571"/>
  </r>
  <r>
    <n v="170"/>
    <n v="160"/>
    <n v="0.94120000000000004"/>
    <n v="10"/>
    <d v="1899-12-30T00:00:28"/>
    <d v="1899-12-30T00:03:01"/>
    <d v="1899-12-30T00:05:10"/>
    <n v="0.62350000000000005"/>
    <n v="9.4120000000000002E-3"/>
    <n v="6.235000000000001E-3"/>
    <n v="10"/>
    <n v="5.8823529411764705E-2"/>
    <n v="0.94117647058823528"/>
  </r>
  <r>
    <n v="161"/>
    <n v="149"/>
    <n v="0.92549999999999999"/>
    <n v="12"/>
    <d v="1899-12-30T00:00:24"/>
    <d v="1899-12-30T00:03:08"/>
    <d v="1899-12-30T00:02:34"/>
    <n v="0.68130000000000002"/>
    <n v="9.2549999999999993E-3"/>
    <n v="6.8130000000000005E-3"/>
    <n v="12"/>
    <n v="7.4534161490683232E-2"/>
    <n v="0.92546583850931674"/>
  </r>
  <r>
    <n v="37"/>
    <n v="35"/>
    <n v="0.94589999999999996"/>
    <n v="2"/>
    <d v="1899-12-30T00:00:12"/>
    <d v="1899-12-30T00:02:48"/>
    <d v="1899-12-30T00:01:03"/>
    <n v="0.80559999999999998"/>
    <n v="9.4590000000000004E-3"/>
    <n v="8.0560000000000007E-3"/>
    <n v="2"/>
    <n v="5.4054054054054057E-2"/>
    <n v="0.94594594594594594"/>
  </r>
  <r>
    <n v="183"/>
    <n v="169"/>
    <n v="0.92349999999999999"/>
    <n v="14"/>
    <d v="1899-12-30T00:00:32"/>
    <d v="1899-12-30T00:02:58"/>
    <d v="1899-12-30T00:04:28"/>
    <n v="0.59889999999999999"/>
    <n v="9.2350000000000002E-3"/>
    <n v="5.9889999999999995E-3"/>
    <n v="14"/>
    <n v="7.650273224043716E-2"/>
    <n v="0.92349726775956287"/>
  </r>
  <r>
    <n v="221"/>
    <n v="206"/>
    <n v="0.93210000000000004"/>
    <n v="15"/>
    <d v="1899-12-30T00:00:30"/>
    <d v="1899-12-30T00:02:54"/>
    <d v="1899-12-30T00:04:23"/>
    <n v="0.58179999999999998"/>
    <n v="9.3210000000000012E-3"/>
    <n v="5.8180000000000003E-3"/>
    <n v="15"/>
    <n v="6.7873303167420809E-2"/>
    <n v="0.9321266968325792"/>
  </r>
  <r>
    <n v="202"/>
    <n v="193"/>
    <n v="0.95540000000000003"/>
    <n v="9"/>
    <d v="1899-12-30T00:00:18"/>
    <d v="1899-12-30T00:02:53"/>
    <d v="1899-12-30T00:02:48"/>
    <n v="0.75380000000000003"/>
    <n v="9.554E-3"/>
    <n v="7.5380000000000004E-3"/>
    <n v="9"/>
    <n v="4.4554455445544552E-2"/>
    <n v="0.95544554455445541"/>
  </r>
  <r>
    <n v="193"/>
    <n v="163"/>
    <n v="0.84460000000000002"/>
    <n v="30"/>
    <d v="1899-12-30T00:00:36"/>
    <d v="1899-12-30T00:03:12"/>
    <d v="1899-12-30T00:05:12"/>
    <n v="0.53400000000000003"/>
    <n v="8.4460000000000004E-3"/>
    <n v="5.3400000000000001E-3"/>
    <n v="30"/>
    <n v="0.15544041450777202"/>
    <n v="0.84455958549222798"/>
  </r>
  <r>
    <n v="201"/>
    <n v="196"/>
    <n v="0.97509999999999997"/>
    <n v="5"/>
    <d v="1899-12-30T00:00:10"/>
    <d v="1899-12-30T00:02:43"/>
    <d v="1899-12-30T00:02:32"/>
    <n v="0.89"/>
    <n v="9.7509999999999993E-3"/>
    <n v="8.8999999999999999E-3"/>
    <n v="5"/>
    <n v="2.4875621890547265E-2"/>
    <n v="0.97512437810945274"/>
  </r>
  <r>
    <n v="193"/>
    <n v="180"/>
    <n v="0.93259999999999998"/>
    <n v="13"/>
    <d v="1899-12-30T00:00:21"/>
    <d v="1899-12-30T00:02:42"/>
    <d v="1899-12-30T00:03:17"/>
    <n v="0.73160000000000003"/>
    <n v="9.3259999999999992E-3"/>
    <n v="7.3160000000000005E-3"/>
    <n v="13"/>
    <n v="6.7357512953367879E-2"/>
    <n v="0.93264248704663211"/>
  </r>
  <r>
    <n v="27"/>
    <n v="25"/>
    <n v="0.92589999999999995"/>
    <n v="2"/>
    <d v="1899-12-30T00:00:25"/>
    <d v="1899-12-30T00:02:03"/>
    <d v="1899-12-30T00:02:07"/>
    <n v="0.66669999999999996"/>
    <n v="9.2589999999999999E-3"/>
    <n v="6.6669999999999993E-3"/>
    <n v="2"/>
    <n v="7.407407407407407E-2"/>
    <n v="0.92592592592592593"/>
  </r>
  <r>
    <n v="227"/>
    <n v="206"/>
    <n v="0.90749999999999997"/>
    <n v="21"/>
    <d v="1899-12-30T00:00:29"/>
    <d v="1899-12-30T00:03:01"/>
    <d v="1899-12-30T00:04:26"/>
    <n v="0.66669999999999996"/>
    <n v="9.0749999999999997E-3"/>
    <n v="6.6669999999999993E-3"/>
    <n v="21"/>
    <n v="9.2511013215859028E-2"/>
    <n v="0.90748898678414092"/>
  </r>
  <r>
    <n v="225"/>
    <n v="199"/>
    <n v="0.88439999999999996"/>
    <n v="26"/>
    <d v="1899-12-30T00:00:35"/>
    <d v="1899-12-30T00:02:58"/>
    <d v="1899-12-30T00:05:19"/>
    <n v="0.52680000000000005"/>
    <n v="8.8439999999999994E-3"/>
    <n v="5.2680000000000001E-3"/>
    <n v="26"/>
    <n v="0.11555555555555555"/>
    <n v="0.88444444444444448"/>
  </r>
  <r>
    <n v="204"/>
    <n v="193"/>
    <n v="0.94610000000000005"/>
    <n v="11"/>
    <d v="1899-12-30T00:00:33"/>
    <d v="1899-12-30T00:02:39"/>
    <d v="1899-12-30T00:05:21"/>
    <n v="0.58819999999999995"/>
    <n v="9.4610000000000007E-3"/>
    <n v="5.8819999999999992E-3"/>
    <n v="11"/>
    <n v="5.3921568627450983E-2"/>
    <n v="0.94607843137254899"/>
  </r>
  <r>
    <n v="221"/>
    <n v="194"/>
    <n v="0.87780000000000002"/>
    <n v="27"/>
    <d v="1899-12-30T00:00:29"/>
    <d v="1899-12-30T00:02:48"/>
    <d v="1899-12-30T00:05:05"/>
    <n v="0.60729999999999995"/>
    <n v="8.7780000000000011E-3"/>
    <n v="6.0729999999999994E-3"/>
    <n v="27"/>
    <n v="0.12217194570135746"/>
    <n v="0.87782805429864252"/>
  </r>
  <r>
    <n v="172"/>
    <n v="154"/>
    <n v="0.89529999999999998"/>
    <n v="18"/>
    <d v="1899-12-30T00:00:34"/>
    <d v="1899-12-30T00:03:09"/>
    <d v="1899-12-30T00:03:06"/>
    <n v="0.54169999999999996"/>
    <n v="8.9529999999999992E-3"/>
    <n v="5.4169999999999999E-3"/>
    <n v="18"/>
    <n v="0.10465116279069768"/>
    <n v="0.89534883720930236"/>
  </r>
  <r>
    <n v="161"/>
    <n v="150"/>
    <n v="0.93169999999999997"/>
    <n v="11"/>
    <d v="1899-12-30T00:00:36"/>
    <d v="1899-12-30T00:02:51"/>
    <d v="1899-12-30T00:05:53"/>
    <n v="0.52800000000000002"/>
    <n v="9.3169999999999989E-3"/>
    <n v="5.28E-3"/>
    <n v="11"/>
    <n v="6.8322981366459631E-2"/>
    <n v="0.93167701863354035"/>
  </r>
  <r>
    <n v="17"/>
    <n v="14"/>
    <n v="0.82350000000000001"/>
    <n v="3"/>
    <d v="1899-12-30T00:00:47"/>
    <d v="1899-12-30T00:03:08"/>
    <d v="1899-12-30T00:02:52"/>
    <n v="0.4118"/>
    <n v="8.2349999999999993E-3"/>
    <n v="4.1180000000000001E-3"/>
    <n v="3"/>
    <n v="0.17647058823529413"/>
    <n v="0.82352941176470584"/>
  </r>
  <r>
    <n v="168"/>
    <n v="145"/>
    <n v="0.86309999999999998"/>
    <n v="23"/>
    <d v="1899-12-30T00:00:38"/>
    <d v="1899-12-30T00:02:57"/>
    <d v="1899-12-30T00:04:08"/>
    <n v="0.50609999999999999"/>
    <n v="8.6309999999999998E-3"/>
    <n v="5.0609999999999995E-3"/>
    <n v="23"/>
    <n v="0.13690476190476192"/>
    <n v="0.86309523809523814"/>
  </r>
  <r>
    <n v="160"/>
    <n v="142"/>
    <n v="0.88749999999999996"/>
    <n v="18"/>
    <d v="1899-12-30T00:00:33"/>
    <d v="1899-12-30T00:02:44"/>
    <d v="1899-12-30T00:09:18"/>
    <n v="0.54139999999999999"/>
    <n v="8.8749999999999992E-3"/>
    <n v="5.4139999999999995E-3"/>
    <n v="18"/>
    <n v="0.1125"/>
    <n v="0.88749999999999996"/>
  </r>
  <r>
    <n v="185"/>
    <n v="159"/>
    <n v="0.85950000000000004"/>
    <n v="26"/>
    <d v="1899-12-30T00:00:41"/>
    <d v="1899-12-30T00:02:56"/>
    <d v="1899-12-30T00:05:43"/>
    <n v="0.42699999999999999"/>
    <n v="8.5950000000000002E-3"/>
    <n v="4.2699999999999995E-3"/>
    <n v="26"/>
    <n v="0.14054054054054055"/>
    <n v="0.85945945945945945"/>
  </r>
  <r>
    <n v="155"/>
    <n v="146"/>
    <n v="0.94189999999999996"/>
    <n v="9"/>
    <d v="1899-12-30T00:00:28"/>
    <d v="1899-12-30T00:02:49"/>
    <d v="1899-12-30T00:03:27"/>
    <n v="0.65159999999999996"/>
    <n v="9.4190000000000003E-3"/>
    <n v="6.5159999999999992E-3"/>
    <n v="9"/>
    <n v="5.8064516129032261E-2"/>
    <n v="0.9419354838709677"/>
  </r>
  <r>
    <n v="188"/>
    <n v="172"/>
    <n v="0.91490000000000005"/>
    <n v="16"/>
    <d v="1899-12-30T00:00:28"/>
    <d v="1899-12-30T00:02:39"/>
    <d v="1899-12-30T00:03:04"/>
    <n v="0.5978"/>
    <n v="9.1490000000000009E-3"/>
    <n v="5.9779999999999998E-3"/>
    <n v="16"/>
    <n v="8.5106382978723402E-2"/>
    <n v="0.91489361702127658"/>
  </r>
  <r>
    <n v="152"/>
    <n v="120"/>
    <n v="0.78949999999999998"/>
    <n v="32"/>
    <d v="1899-12-30T00:00:29"/>
    <d v="1899-12-30T00:02:54"/>
    <d v="1899-12-30T00:06:35"/>
    <n v="0.53059999999999996"/>
    <n v="7.8949999999999992E-3"/>
    <n v="5.306E-3"/>
    <n v="32"/>
    <n v="0.21052631578947367"/>
    <n v="0.78947368421052633"/>
  </r>
  <r>
    <n v="26"/>
    <n v="26"/>
    <n v="1"/>
    <n v="0"/>
    <d v="1899-12-30T00:00:17"/>
    <d v="1899-12-30T00:03:01"/>
    <d v="1899-12-30T00:01:18"/>
    <n v="0.80769999999999997"/>
    <n v="0.01"/>
    <n v="8.0769999999999991E-3"/>
    <n v="0"/>
    <n v="0"/>
    <n v="1"/>
  </r>
  <r>
    <n v="152"/>
    <n v="140"/>
    <n v="0.92110000000000003"/>
    <n v="12"/>
    <d v="1899-12-30T00:00:21"/>
    <d v="1899-12-30T00:02:58"/>
    <d v="1899-12-30T00:06:40"/>
    <n v="0.70669999999999999"/>
    <n v="9.2110000000000004E-3"/>
    <n v="7.0670000000000004E-3"/>
    <n v="12"/>
    <n v="7.8947368421052627E-2"/>
    <n v="0.92105263157894735"/>
  </r>
  <r>
    <n v="130"/>
    <n v="125"/>
    <n v="0.96150000000000002"/>
    <n v="5"/>
    <d v="1899-12-30T00:00:08"/>
    <d v="1899-12-30T00:02:39"/>
    <d v="1899-12-30T00:01:02"/>
    <n v="0.92"/>
    <n v="9.6150000000000003E-3"/>
    <n v="9.1999999999999998E-3"/>
    <n v="5"/>
    <n v="3.8461538461538464E-2"/>
    <n v="0.96153846153846156"/>
  </r>
  <r>
    <n v="191"/>
    <n v="187"/>
    <n v="0.97909999999999997"/>
    <n v="4"/>
    <d v="1899-12-30T00:00:18"/>
    <d v="1899-12-30T00:02:33"/>
    <d v="1899-12-30T00:02:53"/>
    <n v="0.83069999999999999"/>
    <n v="9.7909999999999994E-3"/>
    <n v="8.3070000000000001E-3"/>
    <n v="4"/>
    <n v="2.0942408376963352E-2"/>
    <n v="0.97905759162303663"/>
  </r>
  <r>
    <n v="254"/>
    <n v="227"/>
    <n v="0.89370000000000005"/>
    <n v="27"/>
    <d v="1899-12-30T00:00:33"/>
    <d v="1899-12-30T00:02:57"/>
    <d v="1899-12-30T00:04:35"/>
    <n v="0.56569999999999998"/>
    <n v="8.9370000000000005E-3"/>
    <n v="5.6569999999999997E-3"/>
    <n v="27"/>
    <n v="0.1062992125984252"/>
    <n v="0.89370078740157477"/>
  </r>
  <r>
    <n v="213"/>
    <n v="188"/>
    <n v="0.88260000000000005"/>
    <n v="25"/>
    <d v="1899-12-30T00:00:30"/>
    <d v="1899-12-30T00:02:52"/>
    <d v="1899-12-30T00:05:10"/>
    <n v="0.54810000000000003"/>
    <n v="8.8260000000000005E-3"/>
    <n v="5.4810000000000006E-3"/>
    <n v="25"/>
    <n v="0.11737089201877934"/>
    <n v="0.88262910798122063"/>
  </r>
  <r>
    <n v="176"/>
    <n v="151"/>
    <n v="0.85799999999999998"/>
    <n v="25"/>
    <d v="1899-12-30T00:00:32"/>
    <d v="1899-12-30T00:02:45"/>
    <d v="1899-12-30T00:06:12"/>
    <n v="0.5575"/>
    <n v="8.5799999999999991E-3"/>
    <n v="5.5750000000000001E-3"/>
    <n v="25"/>
    <n v="0.14204545454545456"/>
    <n v="0.85795454545454541"/>
  </r>
  <r>
    <n v="61"/>
    <n v="59"/>
    <n v="0.96719999999999995"/>
    <n v="2"/>
    <d v="1899-12-30T00:00:16"/>
    <d v="1899-12-30T00:01:31"/>
    <d v="1899-12-30T00:03:06"/>
    <n v="0.80330000000000001"/>
    <n v="9.672E-3"/>
    <n v="8.0330000000000002E-3"/>
    <n v="2"/>
    <n v="3.2786885245901641E-2"/>
    <n v="0.96721311475409832"/>
  </r>
  <r>
    <n v="166"/>
    <n v="154"/>
    <n v="0.92769999999999997"/>
    <n v="12"/>
    <d v="1899-12-30T00:00:28"/>
    <d v="1899-12-30T00:02:56"/>
    <d v="1899-12-30T00:03:16"/>
    <n v="0.61819999999999997"/>
    <n v="9.2770000000000005E-3"/>
    <n v="6.182E-3"/>
    <n v="12"/>
    <n v="7.2289156626506021E-2"/>
    <n v="0.92771084337349397"/>
  </r>
  <r>
    <n v="191"/>
    <n v="172"/>
    <n v="0.90049999999999997"/>
    <n v="19"/>
    <d v="1899-12-30T00:00:21"/>
    <d v="1899-12-30T00:02:40"/>
    <d v="1899-12-30T00:03:23"/>
    <n v="0.73770000000000002"/>
    <n v="9.0049999999999991E-3"/>
    <n v="7.3769999999999999E-3"/>
    <n v="19"/>
    <n v="9.947643979057591E-2"/>
    <n v="0.90052356020942403"/>
  </r>
  <r>
    <n v="171"/>
    <n v="157"/>
    <n v="0.91810000000000003"/>
    <n v="14"/>
    <d v="1899-12-30T00:00:19"/>
    <d v="1899-12-30T00:02:34"/>
    <d v="1899-12-30T00:02:07"/>
    <n v="0.72619999999999996"/>
    <n v="9.1809999999999999E-3"/>
    <n v="7.2619999999999994E-3"/>
    <n v="14"/>
    <n v="8.1871345029239762E-2"/>
    <n v="0.91812865497076024"/>
  </r>
  <r>
    <n v="153"/>
    <n v="124"/>
    <n v="0.8105"/>
    <n v="29"/>
    <d v="1899-12-30T00:00:50"/>
    <d v="1899-12-30T00:03:04"/>
    <d v="1899-12-30T00:06:01"/>
    <n v="0.45329999999999998"/>
    <n v="8.1049999999999994E-3"/>
    <n v="4.5329999999999997E-3"/>
    <n v="29"/>
    <n v="0.18954248366013071"/>
    <n v="0.81045751633986929"/>
  </r>
  <r>
    <n v="183"/>
    <n v="158"/>
    <n v="0.86339999999999995"/>
    <n v="25"/>
    <d v="1899-12-30T00:00:33"/>
    <d v="1899-12-30T00:02:52"/>
    <d v="1899-12-30T00:05:10"/>
    <n v="0.51910000000000001"/>
    <n v="8.6339999999999993E-3"/>
    <n v="5.1910000000000003E-3"/>
    <n v="25"/>
    <n v="0.13661202185792351"/>
    <n v="0.86338797814207646"/>
  </r>
  <r>
    <n v="14"/>
    <n v="14"/>
    <n v="1"/>
    <n v="0"/>
    <d v="1899-12-30T00:00:15"/>
    <d v="1899-12-30T00:03:43"/>
    <d v="1899-12-30T00:01:32"/>
    <n v="0.85709999999999997"/>
    <n v="0.01"/>
    <n v="8.5710000000000005E-3"/>
    <n v="0"/>
    <n v="0"/>
    <n v="1"/>
  </r>
  <r>
    <n v="18"/>
    <n v="18"/>
    <n v="1"/>
    <n v="0"/>
    <d v="1899-12-30T00:00:03"/>
    <d v="1899-12-30T00:02:56"/>
    <d v="1899-12-30T00:00:06"/>
    <n v="1"/>
    <n v="0.01"/>
    <n v="0.01"/>
    <n v="0"/>
    <n v="0"/>
    <n v="1"/>
  </r>
  <r>
    <n v="159"/>
    <n v="148"/>
    <n v="0.93079999999999996"/>
    <n v="11"/>
    <d v="1899-12-30T00:00:22"/>
    <d v="1899-12-30T00:02:36"/>
    <d v="1899-12-30T00:03:15"/>
    <n v="0.69430000000000003"/>
    <n v="9.3080000000000003E-3"/>
    <n v="6.9430000000000004E-3"/>
    <n v="11"/>
    <n v="6.9182389937106917E-2"/>
    <n v="0.9308176100628931"/>
  </r>
  <r>
    <n v="143"/>
    <n v="134"/>
    <n v="0.93710000000000004"/>
    <n v="9"/>
    <d v="1899-12-30T00:00:22"/>
    <d v="1899-12-30T00:02:51"/>
    <d v="1899-12-30T00:05:10"/>
    <n v="0.74099999999999999"/>
    <n v="9.3710000000000009E-3"/>
    <n v="7.4099999999999999E-3"/>
    <n v="9"/>
    <n v="6.2937062937062943E-2"/>
    <n v="0.93706293706293708"/>
  </r>
  <r>
    <n v="195"/>
    <n v="175"/>
    <n v="0.89739999999999998"/>
    <n v="20"/>
    <d v="1899-12-30T00:00:29"/>
    <d v="1899-12-30T00:02:47"/>
    <d v="1899-12-30T00:04:11"/>
    <n v="0.61580000000000001"/>
    <n v="8.9739999999999993E-3"/>
    <n v="6.1580000000000003E-3"/>
    <n v="20"/>
    <n v="0.10256410256410256"/>
    <n v="0.89743589743589747"/>
  </r>
  <r>
    <n v="194"/>
    <n v="150"/>
    <n v="0.7732"/>
    <n v="44"/>
    <d v="1899-12-30T00:00:37"/>
    <d v="1899-12-30T00:02:47"/>
    <d v="1899-12-30T00:04:17"/>
    <n v="0.47339999999999999"/>
    <n v="7.7320000000000002E-3"/>
    <n v="4.7339999999999995E-3"/>
    <n v="44"/>
    <n v="0.22680412371134021"/>
    <n v="0.77319587628865982"/>
  </r>
  <r>
    <n v="390"/>
    <n v="362"/>
    <n v="0.92820000000000003"/>
    <n v="28"/>
    <d v="1899-12-30T00:00:31"/>
    <d v="1899-12-30T00:02:50"/>
    <d v="1899-12-30T00:05:46"/>
    <n v="0.5948"/>
    <n v="9.2820000000000003E-3"/>
    <n v="5.9480000000000002E-3"/>
    <n v="28"/>
    <n v="7.179487179487179E-2"/>
    <n v="0.92820512820512824"/>
  </r>
  <r>
    <n v="238"/>
    <n v="205"/>
    <n v="0.86129999999999995"/>
    <n v="33"/>
    <d v="1899-12-30T00:00:29"/>
    <d v="1899-12-30T00:02:18"/>
    <d v="1899-12-30T00:05:10"/>
    <n v="0.60870000000000002"/>
    <n v="8.6129999999999991E-3"/>
    <n v="6.0870000000000004E-3"/>
    <n v="33"/>
    <n v="0.13865546218487396"/>
    <n v="0.8613445378151261"/>
  </r>
  <r>
    <n v="29"/>
    <n v="28"/>
    <n v="0.96550000000000002"/>
    <n v="1"/>
    <d v="1899-12-30T00:00:09"/>
    <d v="1899-12-30T00:02:28"/>
    <d v="1899-12-30T00:01:05"/>
    <n v="0.89290000000000003"/>
    <n v="9.6550000000000004E-3"/>
    <n v="8.9289999999999994E-3"/>
    <n v="1"/>
    <n v="3.4482758620689655E-2"/>
    <n v="0.96551724137931039"/>
  </r>
  <r>
    <n v="30"/>
    <n v="29"/>
    <n v="0.9667"/>
    <n v="1"/>
    <d v="1899-12-30T00:00:19"/>
    <d v="1899-12-30T00:02:30"/>
    <d v="1899-12-30T00:02:31"/>
    <n v="0.83330000000000004"/>
    <n v="9.6670000000000002E-3"/>
    <n v="8.3330000000000001E-3"/>
    <n v="1"/>
    <n v="3.3333333333333333E-2"/>
    <n v="0.96666666666666667"/>
  </r>
  <r>
    <n v="287"/>
    <n v="273"/>
    <n v="0.95120000000000005"/>
    <n v="14"/>
    <d v="1899-12-30T00:00:16"/>
    <d v="1899-12-30T00:02:20"/>
    <d v="1899-12-30T00:03:06"/>
    <n v="0.79"/>
    <n v="9.5119999999999996E-3"/>
    <n v="7.9000000000000008E-3"/>
    <n v="14"/>
    <n v="4.878048780487805E-2"/>
    <n v="0.95121951219512191"/>
  </r>
  <r>
    <n v="474"/>
    <n v="380"/>
    <n v="0.80169999999999997"/>
    <n v="94"/>
    <d v="1899-12-30T00:00:39"/>
    <d v="1899-12-30T00:02:08"/>
    <d v="1899-12-30T00:07:58"/>
    <n v="0.47420000000000001"/>
    <n v="8.0169999999999998E-3"/>
    <n v="4.7419999999999997E-3"/>
    <n v="94"/>
    <n v="0.19831223628691982"/>
    <n v="0.80168776371308015"/>
  </r>
  <r>
    <n v="277"/>
    <n v="230"/>
    <n v="0.83030000000000004"/>
    <n v="47"/>
    <d v="1899-12-30T00:00:40"/>
    <d v="1899-12-30T00:02:52"/>
    <d v="1899-12-30T00:06:13"/>
    <n v="0.46179999999999999"/>
    <n v="8.3029999999999996E-3"/>
    <n v="4.6179999999999997E-3"/>
    <n v="47"/>
    <n v="0.16967509025270758"/>
    <n v="0.83032490974729245"/>
  </r>
  <r>
    <n v="173"/>
    <n v="163"/>
    <n v="0.94220000000000004"/>
    <n v="10"/>
    <d v="1899-12-30T00:00:17"/>
    <d v="1899-12-30T00:02:46"/>
    <d v="1899-12-30T00:02:44"/>
    <n v="0.77190000000000003"/>
    <n v="9.4219999999999998E-3"/>
    <n v="7.7190000000000002E-3"/>
    <n v="10"/>
    <n v="5.7803468208092484E-2"/>
    <n v="0.94219653179190754"/>
  </r>
  <r>
    <n v="167"/>
    <n v="152"/>
    <n v="0.91020000000000001"/>
    <n v="15"/>
    <d v="1899-12-30T00:00:13"/>
    <d v="1899-12-30T00:02:37"/>
    <d v="1899-12-30T00:05:10"/>
    <n v="0.84150000000000003"/>
    <n v="9.1020000000000007E-3"/>
    <n v="8.4150000000000006E-3"/>
    <n v="15"/>
    <n v="8.9820359281437126E-2"/>
    <n v="0.91017964071856283"/>
  </r>
  <r>
    <n v="27"/>
    <n v="24"/>
    <n v="0.88890000000000002"/>
    <n v="3"/>
    <d v="1899-12-30T00:00:20"/>
    <d v="1899-12-30T00:02:05"/>
    <d v="1899-12-30T00:03:43"/>
    <n v="0.76919999999999999"/>
    <n v="8.8890000000000011E-3"/>
    <n v="7.6920000000000001E-3"/>
    <n v="3"/>
    <n v="0.1111111111111111"/>
    <n v="0.88888888888888884"/>
  </r>
  <r>
    <n v="173"/>
    <n v="153"/>
    <n v="0.88439999999999996"/>
    <n v="20"/>
    <d v="1899-12-30T00:00:29"/>
    <d v="1899-12-30T00:02:46"/>
    <d v="1899-12-30T00:03:06"/>
    <n v="0.57989999999999997"/>
    <n v="8.8439999999999994E-3"/>
    <n v="5.7989999999999995E-3"/>
    <n v="20"/>
    <n v="0.11560693641618497"/>
    <n v="0.88439306358381498"/>
  </r>
  <r>
    <n v="36"/>
    <n v="27"/>
    <n v="0.75"/>
    <n v="9"/>
    <d v="1899-12-30T00:00:36"/>
    <d v="1899-12-30T00:02:55"/>
    <d v="1899-12-30T00:03:57"/>
    <n v="0.41670000000000001"/>
    <n v="7.4999999999999997E-3"/>
    <n v="4.1670000000000006E-3"/>
    <n v="9"/>
    <n v="0.25"/>
    <n v="0.75"/>
  </r>
  <r>
    <n v="186"/>
    <n v="171"/>
    <n v="0.9194"/>
    <n v="15"/>
    <d v="1899-12-30T00:00:27"/>
    <d v="1899-12-30T00:02:49"/>
    <d v="1899-12-30T00:03:28"/>
    <n v="0.64480000000000004"/>
    <n v="9.1940000000000008E-3"/>
    <n v="6.4480000000000006E-3"/>
    <n v="15"/>
    <n v="8.0645161290322578E-2"/>
    <n v="0.91935483870967738"/>
  </r>
  <r>
    <n v="160"/>
    <n v="149"/>
    <n v="0.93130000000000002"/>
    <n v="11"/>
    <d v="1899-12-30T00:00:23"/>
    <d v="1899-12-30T00:02:47"/>
    <d v="1899-12-30T00:04:52"/>
    <n v="0.74050000000000005"/>
    <n v="9.3130000000000001E-3"/>
    <n v="7.4050000000000001E-3"/>
    <n v="11"/>
    <n v="6.8750000000000006E-2"/>
    <n v="0.93125000000000002"/>
  </r>
  <r>
    <n v="233"/>
    <n v="215"/>
    <n v="0.92269999999999996"/>
    <n v="18"/>
    <d v="1899-12-30T00:00:22"/>
    <d v="1899-12-30T00:02:34"/>
    <d v="1899-12-30T00:08:08"/>
    <n v="0.74119999999999997"/>
    <n v="9.2269999999999991E-3"/>
    <n v="7.4119999999999993E-3"/>
    <n v="18"/>
    <n v="7.7253218884120178E-2"/>
    <n v="0.92274678111587982"/>
  </r>
  <r>
    <n v="162"/>
    <n v="157"/>
    <n v="0.96909999999999996"/>
    <n v="5"/>
    <d v="1899-12-30T00:00:13"/>
    <d v="1899-12-30T00:02:32"/>
    <d v="1899-12-30T00:05:10"/>
    <n v="0.82720000000000005"/>
    <n v="9.691E-3"/>
    <n v="8.2719999999999998E-3"/>
    <n v="5"/>
    <n v="3.0864197530864196E-2"/>
    <n v="0.96913580246913578"/>
  </r>
  <r>
    <n v="27"/>
    <n v="24"/>
    <n v="0.88890000000000002"/>
    <n v="3"/>
    <d v="1899-12-30T00:00:18"/>
    <d v="1899-12-30T00:02:10"/>
    <d v="1899-12-30T00:03:51"/>
    <n v="0.70369999999999999"/>
    <n v="8.8890000000000011E-3"/>
    <n v="7.0369999999999999E-3"/>
    <n v="3"/>
    <n v="0.1111111111111111"/>
    <n v="0.88888888888888884"/>
  </r>
  <r>
    <n v="168"/>
    <n v="155"/>
    <n v="0.92259999999999998"/>
    <n v="13"/>
    <d v="1899-12-30T00:00:26"/>
    <d v="1899-12-30T00:03:18"/>
    <d v="1899-12-30T00:03:08"/>
    <n v="0.64880000000000004"/>
    <n v="9.2259999999999998E-3"/>
    <n v="6.4880000000000007E-3"/>
    <n v="13"/>
    <n v="7.7380952380952384E-2"/>
    <n v="0.92261904761904767"/>
  </r>
  <r>
    <n v="328"/>
    <n v="301"/>
    <n v="0.91769999999999996"/>
    <n v="27"/>
    <d v="1899-12-30T00:00:23"/>
    <d v="1899-12-30T00:02:29"/>
    <d v="1899-12-30T00:06:59"/>
    <n v="0.67910000000000004"/>
    <n v="9.1769999999999994E-3"/>
    <n v="6.7910000000000002E-3"/>
    <n v="27"/>
    <n v="8.2317073170731711E-2"/>
    <n v="0.91768292682926833"/>
  </r>
  <r>
    <n v="234"/>
    <n v="208"/>
    <n v="0.88890000000000002"/>
    <n v="26"/>
    <d v="1899-12-30T00:00:20"/>
    <d v="1899-12-30T00:02:44"/>
    <d v="1899-12-30T00:05:18"/>
    <n v="0.72250000000000003"/>
    <n v="8.8890000000000011E-3"/>
    <n v="7.2250000000000005E-3"/>
    <n v="26"/>
    <n v="0.1111111111111111"/>
    <n v="0.88888888888888884"/>
  </r>
  <r>
    <n v="37"/>
    <n v="34"/>
    <n v="0.91890000000000005"/>
    <n v="3"/>
    <d v="1899-12-30T00:00:14"/>
    <d v="1899-12-30T00:02:16"/>
    <d v="1899-12-30T00:03:44"/>
    <n v="0.83779999999999999"/>
    <n v="9.189000000000001E-3"/>
    <n v="8.378E-3"/>
    <n v="3"/>
    <n v="8.1081081081081086E-2"/>
    <n v="0.91891891891891897"/>
  </r>
  <r>
    <n v="185"/>
    <n v="167"/>
    <n v="0.90269999999999995"/>
    <n v="18"/>
    <d v="1899-12-30T00:00:18"/>
    <d v="1899-12-30T00:02:43"/>
    <d v="1899-12-30T00:06:12"/>
    <n v="0.73509999999999998"/>
    <n v="9.0270000000000003E-3"/>
    <n v="7.3509999999999999E-3"/>
    <n v="18"/>
    <n v="9.7297297297297303E-2"/>
    <n v="0.9027027027027027"/>
  </r>
  <r>
    <n v="139"/>
    <n v="132"/>
    <n v="0.9496"/>
    <n v="7"/>
    <d v="1899-12-30T00:00:10"/>
    <d v="1899-12-30T00:02:57"/>
    <d v="1899-12-30T00:03:28"/>
    <n v="0.88319999999999999"/>
    <n v="9.4959999999999992E-3"/>
    <n v="8.8319999999999996E-3"/>
    <n v="7"/>
    <n v="5.0359712230215826E-2"/>
    <n v="0.94964028776978415"/>
  </r>
  <r>
    <n v="13"/>
    <n v="11"/>
    <n v="0.84619999999999995"/>
    <n v="2"/>
    <d v="1899-12-30T00:00:46"/>
    <d v="1899-12-30T00:02:07"/>
    <d v="1899-12-30T00:02:35"/>
    <n v="0.41670000000000001"/>
    <n v="8.461999999999999E-3"/>
    <n v="4.1670000000000006E-3"/>
    <n v="2"/>
    <n v="0.15384615384615385"/>
    <n v="0.84615384615384615"/>
  </r>
  <r>
    <n v="161"/>
    <n v="152"/>
    <n v="0.94410000000000005"/>
    <n v="9"/>
    <d v="1899-12-30T00:00:23"/>
    <d v="1899-12-30T00:02:28"/>
    <d v="1899-12-30T00:02:52"/>
    <n v="0.69620000000000004"/>
    <n v="9.4409999999999997E-3"/>
    <n v="6.9620000000000003E-3"/>
    <n v="9"/>
    <n v="5.5900621118012424E-2"/>
    <n v="0.94409937888198758"/>
  </r>
  <r>
    <n v="149"/>
    <n v="144"/>
    <n v="0.96640000000000004"/>
    <n v="5"/>
    <d v="1899-12-30T00:00:15"/>
    <d v="1899-12-30T00:02:46"/>
    <d v="1899-12-30T00:03:01"/>
    <n v="0.83109999999999995"/>
    <n v="9.6640000000000007E-3"/>
    <n v="8.3109999999999989E-3"/>
    <n v="5"/>
    <n v="3.3557046979865772E-2"/>
    <n v="0.96644295302013428"/>
  </r>
  <r>
    <n v="178"/>
    <n v="167"/>
    <n v="0.93820000000000003"/>
    <n v="11"/>
    <d v="1899-12-30T00:00:22"/>
    <d v="1899-12-30T00:02:42"/>
    <d v="1899-12-30T00:05:24"/>
    <n v="0.74860000000000004"/>
    <n v="9.3819999999999997E-3"/>
    <n v="7.4860000000000005E-3"/>
    <n v="11"/>
    <n v="6.1797752808988762E-2"/>
    <n v="0.9382022471910112"/>
  </r>
  <r>
    <n v="224"/>
    <n v="210"/>
    <n v="0.9375"/>
    <n v="14"/>
    <d v="1899-12-30T00:00:21"/>
    <d v="1899-12-30T00:03:00"/>
    <d v="1899-12-30T00:04:47"/>
    <n v="0.72519999999999996"/>
    <n v="9.3749999999999997E-3"/>
    <n v="7.2519999999999998E-3"/>
    <n v="14"/>
    <n v="6.25E-2"/>
    <n v="0.9375"/>
  </r>
  <r>
    <n v="277"/>
    <n v="273"/>
    <n v="0.98560000000000003"/>
    <n v="4"/>
    <d v="1899-12-30T00:00:10"/>
    <d v="1899-12-30T00:02:00"/>
    <d v="1899-12-30T00:02:03"/>
    <n v="0.89739999999999998"/>
    <n v="9.8560000000000002E-3"/>
    <n v="8.9739999999999993E-3"/>
    <n v="4"/>
    <n v="1.444043321299639E-2"/>
    <n v="0.98555956678700363"/>
  </r>
  <r>
    <n v="188"/>
    <n v="172"/>
    <n v="0.91490000000000005"/>
    <n v="16"/>
    <d v="1899-12-30T00:00:20"/>
    <d v="1899-12-30T00:02:41"/>
    <d v="1899-12-30T00:03:36"/>
    <n v="0.72189999999999999"/>
    <n v="9.1490000000000009E-3"/>
    <n v="7.2189999999999997E-3"/>
    <n v="16"/>
    <n v="8.5106382978723402E-2"/>
    <n v="0.91489361702127658"/>
  </r>
  <r>
    <n v="26"/>
    <n v="22"/>
    <n v="0.84619999999999995"/>
    <n v="4"/>
    <d v="1899-12-30T00:00:34"/>
    <d v="1899-12-30T00:02:23"/>
    <d v="1899-12-30T00:06:18"/>
    <n v="0.68"/>
    <n v="8.461999999999999E-3"/>
    <n v="6.8000000000000005E-3"/>
    <n v="4"/>
    <n v="0.15384615384615385"/>
    <n v="0.84615384615384615"/>
  </r>
  <r>
    <n v="177"/>
    <n v="167"/>
    <n v="0.94350000000000001"/>
    <n v="10"/>
    <d v="1899-12-30T00:00:35"/>
    <d v="1899-12-30T00:02:56"/>
    <d v="1899-12-30T00:03:15"/>
    <n v="0.5625"/>
    <n v="9.4350000000000007E-3"/>
    <n v="5.6249999999999998E-3"/>
    <n v="10"/>
    <n v="5.6497175141242938E-2"/>
    <n v="0.94350282485875703"/>
  </r>
  <r>
    <n v="149"/>
    <n v="144"/>
    <n v="0.96640000000000004"/>
    <n v="5"/>
    <d v="1899-12-30T00:00:28"/>
    <d v="1899-12-30T00:02:47"/>
    <d v="1899-12-30T00:03:48"/>
    <n v="0.66220000000000001"/>
    <n v="9.6640000000000007E-3"/>
    <n v="6.6220000000000003E-3"/>
    <n v="5"/>
    <n v="3.3557046979865772E-2"/>
    <n v="0.96644295302013428"/>
  </r>
  <r>
    <n v="147"/>
    <n v="147"/>
    <n v="1"/>
    <n v="0"/>
    <d v="1899-12-30T00:00:11"/>
    <d v="1899-12-30T00:02:51"/>
    <d v="1899-12-30T00:02:03"/>
    <n v="0.85709999999999997"/>
    <n v="0.01"/>
    <n v="8.5710000000000005E-3"/>
    <n v="0"/>
    <n v="0"/>
    <n v="1"/>
  </r>
  <r>
    <n v="140"/>
    <n v="134"/>
    <n v="0.95709999999999995"/>
    <n v="6"/>
    <d v="1899-12-30T00:00:19"/>
    <d v="1899-12-30T00:02:44"/>
    <d v="1899-12-30T00:08:19"/>
    <n v="0.78569999999999995"/>
    <n v="9.5709999999999996E-3"/>
    <n v="7.8569999999999994E-3"/>
    <n v="6"/>
    <n v="4.2857142857142858E-2"/>
    <n v="0.95714285714285718"/>
  </r>
  <r>
    <n v="177"/>
    <n v="163"/>
    <n v="0.92090000000000005"/>
    <n v="14"/>
    <d v="1899-12-30T00:00:19"/>
    <d v="1899-12-30T00:02:35"/>
    <d v="1899-12-30T00:07:16"/>
    <n v="0.7571"/>
    <n v="9.2090000000000002E-3"/>
    <n v="7.5709999999999996E-3"/>
    <n v="14"/>
    <n v="7.909604519774012E-2"/>
    <n v="0.92090395480225984"/>
  </r>
  <r>
    <n v="169"/>
    <n v="169"/>
    <n v="1"/>
    <n v="0"/>
    <d v="1899-12-30T00:00:09"/>
    <d v="1899-12-30T00:02:45"/>
    <d v="1899-12-30T00:01:05"/>
    <n v="0.89939999999999998"/>
    <n v="0.01"/>
    <n v="8.9940000000000003E-3"/>
    <n v="0"/>
    <n v="0"/>
    <n v="1"/>
  </r>
  <r>
    <n v="26"/>
    <n v="21"/>
    <n v="0.80769999999999997"/>
    <n v="5"/>
    <d v="1899-12-30T00:00:27"/>
    <d v="1899-12-30T00:02:28"/>
    <d v="1899-12-30T00:02:04"/>
    <n v="0.48"/>
    <n v="8.0769999999999991E-3"/>
    <n v="4.7999999999999996E-3"/>
    <n v="5"/>
    <n v="0.19230769230769232"/>
    <n v="0.80769230769230771"/>
  </r>
  <r>
    <n v="147"/>
    <n v="140"/>
    <n v="0.95240000000000002"/>
    <n v="7"/>
    <d v="1899-12-30T00:00:12"/>
    <d v="1899-12-30T00:02:48"/>
    <d v="1899-12-30T00:02:11"/>
    <n v="0.85519999999999996"/>
    <n v="9.5239999999999995E-3"/>
    <n v="8.5519999999999988E-3"/>
    <n v="7"/>
    <n v="4.7619047619047616E-2"/>
    <n v="0.95238095238095233"/>
  </r>
  <r>
    <n v="127"/>
    <n v="122"/>
    <n v="0.96060000000000001"/>
    <n v="5"/>
    <d v="1899-12-30T00:00:21"/>
    <d v="1899-12-30T00:02:48"/>
    <d v="1899-12-30T00:02:07"/>
    <n v="0.7087"/>
    <n v="9.606E-3"/>
    <n v="7.0869999999999995E-3"/>
    <n v="5"/>
    <n v="3.937007874015748E-2"/>
    <n v="0.96062992125984248"/>
  </r>
  <r>
    <n v="141"/>
    <n v="135"/>
    <n v="0.95740000000000003"/>
    <n v="6"/>
    <d v="1899-12-30T00:00:17"/>
    <d v="1899-12-30T00:02:27"/>
    <d v="1899-12-30T00:04:08"/>
    <n v="0.78010000000000002"/>
    <n v="9.5740000000000009E-3"/>
    <n v="7.8009999999999998E-3"/>
    <n v="6"/>
    <n v="4.2553191489361701E-2"/>
    <n v="0.95744680851063835"/>
  </r>
  <r>
    <n v="208"/>
    <n v="181"/>
    <n v="0.87019999999999997"/>
    <n v="27"/>
    <d v="1899-12-30T00:00:38"/>
    <d v="1899-12-30T00:02:39"/>
    <d v="1899-12-30T00:04:08"/>
    <n v="0.49020000000000002"/>
    <n v="8.7019999999999997E-3"/>
    <n v="4.9020000000000001E-3"/>
    <n v="27"/>
    <n v="0.12980769230769232"/>
    <n v="0.87019230769230771"/>
  </r>
  <r>
    <n v="178"/>
    <n v="163"/>
    <n v="0.91569999999999996"/>
    <n v="15"/>
    <d v="1899-12-30T00:00:33"/>
    <d v="1899-12-30T00:02:54"/>
    <d v="1899-12-30T00:04:58"/>
    <n v="0.54800000000000004"/>
    <n v="9.1570000000000002E-3"/>
    <n v="5.4800000000000005E-3"/>
    <n v="15"/>
    <n v="8.4269662921348312E-2"/>
    <n v="0.9157303370786517"/>
  </r>
  <r>
    <n v="198"/>
    <n v="190"/>
    <n v="0.95960000000000001"/>
    <n v="8"/>
    <d v="1899-12-30T00:00:25"/>
    <d v="1899-12-30T00:02:32"/>
    <d v="1899-12-30T00:02:22"/>
    <n v="0.67010000000000003"/>
    <n v="9.5960000000000004E-3"/>
    <n v="6.7010000000000004E-3"/>
    <n v="8"/>
    <n v="4.0404040404040407E-2"/>
    <n v="0.95959595959595956"/>
  </r>
  <r>
    <n v="21"/>
    <n v="17"/>
    <n v="0.8095"/>
    <n v="4"/>
    <d v="1899-12-30T00:00:44"/>
    <d v="1899-12-30T00:03:31"/>
    <d v="1899-12-30T00:04:37"/>
    <n v="0.47620000000000001"/>
    <n v="8.0949999999999998E-3"/>
    <n v="4.7619999999999997E-3"/>
    <n v="4"/>
    <n v="0.19047619047619047"/>
    <n v="0.80952380952380953"/>
  </r>
  <r>
    <n v="171"/>
    <n v="161"/>
    <n v="0.9415"/>
    <n v="10"/>
    <d v="1899-12-30T00:00:16"/>
    <d v="1899-12-30T00:02:35"/>
    <d v="1899-12-30T00:06:14"/>
    <n v="0.81440000000000001"/>
    <n v="9.4149999999999998E-3"/>
    <n v="8.1440000000000002E-3"/>
    <n v="10"/>
    <n v="5.8479532163742687E-2"/>
    <n v="0.94152046783625731"/>
  </r>
  <r>
    <n v="200"/>
    <n v="196"/>
    <n v="0.98"/>
    <n v="4"/>
    <d v="1899-12-30T00:00:09"/>
    <d v="1899-12-30T00:02:51"/>
    <d v="1899-12-30T00:02:01"/>
    <n v="0.91920000000000002"/>
    <n v="9.7999999999999997E-3"/>
    <n v="9.1920000000000005E-3"/>
    <n v="4"/>
    <n v="0.02"/>
    <n v="0.98"/>
  </r>
  <r>
    <n v="166"/>
    <n v="157"/>
    <n v="0.94579999999999997"/>
    <n v="9"/>
    <d v="1899-12-30T00:00:24"/>
    <d v="1899-12-30T00:02:40"/>
    <d v="1899-12-30T00:01:54"/>
    <n v="0.64629999999999999"/>
    <n v="9.4579999999999994E-3"/>
    <n v="6.463E-3"/>
    <n v="9"/>
    <n v="5.4216867469879519E-2"/>
    <n v="0.94578313253012047"/>
  </r>
  <r>
    <n v="230"/>
    <n v="217"/>
    <n v="0.94350000000000001"/>
    <n v="13"/>
    <d v="1899-12-30T00:00:27"/>
    <d v="1899-12-30T00:02:39"/>
    <d v="1899-12-30T00:02:03"/>
    <n v="0.57210000000000005"/>
    <n v="9.4350000000000007E-3"/>
    <n v="5.7210000000000004E-3"/>
    <n v="13"/>
    <n v="5.6521739130434782E-2"/>
    <n v="0.94347826086956521"/>
  </r>
  <r>
    <n v="174"/>
    <n v="168"/>
    <n v="0.96550000000000002"/>
    <n v="6"/>
    <d v="1899-12-30T00:00:24"/>
    <d v="1899-12-30T00:02:57"/>
    <d v="1899-12-30T00:02:54"/>
    <n v="0.69589999999999996"/>
    <n v="9.6550000000000004E-3"/>
    <n v="6.9589999999999999E-3"/>
    <n v="6"/>
    <n v="3.4482758620689655E-2"/>
    <n v="0.96551724137931039"/>
  </r>
  <r>
    <n v="240"/>
    <n v="185"/>
    <n v="0.77080000000000004"/>
    <n v="55"/>
    <d v="1899-12-30T00:01:00"/>
    <d v="1899-12-30T00:03:02"/>
    <d v="1899-12-30T00:05:00"/>
    <n v="0.2979"/>
    <n v="7.7080000000000004E-3"/>
    <n v="2.9789999999999999E-3"/>
    <n v="55"/>
    <n v="0.22916666666666666"/>
    <n v="0.77083333333333337"/>
  </r>
  <r>
    <n v="35"/>
    <n v="27"/>
    <n v="0.77139999999999997"/>
    <n v="8"/>
    <d v="1899-12-30T00:00:48"/>
    <d v="1899-12-30T00:02:56"/>
    <d v="1899-12-30T00:03:53"/>
    <n v="0.43330000000000002"/>
    <n v="7.7139999999999995E-3"/>
    <n v="4.333E-3"/>
    <n v="8"/>
    <n v="0.22857142857142856"/>
    <n v="0.77142857142857146"/>
  </r>
  <r>
    <n v="198"/>
    <n v="179"/>
    <n v="0.90400000000000003"/>
    <n v="19"/>
    <d v="1899-12-30T00:00:27"/>
    <d v="1899-12-30T00:02:41"/>
    <d v="1899-12-30T00:09:40"/>
    <n v="0.60099999999999998"/>
    <n v="9.0399999999999994E-3"/>
    <n v="6.0099999999999997E-3"/>
    <n v="19"/>
    <n v="9.5959595959595953E-2"/>
    <n v="0.90404040404040409"/>
  </r>
  <r>
    <n v="189"/>
    <n v="181"/>
    <n v="0.9577"/>
    <n v="8"/>
    <d v="1899-12-30T00:00:19"/>
    <d v="1899-12-30T00:02:59"/>
    <d v="1899-12-30T00:02:44"/>
    <n v="0.71430000000000005"/>
    <n v="9.5770000000000004E-3"/>
    <n v="7.143E-3"/>
    <n v="8"/>
    <n v="4.2328042328042326E-2"/>
    <n v="0.95767195767195767"/>
  </r>
  <r>
    <n v="229"/>
    <n v="219"/>
    <n v="0.95630000000000004"/>
    <n v="10"/>
    <d v="1899-12-30T00:00:30"/>
    <d v="1899-12-30T00:03:15"/>
    <d v="1899-12-30T00:06:25"/>
    <n v="0.59209999999999996"/>
    <n v="9.5630000000000003E-3"/>
    <n v="5.9209999999999992E-3"/>
    <n v="10"/>
    <n v="4.3668122270742356E-2"/>
    <n v="0.95633187772925765"/>
  </r>
  <r>
    <n v="254"/>
    <n v="235"/>
    <n v="0.92520000000000002"/>
    <n v="19"/>
    <d v="1899-12-30T00:00:27"/>
    <d v="1899-12-30T00:02:56"/>
    <d v="1899-12-30T00:03:52"/>
    <n v="0.5968"/>
    <n v="9.2519999999999998E-3"/>
    <n v="5.9680000000000002E-3"/>
    <n v="19"/>
    <n v="7.4803149606299218E-2"/>
    <n v="0.92519685039370081"/>
  </r>
  <r>
    <n v="584"/>
    <n v="521"/>
    <n v="0.8921"/>
    <n v="63"/>
    <d v="1899-12-30T00:00:29"/>
    <d v="1899-12-30T00:02:16"/>
    <d v="1899-12-30T00:04:21"/>
    <n v="0.58299999999999996"/>
    <n v="8.9210000000000001E-3"/>
    <n v="5.8299999999999992E-3"/>
    <n v="63"/>
    <n v="0.10787671232876712"/>
    <n v="0.89212328767123283"/>
  </r>
  <r>
    <n v="564"/>
    <n v="551"/>
    <n v="0.97699999999999998"/>
    <n v="13"/>
    <d v="1899-12-30T00:00:12"/>
    <d v="1899-12-30T00:01:40"/>
    <d v="1899-12-30T00:01:46"/>
    <n v="0.83960000000000001"/>
    <n v="9.7699999999999992E-3"/>
    <n v="8.3960000000000007E-3"/>
    <n v="13"/>
    <n v="2.3049645390070921E-2"/>
    <n v="0.97695035460992907"/>
  </r>
  <r>
    <n v="150"/>
    <n v="149"/>
    <n v="0.99329999999999996"/>
    <n v="1"/>
    <d v="1899-12-30T00:00:10"/>
    <d v="1899-12-30T00:01:40"/>
    <d v="1899-12-30T00:02:11"/>
    <n v="0.89329999999999998"/>
    <n v="9.9329999999999991E-3"/>
    <n v="8.933E-3"/>
    <n v="1"/>
    <n v="6.6666666666666671E-3"/>
    <n v="0.99333333333333329"/>
  </r>
  <r>
    <n v="521"/>
    <n v="499"/>
    <n v="0.95779999999999998"/>
    <n v="22"/>
    <d v="1899-12-30T00:00:23"/>
    <d v="1899-12-30T00:01:36"/>
    <d v="1899-12-30T00:03:04"/>
    <n v="0.70930000000000004"/>
    <n v="9.5779999999999997E-3"/>
    <n v="7.0930000000000003E-3"/>
    <n v="22"/>
    <n v="4.2226487523992322E-2"/>
    <n v="0.95777351247600773"/>
  </r>
  <r>
    <n v="330"/>
    <n v="309"/>
    <n v="0.93640000000000001"/>
    <n v="21"/>
    <d v="1899-12-30T00:00:21"/>
    <d v="1899-12-30T00:03:19"/>
    <d v="1899-12-30T00:06:32"/>
    <n v="0.69540000000000002"/>
    <n v="9.3640000000000008E-3"/>
    <n v="6.9540000000000001E-3"/>
    <n v="21"/>
    <n v="6.363636363636363E-2"/>
    <n v="0.9363636363636364"/>
  </r>
  <r>
    <n v="298"/>
    <n v="288"/>
    <n v="0.96640000000000004"/>
    <n v="10"/>
    <d v="1899-12-30T00:00:13"/>
    <d v="1899-12-30T00:03:20"/>
    <d v="1899-12-30T00:04:03"/>
    <n v="0.84750000000000003"/>
    <n v="9.6640000000000007E-3"/>
    <n v="8.4749999999999999E-3"/>
    <n v="10"/>
    <n v="3.3557046979865772E-2"/>
    <n v="0.96644295302013428"/>
  </r>
  <r>
    <n v="294"/>
    <n v="287"/>
    <n v="0.97619999999999996"/>
    <n v="7"/>
    <d v="1899-12-30T00:00:14"/>
    <d v="1899-12-30T00:03:28"/>
    <d v="1899-12-30T00:03:19"/>
    <n v="0.82250000000000001"/>
    <n v="9.7619999999999998E-3"/>
    <n v="8.2249999999999997E-3"/>
    <n v="7"/>
    <n v="2.3809523809523808E-2"/>
    <n v="0.97619047619047616"/>
  </r>
  <r>
    <n v="261"/>
    <n v="253"/>
    <n v="0.96930000000000005"/>
    <n v="8"/>
    <d v="1899-12-30T00:00:10"/>
    <d v="1899-12-30T00:03:03"/>
    <d v="1899-12-30T00:05:48"/>
    <n v="0.89959999999999996"/>
    <n v="9.6930000000000002E-3"/>
    <n v="8.9959999999999988E-3"/>
    <n v="8"/>
    <n v="3.0651340996168581E-2"/>
    <n v="0.96934865900383138"/>
  </r>
  <r>
    <n v="223"/>
    <n v="210"/>
    <n v="0.94169999999999998"/>
    <n v="13"/>
    <d v="1899-12-30T00:00:16"/>
    <d v="1899-12-30T00:03:07"/>
    <d v="1899-12-30T00:05:23"/>
    <n v="0.80089999999999995"/>
    <n v="9.417E-3"/>
    <n v="8.0089999999999988E-3"/>
    <n v="13"/>
    <n v="5.829596412556054E-2"/>
    <n v="0.94170403587443952"/>
  </r>
  <r>
    <n v="59"/>
    <n v="58"/>
    <n v="0.98309999999999997"/>
    <n v="1"/>
    <d v="1899-12-30T00:00:21"/>
    <d v="1899-12-30T00:03:41"/>
    <d v="1899-12-30T00:03:12"/>
    <n v="0.74580000000000002"/>
    <n v="9.8309999999999995E-3"/>
    <n v="7.4580000000000002E-3"/>
    <n v="1"/>
    <n v="1.6949152542372881E-2"/>
    <n v="0.98305084745762716"/>
  </r>
  <r>
    <n v="340"/>
    <n v="327"/>
    <n v="0.96179999999999999"/>
    <n v="13"/>
    <d v="1899-12-30T00:00:21"/>
    <d v="1899-12-30T00:01:55"/>
    <d v="1899-12-30T00:03:46"/>
    <n v="0.77610000000000001"/>
    <n v="9.6179999999999998E-3"/>
    <n v="7.7610000000000005E-3"/>
    <n v="13"/>
    <n v="3.8235294117647062E-2"/>
    <n v="0.96176470588235297"/>
  </r>
  <r>
    <n v="287"/>
    <n v="280"/>
    <n v="0.97560000000000002"/>
    <n v="7"/>
    <d v="1899-12-30T00:00:13"/>
    <d v="1899-12-30T00:03:05"/>
    <d v="1899-12-30T00:01:56"/>
    <n v="0.84319999999999995"/>
    <n v="9.7560000000000008E-3"/>
    <n v="8.4320000000000003E-3"/>
    <n v="7"/>
    <n v="2.4390243902439025E-2"/>
    <n v="0.97560975609756095"/>
  </r>
  <r>
    <n v="269"/>
    <n v="257"/>
    <n v="0.95540000000000003"/>
    <n v="12"/>
    <d v="1899-12-30T00:00:16"/>
    <d v="1899-12-30T00:03:04"/>
    <d v="1899-12-30T00:03:49"/>
    <n v="0.82020000000000004"/>
    <n v="9.554E-3"/>
    <n v="8.202000000000001E-3"/>
    <n v="12"/>
    <n v="4.4609665427509292E-2"/>
    <n v="0.95539033457249067"/>
  </r>
  <r>
    <n v="270"/>
    <n v="261"/>
    <n v="0.9667"/>
    <n v="9"/>
    <d v="1899-12-30T00:00:12"/>
    <d v="1899-12-30T00:03:06"/>
    <d v="1899-12-30T00:04:29"/>
    <n v="0.85870000000000002"/>
    <n v="9.6670000000000002E-3"/>
    <n v="8.5870000000000009E-3"/>
    <n v="9"/>
    <n v="3.3333333333333333E-2"/>
    <n v="0.96666666666666667"/>
  </r>
  <r>
    <n v="285"/>
    <n v="273"/>
    <n v="0.95789999999999997"/>
    <n v="12"/>
    <d v="1899-12-30T00:00:12"/>
    <d v="1899-12-30T00:03:14"/>
    <d v="1899-12-30T00:02:53"/>
    <n v="0.85360000000000003"/>
    <n v="9.578999999999999E-3"/>
    <n v="8.5360000000000002E-3"/>
    <n v="12"/>
    <n v="4.2105263157894736E-2"/>
    <n v="0.95789473684210524"/>
  </r>
  <r>
    <n v="251"/>
    <n v="229"/>
    <n v="0.91239999999999999"/>
    <n v="22"/>
    <d v="1899-12-30T00:00:22"/>
    <d v="1899-12-30T00:02:59"/>
    <d v="1899-12-30T00:03:06"/>
    <n v="0.73060000000000003"/>
    <n v="9.1240000000000002E-3"/>
    <n v="7.306E-3"/>
    <n v="22"/>
    <n v="8.7649402390438252E-2"/>
    <n v="0.91235059760956172"/>
  </r>
  <r>
    <n v="47"/>
    <n v="47"/>
    <n v="1"/>
    <n v="0"/>
    <d v="1899-12-30T00:00:13"/>
    <d v="1899-12-30T00:03:03"/>
    <d v="1899-12-30T00:01:29"/>
    <n v="0.87229999999999996"/>
    <n v="0.01"/>
    <n v="8.7229999999999999E-3"/>
    <n v="0"/>
    <n v="0"/>
    <n v="1"/>
  </r>
  <r>
    <n v="233"/>
    <n v="225"/>
    <n v="0.9657"/>
    <n v="8"/>
    <d v="1899-12-30T00:00:13"/>
    <d v="1899-12-30T00:03:02"/>
    <d v="1899-12-30T00:01:57"/>
    <n v="0.84719999999999995"/>
    <n v="9.6570000000000007E-3"/>
    <n v="8.4720000000000004E-3"/>
    <n v="8"/>
    <n v="3.4334763948497854E-2"/>
    <n v="0.96566523605150212"/>
  </r>
  <r>
    <n v="257"/>
    <n v="248"/>
    <n v="0.96499999999999997"/>
    <n v="9"/>
    <d v="1899-12-30T00:00:14"/>
    <d v="1899-12-30T00:03:14"/>
    <d v="1899-12-30T00:03:42"/>
    <n v="0.83399999999999996"/>
    <n v="9.6499999999999989E-3"/>
    <n v="8.3400000000000002E-3"/>
    <n v="9"/>
    <n v="3.5019455252918288E-2"/>
    <n v="0.96498054474708173"/>
  </r>
  <r>
    <n v="245"/>
    <n v="234"/>
    <n v="0.95509999999999995"/>
    <n v="11"/>
    <d v="1899-12-30T00:00:11"/>
    <d v="1899-12-30T00:03:01"/>
    <d v="1899-12-30T00:01:56"/>
    <n v="0.85950000000000004"/>
    <n v="9.5509999999999987E-3"/>
    <n v="8.5950000000000002E-3"/>
    <n v="11"/>
    <n v="4.4897959183673466E-2"/>
    <n v="0.95510204081632655"/>
  </r>
  <r>
    <n v="267"/>
    <n v="265"/>
    <n v="0.99250000000000005"/>
    <n v="2"/>
    <d v="1899-12-30T00:00:05"/>
    <d v="1899-12-30T00:02:59"/>
    <d v="1899-12-30T00:01:13"/>
    <n v="0.97360000000000002"/>
    <n v="9.9249999999999998E-3"/>
    <n v="9.7359999999999999E-3"/>
    <n v="2"/>
    <n v="7.4906367041198503E-3"/>
    <n v="0.99250936329588013"/>
  </r>
  <r>
    <n v="231"/>
    <n v="224"/>
    <n v="0.96970000000000001"/>
    <n v="7"/>
    <d v="1899-12-30T00:00:11"/>
    <d v="1899-12-30T00:02:56"/>
    <d v="1899-12-30T00:02:54"/>
    <n v="0.86580000000000001"/>
    <n v="9.6970000000000008E-3"/>
    <n v="8.6580000000000008E-3"/>
    <n v="7"/>
    <n v="3.0303030303030304E-2"/>
    <n v="0.96969696969696972"/>
  </r>
  <r>
    <n v="236"/>
    <n v="226"/>
    <n v="0.95760000000000001"/>
    <n v="10"/>
    <d v="1899-12-30T00:00:19"/>
    <d v="1899-12-30T00:03:04"/>
    <d v="1899-12-30T00:03:06"/>
    <n v="0.75"/>
    <n v="9.5759999999999994E-3"/>
    <n v="7.4999999999999997E-3"/>
    <n v="10"/>
    <n v="4.2372881355932202E-2"/>
    <n v="0.9576271186440678"/>
  </r>
  <r>
    <n v="81"/>
    <n v="78"/>
    <n v="0.96299999999999997"/>
    <n v="3"/>
    <d v="1899-12-30T00:00:11"/>
    <d v="1899-12-30T00:02:57"/>
    <d v="1899-12-30T00:00:58"/>
    <n v="0.8125"/>
    <n v="9.6299999999999997E-3"/>
    <n v="8.1250000000000003E-3"/>
    <n v="3"/>
    <n v="3.7037037037037035E-2"/>
    <n v="0.96296296296296291"/>
  </r>
  <r>
    <n v="281"/>
    <n v="273"/>
    <n v="0.97150000000000003"/>
    <n v="8"/>
    <d v="1899-12-30T00:00:11"/>
    <d v="1899-12-30T00:03:02"/>
    <d v="1899-12-30T00:03:21"/>
    <n v="0.88490000000000002"/>
    <n v="9.7149999999999997E-3"/>
    <n v="8.849000000000001E-3"/>
    <n v="8"/>
    <n v="2.8469750889679714E-2"/>
    <n v="0.97153024911032027"/>
  </r>
  <r>
    <n v="399"/>
    <n v="387"/>
    <n v="0.96989999999999998"/>
    <n v="12"/>
    <d v="1899-12-30T00:00:11"/>
    <d v="1899-12-30T00:02:51"/>
    <d v="1899-12-30T00:02:25"/>
    <n v="0.86360000000000003"/>
    <n v="9.6989999999999993E-3"/>
    <n v="8.6359999999999996E-3"/>
    <n v="12"/>
    <n v="3.007518796992481E-2"/>
    <n v="0.96992481203007519"/>
  </r>
  <r>
    <n v="291"/>
    <n v="287"/>
    <n v="0.98629999999999995"/>
    <n v="4"/>
    <d v="1899-12-30T00:00:11"/>
    <d v="1899-12-30T00:02:36"/>
    <d v="1899-12-30T00:03:38"/>
    <n v="0.87970000000000004"/>
    <n v="9.8630000000000002E-3"/>
    <n v="8.797000000000001E-3"/>
    <n v="4"/>
    <n v="1.3745704467353952E-2"/>
    <n v="0.9862542955326461"/>
  </r>
  <r>
    <n v="290"/>
    <n v="281"/>
    <n v="0.96899999999999997"/>
    <n v="9"/>
    <d v="1899-12-30T00:00:07"/>
    <d v="1899-12-30T00:03:03"/>
    <d v="1899-12-30T00:01:00"/>
    <n v="0.91639999999999999"/>
    <n v="9.689999999999999E-3"/>
    <n v="9.1640000000000003E-3"/>
    <n v="9"/>
    <n v="3.1034482758620689E-2"/>
    <n v="0.96896551724137936"/>
  </r>
  <r>
    <n v="230"/>
    <n v="227"/>
    <n v="0.98699999999999999"/>
    <n v="3"/>
    <d v="1899-12-30T00:00:08"/>
    <d v="1899-12-30T00:03:06"/>
    <d v="1899-12-30T00:01:12"/>
    <n v="0.91669999999999996"/>
    <n v="9.8700000000000003E-3"/>
    <n v="9.1669999999999998E-3"/>
    <n v="3"/>
    <n v="1.3043478260869565E-2"/>
    <n v="0.9869565217391304"/>
  </r>
  <r>
    <n v="236"/>
    <n v="216"/>
    <n v="0.9153"/>
    <n v="20"/>
    <d v="1899-12-30T00:00:17"/>
    <d v="1899-12-30T00:03:09"/>
    <d v="1899-12-30T00:02:54"/>
    <n v="0.70689999999999997"/>
    <n v="9.1529999999999997E-3"/>
    <n v="7.0689999999999998E-3"/>
    <n v="20"/>
    <n v="8.4745762711864403E-2"/>
    <n v="0.9152542372881356"/>
  </r>
  <r>
    <n v="45"/>
    <n v="44"/>
    <n v="0.9778"/>
    <n v="1"/>
    <d v="1899-12-30T00:00:05"/>
    <d v="1899-12-30T00:02:45"/>
    <d v="1899-12-30T00:01:56"/>
    <n v="0.93330000000000002"/>
    <n v="9.7780000000000002E-3"/>
    <n v="9.333000000000001E-3"/>
    <n v="1"/>
    <n v="2.2222222222222223E-2"/>
    <n v="0.97777777777777775"/>
  </r>
  <r>
    <n v="249"/>
    <n v="238"/>
    <n v="0.95579999999999998"/>
    <n v="11"/>
    <d v="1899-12-30T00:00:11"/>
    <d v="1899-12-30T00:02:42"/>
    <d v="1899-12-30T00:01:58"/>
    <n v="0.86529999999999996"/>
    <n v="9.5580000000000005E-3"/>
    <n v="8.6529999999999992E-3"/>
    <n v="11"/>
    <n v="4.4176706827309238E-2"/>
    <n v="0.95582329317269077"/>
  </r>
  <r>
    <n v="350"/>
    <n v="328"/>
    <n v="0.93710000000000004"/>
    <n v="22"/>
    <d v="1899-12-30T00:00:28"/>
    <d v="1899-12-30T00:02:31"/>
    <d v="1899-12-30T00:02:28"/>
    <n v="0.58260000000000001"/>
    <n v="9.3710000000000009E-3"/>
    <n v="5.8260000000000004E-3"/>
    <n v="22"/>
    <n v="6.2857142857142861E-2"/>
    <n v="0.93714285714285717"/>
  </r>
  <r>
    <n v="361"/>
    <n v="306"/>
    <n v="0.84760000000000002"/>
    <n v="55"/>
    <d v="1899-12-30T00:00:27"/>
    <d v="1899-12-30T00:02:26"/>
    <d v="1899-12-30T00:06:41"/>
    <n v="0.60170000000000001"/>
    <n v="8.4760000000000009E-3"/>
    <n v="6.0169999999999998E-3"/>
    <n v="55"/>
    <n v="0.1523545706371191"/>
    <n v="0.8476454293628809"/>
  </r>
  <r>
    <n v="262"/>
    <n v="256"/>
    <n v="0.97709999999999997"/>
    <n v="6"/>
    <d v="1899-12-30T00:00:13"/>
    <d v="1899-12-30T00:02:50"/>
    <d v="1899-12-30T00:02:54"/>
    <n v="0.86150000000000004"/>
    <n v="9.7710000000000002E-3"/>
    <n v="8.6150000000000011E-3"/>
    <n v="6"/>
    <n v="2.2900763358778626E-2"/>
    <n v="0.97709923664122134"/>
  </r>
  <r>
    <n v="302"/>
    <n v="288"/>
    <n v="0.9536"/>
    <n v="14"/>
    <d v="1899-12-30T00:00:21"/>
    <d v="1899-12-30T00:02:56"/>
    <d v="1899-12-30T00:02:59"/>
    <n v="0.71099999999999997"/>
    <n v="9.5359999999999993E-3"/>
    <n v="7.11E-3"/>
    <n v="14"/>
    <n v="4.6357615894039736E-2"/>
    <n v="0.95364238410596025"/>
  </r>
  <r>
    <n v="299"/>
    <n v="268"/>
    <n v="0.89629999999999999"/>
    <n v="31"/>
    <d v="1899-12-30T00:00:28"/>
    <d v="1899-12-30T00:02:49"/>
    <d v="1899-12-30T00:02:58"/>
    <n v="0.55410000000000004"/>
    <n v="8.9630000000000005E-3"/>
    <n v="5.5410000000000008E-3"/>
    <n v="31"/>
    <n v="0.10367892976588629"/>
    <n v="0.89632107023411367"/>
  </r>
  <r>
    <n v="50"/>
    <n v="49"/>
    <n v="0.98"/>
    <n v="1"/>
    <d v="1899-12-30T00:00:24"/>
    <d v="1899-12-30T00:02:55"/>
    <d v="1899-12-30T00:02:08"/>
    <n v="0.76"/>
    <n v="9.7999999999999997E-3"/>
    <n v="7.6E-3"/>
    <n v="1"/>
    <n v="0.02"/>
    <n v="0.98"/>
  </r>
  <r>
    <n v="285"/>
    <n v="273"/>
    <n v="0.95789999999999997"/>
    <n v="12"/>
    <d v="1899-12-30T00:00:21"/>
    <d v="1899-12-30T00:02:49"/>
    <d v="1899-12-30T00:03:30"/>
    <n v="0.76160000000000005"/>
    <n v="9.578999999999999E-3"/>
    <n v="7.6160000000000004E-3"/>
    <n v="12"/>
    <n v="4.2105263157894736E-2"/>
    <n v="0.95789473684210524"/>
  </r>
  <r>
    <n v="77"/>
    <n v="75"/>
    <n v="0.97399999999999998"/>
    <n v="2"/>
    <d v="1899-12-30T00:00:09"/>
    <d v="1899-12-30T00:02:43"/>
    <d v="1899-12-30T00:02:10"/>
    <n v="0.92110000000000003"/>
    <n v="9.7400000000000004E-3"/>
    <n v="9.2110000000000004E-3"/>
    <n v="2"/>
    <n v="2.5974025974025976E-2"/>
    <n v="0.97402597402597402"/>
  </r>
  <r>
    <n v="332"/>
    <n v="321"/>
    <n v="0.96689999999999998"/>
    <n v="11"/>
    <d v="1899-12-30T00:00:17"/>
    <d v="1899-12-30T00:02:58"/>
    <d v="1899-12-30T00:03:34"/>
    <n v="0.80659999999999998"/>
    <n v="9.6690000000000005E-3"/>
    <n v="8.0660000000000003E-3"/>
    <n v="11"/>
    <n v="3.313253012048193E-2"/>
    <n v="0.9668674698795181"/>
  </r>
  <r>
    <n v="282"/>
    <n v="266"/>
    <n v="0.94330000000000003"/>
    <n v="16"/>
    <d v="1899-12-30T00:00:22"/>
    <d v="1899-12-30T00:03:10"/>
    <d v="1899-12-30T00:08:12"/>
    <n v="0.7429"/>
    <n v="9.4330000000000004E-3"/>
    <n v="7.4289999999999998E-3"/>
    <n v="16"/>
    <n v="5.6737588652482268E-2"/>
    <n v="0.94326241134751776"/>
  </r>
  <r>
    <n v="256"/>
    <n v="248"/>
    <n v="0.96879999999999999"/>
    <n v="8"/>
    <d v="1899-12-30T00:00:14"/>
    <d v="1899-12-30T00:03:00"/>
    <d v="1899-12-30T00:03:52"/>
    <n v="0.82350000000000001"/>
    <n v="9.6880000000000004E-3"/>
    <n v="8.2349999999999993E-3"/>
    <n v="8"/>
    <n v="3.125E-2"/>
    <n v="0.96875"/>
  </r>
  <r>
    <n v="177"/>
    <n v="176"/>
    <n v="0.99439999999999995"/>
    <n v="1"/>
    <d v="1899-12-30T00:00:12"/>
    <d v="1899-12-30T00:02:37"/>
    <d v="1899-12-30T00:01:45"/>
    <n v="0.83520000000000005"/>
    <n v="9.9439999999999997E-3"/>
    <n v="8.352E-3"/>
    <n v="1"/>
    <n v="5.6497175141242938E-3"/>
    <n v="0.99435028248587576"/>
  </r>
  <r>
    <n v="27"/>
    <n v="24"/>
    <n v="0.88890000000000002"/>
    <n v="3"/>
    <d v="1899-12-30T00:00:13"/>
    <d v="1899-12-30T00:02:15"/>
    <d v="1899-12-30T00:01:08"/>
    <n v="0.74070000000000003"/>
    <n v="8.8890000000000011E-3"/>
    <n v="7.4070000000000004E-3"/>
    <n v="3"/>
    <n v="0.1111111111111111"/>
    <n v="0.88888888888888884"/>
  </r>
  <r>
    <n v="307"/>
    <n v="305"/>
    <n v="0.99350000000000005"/>
    <n v="2"/>
    <d v="1899-12-30T00:00:09"/>
    <d v="1899-12-30T00:03:01"/>
    <d v="1899-12-30T00:01:42"/>
    <n v="0.91800000000000004"/>
    <n v="9.9350000000000011E-3"/>
    <n v="9.1800000000000007E-3"/>
    <n v="2"/>
    <n v="6.5146579804560263E-3"/>
    <n v="0.99348534201954397"/>
  </r>
  <r>
    <n v="587"/>
    <n v="577"/>
    <n v="0.98299999999999998"/>
    <n v="10"/>
    <d v="1899-12-30T00:00:10"/>
    <d v="1899-12-30T00:02:08"/>
    <d v="1899-12-30T00:01:56"/>
    <n v="0.9194"/>
    <n v="9.8300000000000002E-3"/>
    <n v="9.1940000000000008E-3"/>
    <n v="10"/>
    <n v="1.7035775127768313E-2"/>
    <n v="0.98296422487223167"/>
  </r>
  <r>
    <n v="270"/>
    <n v="265"/>
    <n v="0.98150000000000004"/>
    <n v="5"/>
    <d v="1899-12-30T00:00:07"/>
    <d v="1899-12-30T00:02:44"/>
    <d v="1899-12-30T00:01:56"/>
    <n v="0.91790000000000005"/>
    <n v="9.8150000000000008E-3"/>
    <n v="9.1789999999999997E-3"/>
    <n v="5"/>
    <n v="1.8518518518518517E-2"/>
    <n v="0.98148148148148151"/>
  </r>
  <r>
    <n v="307"/>
    <n v="297"/>
    <n v="0.96740000000000004"/>
    <n v="10"/>
    <d v="1899-12-30T00:00:14"/>
    <d v="1899-12-30T00:02:59"/>
    <d v="1899-12-30T00:02:55"/>
    <n v="0.82240000000000002"/>
    <n v="9.6740000000000003E-3"/>
    <n v="8.2240000000000004E-3"/>
    <n v="10"/>
    <n v="3.2573289902280131E-2"/>
    <n v="0.96742671009771986"/>
  </r>
  <r>
    <n v="242"/>
    <n v="238"/>
    <n v="0.98350000000000004"/>
    <n v="4"/>
    <d v="1899-12-30T00:00:06"/>
    <d v="1899-12-30T00:02:42"/>
    <d v="1899-12-30T00:01:55"/>
    <n v="0.94630000000000003"/>
    <n v="9.835E-3"/>
    <n v="9.4630000000000009E-3"/>
    <n v="4"/>
    <n v="1.6528925619834711E-2"/>
    <n v="0.98347107438016534"/>
  </r>
  <r>
    <n v="194"/>
    <n v="182"/>
    <n v="0.93810000000000004"/>
    <n v="12"/>
    <d v="1899-12-30T00:00:12"/>
    <d v="1899-12-30T00:02:57"/>
    <d v="1899-12-30T00:01:36"/>
    <n v="0.8115"/>
    <n v="9.3810000000000004E-3"/>
    <n v="8.1150000000000007E-3"/>
    <n v="12"/>
    <n v="6.1855670103092786E-2"/>
    <n v="0.93814432989690721"/>
  </r>
  <r>
    <n v="21"/>
    <n v="21"/>
    <n v="1"/>
    <n v="0"/>
    <d v="1899-12-30T00:00:12"/>
    <d v="1899-12-30T00:03:07"/>
    <d v="1899-12-30T00:01:34"/>
    <n v="0.90480000000000005"/>
    <n v="0.01"/>
    <n v="9.0480000000000005E-3"/>
    <n v="0"/>
    <n v="0"/>
    <n v="1"/>
  </r>
  <r>
    <n v="291"/>
    <n v="288"/>
    <n v="0.98970000000000002"/>
    <n v="3"/>
    <d v="1899-12-30T00:00:07"/>
    <d v="1899-12-30T00:02:46"/>
    <d v="1899-12-30T00:01:24"/>
    <n v="0.93789999999999996"/>
    <n v="9.8969999999999995E-3"/>
    <n v="9.3790000000000002E-3"/>
    <n v="3"/>
    <n v="1.0309278350515464E-2"/>
    <n v="0.98969072164948457"/>
  </r>
  <r>
    <n v="516"/>
    <n v="479"/>
    <n v="0.92830000000000001"/>
    <n v="37"/>
    <d v="1899-12-30T00:00:26"/>
    <d v="1899-12-30T00:02:40"/>
    <d v="1899-12-30T00:03:31"/>
    <n v="0.63800000000000001"/>
    <n v="9.2829999999999996E-3"/>
    <n v="6.3800000000000003E-3"/>
    <n v="37"/>
    <n v="7.170542635658915E-2"/>
    <n v="0.92829457364341084"/>
  </r>
  <r>
    <n v="452"/>
    <n v="447"/>
    <n v="0.9889"/>
    <n v="5"/>
    <d v="1899-12-30T00:00:06"/>
    <d v="1899-12-30T00:02:04"/>
    <d v="1899-12-30T00:03:52"/>
    <n v="0.94440000000000002"/>
    <n v="9.8890000000000002E-3"/>
    <n v="9.444000000000001E-3"/>
    <n v="5"/>
    <n v="1.1061946902654867E-2"/>
    <n v="0.98893805309734517"/>
  </r>
  <r>
    <n v="375"/>
    <n v="375"/>
    <n v="1"/>
    <n v="0"/>
    <d v="1899-12-30T00:00:05"/>
    <d v="1899-12-30T00:02:13"/>
    <d v="1899-12-30T00:01:05"/>
    <n v="0.96530000000000005"/>
    <n v="0.01"/>
    <n v="9.6530000000000001E-3"/>
    <n v="0"/>
    <n v="0"/>
    <n v="1"/>
  </r>
  <r>
    <n v="306"/>
    <n v="287"/>
    <n v="0.93789999999999996"/>
    <n v="19"/>
    <d v="1899-12-30T00:00:19"/>
    <d v="1899-12-30T00:02:15"/>
    <d v="1899-12-30T00:04:50"/>
    <n v="0.76319999999999999"/>
    <n v="9.3790000000000002E-3"/>
    <n v="7.6319999999999999E-3"/>
    <n v="19"/>
    <n v="6.2091503267973858E-2"/>
    <n v="0.93790849673202614"/>
  </r>
  <r>
    <n v="241"/>
    <n v="235"/>
    <n v="0.97509999999999997"/>
    <n v="6"/>
    <d v="1899-12-30T00:00:15"/>
    <d v="1899-12-30T00:02:40"/>
    <d v="1899-12-30T00:01:57"/>
    <n v="0.80330000000000001"/>
    <n v="9.7509999999999993E-3"/>
    <n v="8.0330000000000002E-3"/>
    <n v="6"/>
    <n v="2.4896265560165973E-2"/>
    <n v="0.975103734439834"/>
  </r>
  <r>
    <n v="34"/>
    <n v="34"/>
    <n v="1"/>
    <n v="0"/>
    <d v="1899-12-30T00:00:18"/>
    <d v="1899-12-30T00:03:01"/>
    <d v="1899-12-30T00:02:08"/>
    <n v="0.85289999999999999"/>
    <n v="0.01"/>
    <n v="8.5290000000000001E-3"/>
    <n v="0"/>
    <n v="0"/>
    <n v="1"/>
  </r>
  <r>
    <n v="248"/>
    <n v="238"/>
    <n v="0.9597"/>
    <n v="10"/>
    <d v="1899-12-30T00:00:19"/>
    <d v="1899-12-30T00:02:43"/>
    <d v="1899-12-30T00:04:33"/>
    <n v="0.7409"/>
    <n v="9.5969999999999996E-3"/>
    <n v="7.4089999999999998E-3"/>
    <n v="10"/>
    <n v="4.0322580645161289E-2"/>
    <n v="0.95967741935483875"/>
  </r>
  <r>
    <n v="323"/>
    <n v="307"/>
    <n v="0.95050000000000001"/>
    <n v="16"/>
    <d v="1899-12-30T00:00:13"/>
    <d v="1899-12-30T00:02:42"/>
    <d v="1899-12-30T00:03:28"/>
    <n v="0.82699999999999996"/>
    <n v="9.5049999999999996E-3"/>
    <n v="8.2699999999999996E-3"/>
    <n v="16"/>
    <n v="4.9535603715170282E-2"/>
    <n v="0.9504643962848297"/>
  </r>
  <r>
    <n v="260"/>
    <n v="257"/>
    <n v="0.98850000000000005"/>
    <n v="3"/>
    <d v="1899-12-30T00:00:10"/>
    <d v="1899-12-30T00:02:29"/>
    <d v="1899-12-30T00:01:42"/>
    <n v="0.91120000000000001"/>
    <n v="9.8849999999999997E-3"/>
    <n v="9.1120000000000003E-3"/>
    <n v="3"/>
    <n v="1.1538461538461539E-2"/>
    <n v="0.9884615384615385"/>
  </r>
  <r>
    <n v="316"/>
    <n v="311"/>
    <n v="0.98419999999999996"/>
    <n v="5"/>
    <d v="1899-12-30T00:00:10"/>
    <d v="1899-12-30T00:02:41"/>
    <d v="1899-12-30T00:02:54"/>
    <n v="0.87539999999999996"/>
    <n v="9.8420000000000001E-3"/>
    <n v="8.7539999999999996E-3"/>
    <n v="5"/>
    <n v="1.5822784810126583E-2"/>
    <n v="0.98417721518987344"/>
  </r>
  <r>
    <n v="60"/>
    <n v="59"/>
    <n v="0.98329999999999995"/>
    <n v="1"/>
    <d v="1899-12-30T00:00:03"/>
    <d v="1899-12-30T00:02:41"/>
    <d v="1899-12-30T00:01:55"/>
    <n v="0.98329999999999995"/>
    <n v="9.8329999999999997E-3"/>
    <n v="9.8329999999999997E-3"/>
    <n v="1"/>
    <n v="1.6666666666666666E-2"/>
    <n v="0.98333333333333328"/>
  </r>
  <r>
    <n v="267"/>
    <n v="251"/>
    <n v="0.94010000000000005"/>
    <n v="16"/>
    <d v="1899-12-30T00:00:19"/>
    <d v="1899-12-30T00:02:27"/>
    <d v="1899-12-30T00:07:44"/>
    <n v="0.75560000000000005"/>
    <n v="9.4009999999999996E-3"/>
    <n v="7.5560000000000002E-3"/>
    <n v="16"/>
    <n v="5.9925093632958802E-2"/>
    <n v="0.94007490636704116"/>
  </r>
  <r>
    <n v="30"/>
    <n v="29"/>
    <n v="0.9667"/>
    <n v="1"/>
    <d v="1899-12-30T00:00:08"/>
    <d v="1899-12-30T00:02:00"/>
    <d v="1899-12-30T00:00:46"/>
    <n v="0.93100000000000005"/>
    <n v="9.6670000000000002E-3"/>
    <n v="9.3100000000000006E-3"/>
    <n v="1"/>
    <n v="3.3333333333333333E-2"/>
    <n v="0.96666666666666667"/>
  </r>
  <r>
    <n v="247"/>
    <n v="238"/>
    <n v="0.96360000000000001"/>
    <n v="9"/>
    <d v="1899-12-30T00:00:13"/>
    <d v="1899-12-30T00:02:35"/>
    <d v="1899-12-30T00:02:54"/>
    <n v="0.83330000000000004"/>
    <n v="9.6360000000000005E-3"/>
    <n v="8.3330000000000001E-3"/>
    <n v="9"/>
    <n v="3.643724696356275E-2"/>
    <n v="0.96356275303643724"/>
  </r>
  <r>
    <n v="376"/>
    <n v="365"/>
    <n v="0.97070000000000001"/>
    <n v="11"/>
    <d v="1899-12-30T00:00:15"/>
    <d v="1899-12-30T00:03:00"/>
    <d v="1899-12-30T00:03:30"/>
    <n v="0.81769999999999998"/>
    <n v="9.7070000000000004E-3"/>
    <n v="8.1770000000000002E-3"/>
    <n v="11"/>
    <n v="2.9255319148936171E-2"/>
    <n v="0.9707446808510638"/>
  </r>
  <r>
    <n v="316"/>
    <n v="306"/>
    <n v="0.96840000000000004"/>
    <n v="10"/>
    <d v="1899-12-30T00:00:13"/>
    <d v="1899-12-30T00:02:55"/>
    <d v="1899-12-30T00:01:58"/>
    <n v="0.82799999999999996"/>
    <n v="9.6839999999999999E-3"/>
    <n v="8.2799999999999992E-3"/>
    <n v="10"/>
    <n v="3.1645569620253167E-2"/>
    <n v="0.96835443037974689"/>
  </r>
  <r>
    <n v="310"/>
    <n v="304"/>
    <n v="0.98060000000000003"/>
    <n v="6"/>
    <d v="1899-12-30T00:00:07"/>
    <d v="1899-12-30T00:02:51"/>
    <d v="1899-12-30T00:01:40"/>
    <n v="0.92159999999999997"/>
    <n v="9.8060000000000005E-3"/>
    <n v="9.2160000000000002E-3"/>
    <n v="6"/>
    <n v="1.935483870967742E-2"/>
    <n v="0.98064516129032253"/>
  </r>
  <r>
    <n v="340"/>
    <n v="327"/>
    <n v="0.96179999999999999"/>
    <n v="13"/>
    <d v="1899-12-30T00:00:23"/>
    <d v="1899-12-30T00:02:55"/>
    <d v="1899-12-30T00:02:34"/>
    <n v="0.71340000000000003"/>
    <n v="9.6179999999999998E-3"/>
    <n v="7.1340000000000006E-3"/>
    <n v="13"/>
    <n v="3.8235294117647062E-2"/>
    <n v="0.96176470588235297"/>
  </r>
  <r>
    <n v="306"/>
    <n v="289"/>
    <n v="0.94440000000000002"/>
    <n v="17"/>
    <d v="1899-12-30T00:00:24"/>
    <d v="1899-12-30T00:02:43"/>
    <d v="1899-12-30T00:05:04"/>
    <n v="0.69740000000000002"/>
    <n v="9.444000000000001E-3"/>
    <n v="6.9740000000000002E-3"/>
    <n v="17"/>
    <n v="5.5555555555555552E-2"/>
    <n v="0.94444444444444442"/>
  </r>
  <r>
    <n v="40"/>
    <n v="40"/>
    <n v="1"/>
    <n v="0"/>
    <d v="1899-12-30T00:00:05"/>
    <d v="1899-12-30T00:02:46"/>
    <d v="1899-12-30T00:00:51"/>
    <n v="0.97499999999999998"/>
    <n v="0.01"/>
    <n v="9.75E-3"/>
    <n v="0"/>
    <n v="0"/>
    <n v="1"/>
  </r>
  <r>
    <n v="378"/>
    <n v="370"/>
    <n v="0.9788"/>
    <n v="8"/>
    <d v="1899-12-30T00:00:11"/>
    <d v="1899-12-30T00:02:52"/>
    <d v="1899-12-30T00:02:36"/>
    <n v="0.86699999999999999"/>
    <n v="9.7879999999999998E-3"/>
    <n v="8.6700000000000006E-3"/>
    <n v="8"/>
    <n v="2.1164021164021163E-2"/>
    <n v="0.97883597883597884"/>
  </r>
  <r>
    <n v="424"/>
    <n v="416"/>
    <n v="0.98109999999999997"/>
    <n v="8"/>
    <d v="1899-12-30T00:00:14"/>
    <d v="1899-12-30T00:02:54"/>
    <d v="1899-12-30T00:03:41"/>
    <n v="0.83889999999999998"/>
    <n v="9.8110000000000003E-3"/>
    <n v="8.3890000000000006E-3"/>
    <n v="8"/>
    <n v="1.8867924528301886E-2"/>
    <n v="0.98113207547169812"/>
  </r>
  <r>
    <n v="356"/>
    <n v="353"/>
    <n v="0.99160000000000004"/>
    <n v="3"/>
    <d v="1899-12-30T00:00:05"/>
    <d v="1899-12-30T00:02:48"/>
    <d v="1899-12-30T00:01:04"/>
    <n v="0.97170000000000001"/>
    <n v="9.9160000000000012E-3"/>
    <n v="9.7169999999999999E-3"/>
    <n v="3"/>
    <n v="8.4269662921348312E-3"/>
    <n v="0.9915730337078652"/>
  </r>
  <r>
    <n v="320"/>
    <n v="308"/>
    <n v="0.96250000000000002"/>
    <n v="12"/>
    <d v="1899-12-30T00:00:10"/>
    <d v="1899-12-30T00:02:33"/>
    <d v="1899-12-30T00:03:24"/>
    <n v="0.88990000000000002"/>
    <n v="9.6249999999999999E-3"/>
    <n v="8.8990000000000007E-3"/>
    <n v="12"/>
    <n v="3.7499999999999999E-2"/>
    <n v="0.96250000000000002"/>
  </r>
  <r>
    <n v="351"/>
    <n v="341"/>
    <n v="0.97150000000000003"/>
    <n v="10"/>
    <d v="1899-12-30T00:00:11"/>
    <d v="1899-12-30T00:02:50"/>
    <d v="1899-12-30T00:01:49"/>
    <n v="0.86250000000000004"/>
    <n v="9.7149999999999997E-3"/>
    <n v="8.6250000000000007E-3"/>
    <n v="10"/>
    <n v="2.8490028490028491E-2"/>
    <n v="0.97150997150997154"/>
  </r>
  <r>
    <n v="85"/>
    <n v="83"/>
    <n v="0.97650000000000003"/>
    <n v="2"/>
    <d v="1899-12-30T00:00:13"/>
    <d v="1899-12-30T00:02:47"/>
    <d v="1899-12-30T00:03:44"/>
    <n v="0.85880000000000001"/>
    <n v="9.7650000000000011E-3"/>
    <n v="8.5880000000000001E-3"/>
    <n v="2"/>
    <n v="2.3529411764705882E-2"/>
    <n v="0.97647058823529409"/>
  </r>
  <r>
    <n v="44"/>
    <n v="43"/>
    <n v="0.97729999999999995"/>
    <n v="1"/>
    <d v="1899-12-30T00:00:09"/>
    <d v="1899-12-30T00:02:33"/>
    <d v="1899-12-30T00:03:52"/>
    <n v="0.84089999999999998"/>
    <n v="9.7729999999999987E-3"/>
    <n v="8.4089999999999998E-3"/>
    <n v="1"/>
    <n v="2.2727272727272728E-2"/>
    <n v="0.97727272727272729"/>
  </r>
  <r>
    <n v="388"/>
    <n v="363"/>
    <n v="0.93559999999999999"/>
    <n v="25"/>
    <d v="1899-12-30T00:00:19"/>
    <d v="1899-12-30T00:03:06"/>
    <d v="1899-12-30T00:02:54"/>
    <n v="0.752"/>
    <n v="9.3559999999999997E-3"/>
    <n v="7.5199999999999998E-3"/>
    <n v="25"/>
    <n v="6.4432989690721643E-2"/>
    <n v="0.93556701030927836"/>
  </r>
  <r>
    <n v="283"/>
    <n v="280"/>
    <n v="0.98939999999999995"/>
    <n v="3"/>
    <d v="1899-12-30T00:00:06"/>
    <d v="1899-12-30T00:03:05"/>
    <d v="1899-12-30T00:01:49"/>
    <n v="0.95730000000000004"/>
    <n v="9.894E-3"/>
    <n v="9.5729999999999999E-3"/>
    <n v="3"/>
    <n v="1.0600706713780919E-2"/>
    <n v="0.98939929328621912"/>
  </r>
  <r>
    <n v="241"/>
    <n v="238"/>
    <n v="0.98760000000000003"/>
    <n v="3"/>
    <d v="1899-12-30T00:00:05"/>
    <d v="1899-12-30T00:02:55"/>
    <d v="1899-12-30T00:03:16"/>
    <n v="0.9667"/>
    <n v="9.8760000000000011E-3"/>
    <n v="9.6670000000000002E-3"/>
    <n v="3"/>
    <n v="1.2448132780082987E-2"/>
    <n v="0.98755186721991706"/>
  </r>
  <r>
    <n v="280"/>
    <n v="273"/>
    <n v="0.97499999999999998"/>
    <n v="7"/>
    <d v="1899-12-30T00:00:09"/>
    <d v="1899-12-30T00:02:46"/>
    <d v="1899-12-30T00:03:38"/>
    <n v="0.8821"/>
    <n v="9.75E-3"/>
    <n v="8.8210000000000007E-3"/>
    <n v="7"/>
    <n v="2.5000000000000001E-2"/>
    <n v="0.97499999999999998"/>
  </r>
  <r>
    <n v="294"/>
    <n v="273"/>
    <n v="0.92859999999999998"/>
    <n v="21"/>
    <d v="1899-12-30T00:00:26"/>
    <d v="1899-12-30T00:03:16"/>
    <d v="1899-12-30T00:02:44"/>
    <n v="0.61770000000000003"/>
    <n v="9.2859999999999991E-3"/>
    <n v="6.1770000000000002E-3"/>
    <n v="21"/>
    <n v="7.1428571428571425E-2"/>
    <n v="0.9285714285714286"/>
  </r>
  <r>
    <n v="290"/>
    <n v="246"/>
    <n v="0.84830000000000005"/>
    <n v="44"/>
    <d v="1899-12-30T00:00:27"/>
    <d v="1899-12-30T00:03:04"/>
    <d v="1899-12-30T00:04:44"/>
    <n v="0.63859999999999995"/>
    <n v="8.483000000000001E-3"/>
    <n v="6.3859999999999993E-3"/>
    <n v="44"/>
    <n v="0.15172413793103448"/>
    <n v="0.84827586206896555"/>
  </r>
  <r>
    <n v="32"/>
    <n v="32"/>
    <n v="1"/>
    <n v="0"/>
    <d v="1899-12-30T00:00:06"/>
    <d v="1899-12-30T00:02:43"/>
    <d v="1899-12-30T00:01:10"/>
    <n v="0.96879999999999999"/>
    <n v="0.01"/>
    <n v="9.6880000000000004E-3"/>
    <n v="0"/>
    <n v="0"/>
    <n v="1"/>
  </r>
  <r>
    <n v="270"/>
    <n v="263"/>
    <n v="0.97409999999999997"/>
    <n v="7"/>
    <d v="1899-12-30T00:00:12"/>
    <d v="1899-12-30T00:02:52"/>
    <d v="1899-12-30T00:02:00"/>
    <n v="0.85450000000000004"/>
    <n v="9.7409999999999997E-3"/>
    <n v="8.5450000000000005E-3"/>
    <n v="7"/>
    <n v="2.5925925925925925E-2"/>
    <n v="0.97407407407407409"/>
  </r>
  <r>
    <n v="212"/>
    <n v="208"/>
    <n v="0.98109999999999997"/>
    <n v="4"/>
    <d v="1899-12-30T00:00:08"/>
    <d v="1899-12-30T00:02:43"/>
    <d v="1899-12-30T00:02:34"/>
    <n v="0.91"/>
    <n v="9.8110000000000003E-3"/>
    <n v="9.1000000000000004E-3"/>
    <n v="4"/>
    <n v="1.8867924528301886E-2"/>
    <n v="0.98113207547169812"/>
  </r>
  <r>
    <n v="246"/>
    <n v="238"/>
    <n v="0.96750000000000003"/>
    <n v="8"/>
    <d v="1899-12-30T00:00:07"/>
    <d v="1899-12-30T00:02:53"/>
    <d v="1899-12-30T00:03:48"/>
    <n v="0.91839999999999999"/>
    <n v="9.6749999999999996E-3"/>
    <n v="9.1839999999999995E-3"/>
    <n v="8"/>
    <n v="3.2520325203252036E-2"/>
    <n v="0.96747967479674801"/>
  </r>
  <r>
    <n v="194"/>
    <n v="190"/>
    <n v="0.97940000000000005"/>
    <n v="4"/>
    <d v="1899-12-30T00:00:08"/>
    <d v="1899-12-30T00:02:43"/>
    <d v="1899-12-30T00:03:34"/>
    <n v="0.92779999999999996"/>
    <n v="9.7940000000000006E-3"/>
    <n v="9.2779999999999998E-3"/>
    <n v="4"/>
    <n v="2.0618556701030927E-2"/>
    <n v="0.97938144329896903"/>
  </r>
  <r>
    <n v="179"/>
    <n v="176"/>
    <n v="0.98319999999999996"/>
    <n v="3"/>
    <d v="1899-12-30T00:00:06"/>
    <d v="1899-12-30T00:02:44"/>
    <d v="1899-12-30T00:01:43"/>
    <n v="0.96050000000000002"/>
    <n v="9.8320000000000005E-3"/>
    <n v="9.6050000000000007E-3"/>
    <n v="3"/>
    <n v="1.6759776536312849E-2"/>
    <n v="0.98324022346368711"/>
  </r>
  <r>
    <n v="67"/>
    <n v="65"/>
    <n v="0.97009999999999996"/>
    <n v="2"/>
    <d v="1899-12-30T00:00:09"/>
    <d v="1899-12-30T00:02:36"/>
    <d v="1899-12-30T00:01:59"/>
    <n v="0.89549999999999996"/>
    <n v="9.7009999999999996E-3"/>
    <n v="8.9549999999999994E-3"/>
    <n v="2"/>
    <n v="2.9850746268656716E-2"/>
    <n v="0.97014925373134331"/>
  </r>
  <r>
    <n v="27"/>
    <n v="27"/>
    <n v="1"/>
    <n v="0"/>
    <d v="1899-12-30T00:00:09"/>
    <d v="1899-12-30T00:02:27"/>
    <d v="1899-12-30T00:01:33"/>
    <n v="0.88890000000000002"/>
    <n v="0.01"/>
    <n v="8.8890000000000011E-3"/>
    <n v="0"/>
    <n v="0"/>
    <n v="1"/>
  </r>
  <r>
    <n v="190"/>
    <n v="183"/>
    <n v="0.96319999999999995"/>
    <n v="7"/>
    <d v="1899-12-30T00:00:09"/>
    <d v="1899-12-30T00:02:38"/>
    <d v="1899-12-30T00:02:54"/>
    <n v="0.87829999999999997"/>
    <n v="9.6319999999999999E-3"/>
    <n v="8.7829999999999991E-3"/>
    <n v="7"/>
    <n v="3.6842105263157891E-2"/>
    <n v="0.9631578947368421"/>
  </r>
  <r>
    <n v="213"/>
    <n v="205"/>
    <n v="0.96240000000000003"/>
    <n v="8"/>
    <d v="1899-12-30T00:00:10"/>
    <d v="1899-12-30T00:02:38"/>
    <d v="1899-12-30T00:05:02"/>
    <n v="0.88149999999999995"/>
    <n v="9.6240000000000006E-3"/>
    <n v="8.8149999999999999E-3"/>
    <n v="8"/>
    <n v="3.7558685446009391E-2"/>
    <n v="0.96244131455399062"/>
  </r>
  <r>
    <n v="208"/>
    <n v="205"/>
    <n v="0.98560000000000003"/>
    <n v="3"/>
    <d v="1899-12-30T00:00:04"/>
    <d v="1899-12-30T00:02:36"/>
    <d v="1899-12-30T00:02:53"/>
    <n v="0.97089999999999999"/>
    <n v="9.8560000000000002E-3"/>
    <n v="9.7090000000000006E-3"/>
    <n v="3"/>
    <n v="1.4423076923076924E-2"/>
    <n v="0.98557692307692313"/>
  </r>
  <r>
    <n v="166"/>
    <n v="165"/>
    <n v="0.99399999999999999"/>
    <n v="1"/>
    <d v="1899-12-30T00:00:08"/>
    <d v="1899-12-30T00:02:41"/>
    <d v="1899-12-30T00:03:31"/>
    <n v="0.92769999999999997"/>
    <n v="9.9399999999999992E-3"/>
    <n v="9.2770000000000005E-3"/>
    <n v="1"/>
    <n v="6.024096385542169E-3"/>
    <n v="0.99397590361445787"/>
  </r>
  <r>
    <n v="169"/>
    <n v="161"/>
    <n v="0.95269999999999999"/>
    <n v="8"/>
    <d v="1899-12-30T00:00:18"/>
    <d v="1899-12-30T00:02:52"/>
    <d v="1899-12-30T00:03:37"/>
    <n v="0.73960000000000004"/>
    <n v="9.5270000000000007E-3"/>
    <n v="7.3960000000000007E-3"/>
    <n v="8"/>
    <n v="4.7337278106508875E-2"/>
    <n v="0.9526627218934911"/>
  </r>
  <r>
    <n v="175"/>
    <n v="167"/>
    <n v="0.95430000000000004"/>
    <n v="8"/>
    <d v="1899-12-30T00:00:10"/>
    <d v="1899-12-30T00:02:29"/>
    <d v="1899-12-30T00:03:52"/>
    <n v="0.8629"/>
    <n v="9.5430000000000011E-3"/>
    <n v="8.6289999999999995E-3"/>
    <n v="8"/>
    <n v="4.5714285714285714E-2"/>
    <n v="0.95428571428571429"/>
  </r>
  <r>
    <n v="43"/>
    <n v="43"/>
    <n v="1"/>
    <n v="0"/>
    <d v="1899-12-30T00:00:04"/>
    <d v="1899-12-30T00:02:42"/>
    <d v="1899-12-30T00:00:29"/>
    <n v="1"/>
    <n v="0.01"/>
    <n v="0.01"/>
    <n v="0"/>
    <n v="0"/>
    <n v="1"/>
  </r>
  <r>
    <n v="24"/>
    <n v="24"/>
    <n v="1"/>
    <n v="0"/>
    <d v="1899-12-30T00:00:03"/>
    <d v="1899-12-30T00:02:46"/>
    <d v="1899-12-30T00:00:03"/>
    <n v="1"/>
    <n v="0.01"/>
    <n v="0.01"/>
    <n v="0"/>
    <n v="0"/>
    <n v="1"/>
  </r>
  <r>
    <n v="26"/>
    <n v="26"/>
    <n v="1"/>
    <n v="0"/>
    <d v="1899-12-30T00:00:05"/>
    <d v="1899-12-30T00:02:52"/>
    <d v="1899-12-30T00:00:58"/>
    <n v="0.92310000000000003"/>
    <n v="0.01"/>
    <n v="9.2309999999999996E-3"/>
    <n v="0"/>
    <n v="0"/>
    <n v="1"/>
  </r>
  <r>
    <n v="42"/>
    <n v="41"/>
    <n v="0.97619999999999996"/>
    <n v="1"/>
    <d v="1899-12-30T00:00:03"/>
    <d v="1899-12-30T00:02:41"/>
    <d v="1899-12-30T00:00:03"/>
    <n v="1"/>
    <n v="9.7619999999999998E-3"/>
    <n v="0.01"/>
    <n v="1"/>
    <n v="2.3809523809523808E-2"/>
    <n v="0.97619047619047616"/>
  </r>
  <r>
    <n v="37"/>
    <n v="36"/>
    <n v="0.97299999999999998"/>
    <n v="1"/>
    <d v="1899-12-30T00:00:05"/>
    <d v="1899-12-30T00:02:24"/>
    <d v="1899-12-30T00:04:50"/>
    <n v="0.94589999999999996"/>
    <n v="9.7299999999999991E-3"/>
    <n v="9.4590000000000004E-3"/>
    <n v="1"/>
    <n v="2.7027027027027029E-2"/>
    <n v="0.97297297297297303"/>
  </r>
  <r>
    <n v="60"/>
    <n v="60"/>
    <n v="1"/>
    <n v="0"/>
    <d v="1899-12-30T00:00:05"/>
    <d v="1899-12-30T00:03:07"/>
    <d v="1899-12-30T00:01:01"/>
    <n v="0.9667"/>
    <n v="0.01"/>
    <n v="9.6670000000000002E-3"/>
    <n v="0"/>
    <n v="0"/>
    <n v="1"/>
  </r>
  <r>
    <n v="82"/>
    <n v="81"/>
    <n v="0.98780000000000001"/>
    <n v="1"/>
    <d v="1899-12-30T00:00:03"/>
    <d v="1899-12-30T00:02:24"/>
    <d v="1899-12-30T00:00:58"/>
    <n v="0.97560000000000002"/>
    <n v="9.8779999999999996E-3"/>
    <n v="9.7560000000000008E-3"/>
    <n v="1"/>
    <n v="1.2195121951219513E-2"/>
    <n v="0.98780487804878048"/>
  </r>
  <r>
    <n v="31"/>
    <n v="31"/>
    <n v="1"/>
    <n v="0"/>
    <d v="1899-12-30T00:00:06"/>
    <d v="1899-12-30T00:02:20"/>
    <d v="1899-12-30T00:01:01"/>
    <n v="0.9355"/>
    <n v="0.01"/>
    <n v="9.3550000000000005E-3"/>
    <n v="0"/>
    <n v="0"/>
    <n v="1"/>
  </r>
  <r>
    <n v="178"/>
    <n v="171"/>
    <n v="0.9607"/>
    <n v="7"/>
    <d v="1899-12-30T00:00:16"/>
    <d v="1899-12-30T00:02:43"/>
    <d v="1899-12-30T00:02:06"/>
    <n v="0.76139999999999997"/>
    <n v="9.6069999999999992E-3"/>
    <n v="7.6139999999999992E-3"/>
    <n v="7"/>
    <n v="3.9325842696629212E-2"/>
    <n v="0.9606741573033708"/>
  </r>
  <r>
    <n v="183"/>
    <n v="175"/>
    <n v="0.95630000000000004"/>
    <n v="8"/>
    <d v="1899-12-30T00:00:13"/>
    <d v="1899-12-30T00:02:27"/>
    <d v="1899-12-30T00:04:38"/>
    <n v="0.85560000000000003"/>
    <n v="9.5630000000000003E-3"/>
    <n v="8.5560000000000011E-3"/>
    <n v="8"/>
    <n v="4.3715846994535519E-2"/>
    <n v="0.95628415300546443"/>
  </r>
  <r>
    <n v="39"/>
    <n v="37"/>
    <n v="0.94869999999999999"/>
    <n v="2"/>
    <d v="1899-12-30T00:00:03"/>
    <d v="1899-12-30T00:02:53"/>
    <d v="1899-12-30T00:00:58"/>
    <n v="0.97370000000000001"/>
    <n v="9.4870000000000006E-3"/>
    <n v="9.7370000000000009E-3"/>
    <n v="2"/>
    <n v="5.128205128205128E-2"/>
    <n v="0.94871794871794868"/>
  </r>
  <r>
    <n v="170"/>
    <n v="167"/>
    <n v="0.98240000000000005"/>
    <n v="3"/>
    <d v="1899-12-30T00:00:12"/>
    <d v="1899-12-30T00:02:24"/>
    <d v="1899-12-30T00:02:50"/>
    <n v="0.85289999999999999"/>
    <n v="9.8240000000000011E-3"/>
    <n v="8.5290000000000001E-3"/>
    <n v="3"/>
    <n v="1.7647058823529412E-2"/>
    <n v="0.98235294117647054"/>
  </r>
  <r>
    <n v="180"/>
    <n v="168"/>
    <n v="0.93330000000000002"/>
    <n v="12"/>
    <d v="1899-12-30T00:00:12"/>
    <d v="1899-12-30T00:02:46"/>
    <d v="1899-12-30T00:04:29"/>
    <n v="0.83150000000000002"/>
    <n v="9.333000000000001E-3"/>
    <n v="8.3149999999999995E-3"/>
    <n v="12"/>
    <n v="6.6666666666666666E-2"/>
    <n v="0.93333333333333335"/>
  </r>
  <r>
    <n v="24"/>
    <n v="24"/>
    <n v="1"/>
    <n v="0"/>
    <d v="1899-12-30T00:00:04"/>
    <d v="1899-12-30T00:02:36"/>
    <d v="1899-12-30T00:00:21"/>
    <n v="1"/>
    <n v="0.01"/>
    <n v="0.01"/>
    <n v="0"/>
    <n v="0"/>
    <n v="1"/>
  </r>
  <r>
    <n v="7"/>
    <n v="7"/>
    <n v="1"/>
    <n v="0"/>
    <d v="1899-12-30T00:00:33"/>
    <d v="1899-12-30T00:02:39"/>
    <d v="1899-12-30T00:01:33"/>
    <n v="0.42859999999999998"/>
    <n v="0.01"/>
    <n v="4.2859999999999999E-3"/>
    <n v="0"/>
    <n v="0"/>
    <n v="1"/>
  </r>
  <r>
    <n v="181"/>
    <n v="181"/>
    <n v="1"/>
    <n v="0"/>
    <d v="1899-12-30T00:00:12"/>
    <d v="1899-12-30T00:02:47"/>
    <d v="1899-12-30T00:01:29"/>
    <n v="0.87849999999999995"/>
    <n v="0.01"/>
    <n v="8.7849999999999994E-3"/>
    <n v="0"/>
    <n v="0"/>
    <n v="1"/>
  </r>
  <r>
    <n v="209"/>
    <n v="206"/>
    <n v="0.98560000000000003"/>
    <n v="3"/>
    <d v="1899-12-30T00:00:05"/>
    <d v="1899-12-30T00:02:42"/>
    <d v="1899-12-30T00:00:58"/>
    <n v="0.95169999999999999"/>
    <n v="9.8560000000000002E-3"/>
    <n v="9.5169999999999994E-3"/>
    <n v="3"/>
    <n v="1.4354066985645933E-2"/>
    <n v="0.9856459330143541"/>
  </r>
  <r>
    <n v="180"/>
    <n v="179"/>
    <n v="0.99439999999999995"/>
    <n v="1"/>
    <d v="1899-12-30T00:00:04"/>
    <d v="1899-12-30T00:02:28"/>
    <d v="1899-12-30T00:01:02"/>
    <n v="0.97209999999999996"/>
    <n v="9.9439999999999997E-3"/>
    <n v="9.7210000000000005E-3"/>
    <n v="1"/>
    <n v="5.5555555555555558E-3"/>
    <n v="0.99444444444444446"/>
  </r>
  <r>
    <n v="221"/>
    <n v="203"/>
    <n v="0.91859999999999997"/>
    <n v="18"/>
    <d v="1899-12-30T00:00:12"/>
    <d v="1899-12-30T00:02:43"/>
    <d v="1899-12-30T00:02:55"/>
    <n v="0.87319999999999998"/>
    <n v="9.1859999999999997E-3"/>
    <n v="8.7320000000000002E-3"/>
    <n v="18"/>
    <n v="8.1447963800904979E-2"/>
    <n v="0.91855203619909498"/>
  </r>
  <r>
    <n v="254"/>
    <n v="248"/>
    <n v="0.97640000000000005"/>
    <n v="6"/>
    <d v="1899-12-30T00:00:10"/>
    <d v="1899-12-30T00:02:48"/>
    <d v="1899-12-30T00:03:07"/>
    <n v="0.90869999999999995"/>
    <n v="9.7640000000000001E-3"/>
    <n v="9.0869999999999996E-3"/>
    <n v="6"/>
    <n v="2.3622047244094488E-2"/>
    <n v="0.97637795275590555"/>
  </r>
  <r>
    <n v="627"/>
    <n v="577"/>
    <n v="0.92030000000000001"/>
    <n v="50"/>
    <d v="1899-12-30T00:00:41"/>
    <d v="1899-12-30T00:02:39"/>
    <d v="1899-12-30T00:05:20"/>
    <n v="0.47810000000000002"/>
    <n v="9.2029999999999994E-3"/>
    <n v="4.7810000000000005E-3"/>
    <n v="50"/>
    <n v="7.9744816586921854E-2"/>
    <n v="0.9202551834130781"/>
  </r>
  <r>
    <n v="167"/>
    <n v="159"/>
    <n v="0.95209999999999995"/>
    <n v="8"/>
    <d v="1899-12-30T00:00:18"/>
    <d v="1899-12-30T00:03:10"/>
    <d v="1899-12-30T00:03:55"/>
    <n v="0.76049999999999995"/>
    <n v="9.5209999999999999E-3"/>
    <n v="7.6049999999999998E-3"/>
    <n v="8"/>
    <n v="4.790419161676647E-2"/>
    <n v="0.95209580838323349"/>
  </r>
  <r>
    <n v="599"/>
    <n v="554"/>
    <n v="0.92490000000000006"/>
    <n v="45"/>
    <d v="1899-12-30T00:00:25"/>
    <d v="1899-12-30T00:02:35"/>
    <d v="1899-12-30T00:04:50"/>
    <n v="0.63560000000000005"/>
    <n v="9.2490000000000003E-3"/>
    <n v="6.3560000000000005E-3"/>
    <n v="45"/>
    <n v="7.512520868113523E-2"/>
    <n v="0.92487479131886474"/>
  </r>
  <r>
    <n v="304"/>
    <n v="300"/>
    <n v="0.98680000000000001"/>
    <n v="4"/>
    <d v="1899-12-30T00:00:07"/>
    <d v="1899-12-30T00:02:35"/>
    <d v="1899-12-30T00:02:55"/>
    <n v="0.92410000000000003"/>
    <n v="9.868E-3"/>
    <n v="9.2410000000000009E-3"/>
    <n v="4"/>
    <n v="1.3157894736842105E-2"/>
    <n v="0.98684210526315785"/>
  </r>
  <r>
    <n v="267"/>
    <n v="260"/>
    <n v="0.9738"/>
    <n v="7"/>
    <d v="1899-12-30T00:00:08"/>
    <d v="1899-12-30T00:02:56"/>
    <d v="1899-12-30T00:01:54"/>
    <n v="0.90910000000000002"/>
    <n v="9.7380000000000001E-3"/>
    <n v="9.0910000000000001E-3"/>
    <n v="7"/>
    <n v="2.6217228464419477E-2"/>
    <n v="0.97378277153558057"/>
  </r>
  <r>
    <n v="286"/>
    <n v="281"/>
    <n v="0.98250000000000004"/>
    <n v="5"/>
    <d v="1899-12-30T00:00:11"/>
    <d v="1899-12-30T00:02:40"/>
    <d v="1899-12-30T00:02:54"/>
    <n v="0.86970000000000003"/>
    <n v="9.8250000000000004E-3"/>
    <n v="8.6969999999999999E-3"/>
    <n v="5"/>
    <n v="1.7482517482517484E-2"/>
    <n v="0.9825174825174825"/>
  </r>
  <r>
    <n v="196"/>
    <n v="192"/>
    <n v="0.97960000000000003"/>
    <n v="4"/>
    <d v="1899-12-30T00:00:13"/>
    <d v="1899-12-30T00:02:43"/>
    <d v="1899-12-30T00:02:06"/>
    <n v="0.85640000000000005"/>
    <n v="9.7960000000000009E-3"/>
    <n v="8.5640000000000004E-3"/>
    <n v="4"/>
    <n v="2.0408163265306121E-2"/>
    <n v="0.97959183673469385"/>
  </r>
  <r>
    <n v="191"/>
    <n v="189"/>
    <n v="0.98950000000000005"/>
    <n v="2"/>
    <d v="1899-12-30T00:00:11"/>
    <d v="1899-12-30T00:03:00"/>
    <d v="1899-12-30T00:02:34"/>
    <n v="0.88419999999999999"/>
    <n v="9.895000000000001E-3"/>
    <n v="8.8419999999999992E-3"/>
    <n v="2"/>
    <n v="1.0471204188481676E-2"/>
    <n v="0.98952879581151831"/>
  </r>
  <r>
    <n v="60"/>
    <n v="60"/>
    <n v="1"/>
    <n v="0"/>
    <d v="1899-12-30T00:00:06"/>
    <d v="1899-12-30T00:01:58"/>
    <d v="1899-12-30T00:00:59"/>
    <n v="0.9667"/>
    <n v="0.01"/>
    <n v="9.6670000000000002E-3"/>
    <n v="0"/>
    <n v="0"/>
    <n v="1"/>
  </r>
  <r>
    <n v="215"/>
    <n v="207"/>
    <n v="0.96279999999999999"/>
    <n v="8"/>
    <d v="1899-12-30T00:00:10"/>
    <d v="1899-12-30T00:02:40"/>
    <d v="1899-12-30T00:01:44"/>
    <n v="0.90429999999999999"/>
    <n v="9.6279999999999994E-3"/>
    <n v="9.0430000000000007E-3"/>
    <n v="8"/>
    <n v="3.7209302325581395E-2"/>
    <n v="0.96279069767441861"/>
  </r>
  <r>
    <n v="221"/>
    <n v="213"/>
    <n v="0.96379999999999999"/>
    <n v="8"/>
    <d v="1899-12-30T00:00:08"/>
    <d v="1899-12-30T00:02:35"/>
    <d v="1899-12-30T00:01:47"/>
    <n v="0.90449999999999997"/>
    <n v="9.6380000000000007E-3"/>
    <n v="9.0449999999999992E-3"/>
    <n v="8"/>
    <n v="3.6199095022624438E-2"/>
    <n v="0.96380090497737558"/>
  </r>
  <r>
    <n v="201"/>
    <n v="193"/>
    <n v="0.96020000000000005"/>
    <n v="8"/>
    <d v="1899-12-30T00:00:03"/>
    <d v="1899-12-30T00:02:46"/>
    <d v="1899-12-30T00:00:58"/>
    <n v="0.98450000000000004"/>
    <n v="9.6020000000000012E-3"/>
    <n v="9.8449999999999996E-3"/>
    <n v="8"/>
    <n v="3.9800995024875621E-2"/>
    <n v="0.96019900497512434"/>
  </r>
  <r>
    <n v="205"/>
    <n v="202"/>
    <n v="0.98540000000000005"/>
    <n v="3"/>
    <d v="1899-12-30T00:00:05"/>
    <d v="1899-12-30T00:02:48"/>
    <d v="1899-12-30T00:01:09"/>
    <n v="0.96060000000000001"/>
    <n v="9.8539999999999999E-3"/>
    <n v="9.606E-3"/>
    <n v="3"/>
    <n v="1.4634146341463415E-2"/>
    <n v="0.98536585365853657"/>
  </r>
  <r>
    <n v="201"/>
    <n v="194"/>
    <n v="0.96519999999999995"/>
    <n v="7"/>
    <d v="1899-12-30T00:00:14"/>
    <d v="1899-12-30T00:02:44"/>
    <d v="1899-12-30T00:02:29"/>
    <n v="0.84260000000000002"/>
    <n v="9.6519999999999991E-3"/>
    <n v="8.4259999999999995E-3"/>
    <n v="7"/>
    <n v="3.482587064676617E-2"/>
    <n v="0.96517412935323388"/>
  </r>
  <r>
    <n v="140"/>
    <n v="132"/>
    <n v="0.94289999999999996"/>
    <n v="8"/>
    <d v="1899-12-30T00:00:07"/>
    <d v="1899-12-30T00:01:51"/>
    <d v="1899-12-30T00:01:56"/>
    <n v="0.92479999999999996"/>
    <n v="9.4289999999999999E-3"/>
    <n v="9.2479999999999993E-3"/>
    <n v="8"/>
    <n v="5.7142857142857141E-2"/>
    <n v="0.94285714285714284"/>
  </r>
  <r>
    <n v="29"/>
    <n v="28"/>
    <n v="0.96550000000000002"/>
    <n v="1"/>
    <d v="1899-12-30T00:00:13"/>
    <d v="1899-12-30T00:03:09"/>
    <d v="1899-12-30T00:01:47"/>
    <n v="0.8276"/>
    <n v="9.6550000000000004E-3"/>
    <n v="8.2760000000000004E-3"/>
    <n v="1"/>
    <n v="3.4482758620689655E-2"/>
    <n v="0.96551724137931039"/>
  </r>
  <r>
    <n v="398"/>
    <n v="372"/>
    <n v="0.93469999999999998"/>
    <n v="26"/>
    <d v="1899-12-30T00:00:21"/>
    <d v="1899-12-30T00:02:51"/>
    <d v="1899-12-30T00:04:13"/>
    <n v="0.72519999999999996"/>
    <n v="9.3469999999999994E-3"/>
    <n v="7.2519999999999998E-3"/>
    <n v="26"/>
    <n v="6.5326633165829151E-2"/>
    <n v="0.9346733668341709"/>
  </r>
  <r>
    <n v="255"/>
    <n v="249"/>
    <n v="0.97650000000000003"/>
    <n v="6"/>
    <d v="1899-12-30T00:00:15"/>
    <d v="1899-12-30T00:03:01"/>
    <d v="1899-12-30T00:02:09"/>
    <n v="0.83330000000000004"/>
    <n v="9.7650000000000011E-3"/>
    <n v="8.3330000000000001E-3"/>
    <n v="6"/>
    <n v="2.3529411764705882E-2"/>
    <n v="0.97647058823529409"/>
  </r>
  <r>
    <n v="283"/>
    <n v="278"/>
    <n v="0.98229999999999995"/>
    <n v="5"/>
    <d v="1899-12-30T00:00:17"/>
    <d v="1899-12-30T00:02:38"/>
    <d v="1899-12-30T00:01:59"/>
    <n v="0.79569999999999996"/>
    <n v="9.8230000000000001E-3"/>
    <n v="7.9569999999999988E-3"/>
    <n v="5"/>
    <n v="1.7667844522968199E-2"/>
    <n v="0.98233215547703179"/>
  </r>
  <r>
    <n v="230"/>
    <n v="222"/>
    <n v="0.96519999999999995"/>
    <n v="8"/>
    <d v="1899-12-30T00:00:21"/>
    <d v="1899-12-30T00:02:46"/>
    <d v="1899-12-30T00:02:45"/>
    <n v="0.72250000000000003"/>
    <n v="9.6519999999999991E-3"/>
    <n v="7.2250000000000005E-3"/>
    <n v="8"/>
    <n v="3.4782608695652174E-2"/>
    <n v="0.9652173913043478"/>
  </r>
  <r>
    <n v="185"/>
    <n v="183"/>
    <n v="0.98919999999999997"/>
    <n v="2"/>
    <d v="1899-12-30T00:00:10"/>
    <d v="1899-12-30T00:03:15"/>
    <d v="1899-12-30T00:01:20"/>
    <n v="0.89729999999999999"/>
    <n v="9.8919999999999998E-3"/>
    <n v="8.9730000000000001E-3"/>
    <n v="2"/>
    <n v="1.0810810810810811E-2"/>
    <n v="0.98918918918918919"/>
  </r>
  <r>
    <n v="197"/>
    <n v="194"/>
    <n v="0.98480000000000001"/>
    <n v="3"/>
    <d v="1899-12-30T00:00:13"/>
    <d v="1899-12-30T00:02:49"/>
    <d v="1899-12-30T00:02:01"/>
    <n v="0.82650000000000001"/>
    <n v="9.8480000000000009E-3"/>
    <n v="8.2649999999999998E-3"/>
    <n v="3"/>
    <n v="1.5228426395939087E-2"/>
    <n v="0.98477157360406087"/>
  </r>
  <r>
    <n v="15"/>
    <n v="14"/>
    <n v="0.93330000000000002"/>
    <n v="1"/>
    <d v="1899-12-30T00:00:12"/>
    <d v="1899-12-30T00:03:14"/>
    <d v="1899-12-30T00:01:48"/>
    <n v="0.86670000000000003"/>
    <n v="9.333000000000001E-3"/>
    <n v="8.6670000000000011E-3"/>
    <n v="1"/>
    <n v="6.6666666666666666E-2"/>
    <n v="0.93333333333333335"/>
  </r>
  <r>
    <n v="230"/>
    <n v="228"/>
    <n v="0.99129999999999996"/>
    <n v="2"/>
    <d v="1899-12-30T00:00:07"/>
    <d v="1899-12-30T00:02:47"/>
    <d v="1899-12-30T00:01:01"/>
    <n v="0.93889999999999996"/>
    <n v="9.9129999999999999E-3"/>
    <n v="9.3889999999999998E-3"/>
    <n v="2"/>
    <n v="8.6956521739130436E-3"/>
    <n v="0.99130434782608701"/>
  </r>
  <r>
    <n v="232"/>
    <n v="224"/>
    <n v="0.96550000000000002"/>
    <n v="8"/>
    <d v="1899-12-30T00:00:12"/>
    <d v="1899-12-30T00:02:51"/>
    <d v="1899-12-30T00:01:34"/>
    <n v="0.86460000000000004"/>
    <n v="9.6550000000000004E-3"/>
    <n v="8.6460000000000009E-3"/>
    <n v="8"/>
    <n v="3.4482758620689655E-2"/>
    <n v="0.96551724137931039"/>
  </r>
  <r>
    <n v="237"/>
    <n v="231"/>
    <n v="0.97470000000000001"/>
    <n v="6"/>
    <d v="1899-12-30T00:00:11"/>
    <d v="1899-12-30T00:03:01"/>
    <d v="1899-12-30T00:01:59"/>
    <n v="0.87709999999999999"/>
    <n v="9.7470000000000005E-3"/>
    <n v="8.7709999999999993E-3"/>
    <n v="6"/>
    <n v="2.5316455696202531E-2"/>
    <n v="0.97468354430379744"/>
  </r>
  <r>
    <n v="42"/>
    <n v="39"/>
    <n v="0.92859999999999998"/>
    <n v="3"/>
    <d v="1899-12-30T00:00:17"/>
    <d v="1899-12-30T00:02:51"/>
    <d v="1899-12-30T00:01:40"/>
    <n v="0.78569999999999995"/>
    <n v="9.2859999999999991E-3"/>
    <n v="7.8569999999999994E-3"/>
    <n v="3"/>
    <n v="7.1428571428571425E-2"/>
    <n v="0.9285714285714286"/>
  </r>
  <r>
    <n v="215"/>
    <n v="211"/>
    <n v="0.98140000000000005"/>
    <n v="4"/>
    <d v="1899-12-30T00:00:06"/>
    <d v="1899-12-30T00:03:06"/>
    <d v="1899-12-30T00:02:54"/>
    <n v="0.94810000000000005"/>
    <n v="9.8139999999999998E-3"/>
    <n v="9.4809999999999998E-3"/>
    <n v="4"/>
    <n v="1.8604651162790697E-2"/>
    <n v="0.98139534883720925"/>
  </r>
  <r>
    <n v="153"/>
    <n v="152"/>
    <n v="0.99350000000000005"/>
    <n v="1"/>
    <d v="1899-12-30T00:00:04"/>
    <d v="1899-12-30T00:02:35"/>
    <d v="1899-12-30T00:00:55"/>
    <n v="0.9869"/>
    <n v="9.9350000000000011E-3"/>
    <n v="9.8689999999999993E-3"/>
    <n v="1"/>
    <n v="6.5359477124183009E-3"/>
    <n v="0.99346405228758172"/>
  </r>
  <r>
    <n v="39"/>
    <n v="39"/>
    <n v="1"/>
    <n v="0"/>
    <d v="1899-12-30T00:00:14"/>
    <d v="1899-12-30T00:03:42"/>
    <d v="1899-12-30T00:01:37"/>
    <n v="0.84619999999999995"/>
    <n v="0.01"/>
    <n v="8.461999999999999E-3"/>
    <n v="0"/>
    <n v="0"/>
    <n v="1"/>
  </r>
  <r>
    <n v="334"/>
    <n v="322"/>
    <n v="0.96409999999999996"/>
    <n v="12"/>
    <d v="1899-12-30T00:00:17"/>
    <d v="1899-12-30T00:02:56"/>
    <d v="1899-12-30T00:02:18"/>
    <n v="0.77129999999999999"/>
    <n v="9.6410000000000003E-3"/>
    <n v="7.7130000000000002E-3"/>
    <n v="12"/>
    <n v="3.5928143712574849E-2"/>
    <n v="0.9640718562874252"/>
  </r>
  <r>
    <n v="236"/>
    <n v="225"/>
    <n v="0.95340000000000003"/>
    <n v="11"/>
    <d v="1899-12-30T00:00:13"/>
    <d v="1899-12-30T00:02:53"/>
    <d v="1899-12-30T00:01:56"/>
    <n v="0.85089999999999999"/>
    <n v="9.5340000000000008E-3"/>
    <n v="8.5089999999999992E-3"/>
    <n v="11"/>
    <n v="4.6610169491525424E-2"/>
    <n v="0.95338983050847459"/>
  </r>
  <r>
    <n v="186"/>
    <n v="182"/>
    <n v="0.97850000000000004"/>
    <n v="4"/>
    <d v="1899-12-30T00:00:08"/>
    <d v="1899-12-30T00:02:38"/>
    <d v="1899-12-30T00:02:10"/>
    <n v="0.95109999999999995"/>
    <n v="9.7850000000000003E-3"/>
    <n v="9.5109999999999986E-3"/>
    <n v="4"/>
    <n v="2.1505376344086023E-2"/>
    <n v="0.978494623655914"/>
  </r>
  <r>
    <n v="202"/>
    <n v="197"/>
    <n v="0.97519999999999996"/>
    <n v="5"/>
    <d v="1899-12-30T00:00:13"/>
    <d v="1899-12-30T00:02:33"/>
    <d v="1899-12-30T00:01:56"/>
    <n v="0.87"/>
    <n v="9.7520000000000003E-3"/>
    <n v="8.6999999999999994E-3"/>
    <n v="5"/>
    <n v="2.4752475247524754E-2"/>
    <n v="0.97524752475247523"/>
  </r>
  <r>
    <n v="185"/>
    <n v="182"/>
    <n v="0.98380000000000001"/>
    <n v="3"/>
    <d v="1899-12-30T00:00:08"/>
    <d v="1899-12-30T00:02:49"/>
    <d v="1899-12-30T00:02:33"/>
    <n v="0.90269999999999995"/>
    <n v="9.8379999999999995E-3"/>
    <n v="9.0270000000000003E-3"/>
    <n v="3"/>
    <n v="1.6216216216216217E-2"/>
    <n v="0.98378378378378384"/>
  </r>
  <r>
    <n v="38"/>
    <n v="38"/>
    <n v="1"/>
    <n v="0"/>
    <d v="1899-12-30T00:00:04"/>
    <d v="1899-12-30T00:03:26"/>
    <d v="1899-12-30T00:00:57"/>
    <n v="0.97370000000000001"/>
    <n v="0.01"/>
    <n v="9.7370000000000009E-3"/>
    <n v="0"/>
    <n v="0"/>
    <n v="1"/>
  </r>
  <r>
    <n v="25"/>
    <n v="24"/>
    <n v="0.96"/>
    <n v="1"/>
    <d v="1899-12-30T00:00:03"/>
    <d v="1899-12-30T00:02:44"/>
    <d v="1899-12-30T00:00:46"/>
    <n v="0.96"/>
    <n v="9.5999999999999992E-3"/>
    <n v="9.5999999999999992E-3"/>
    <n v="1"/>
    <n v="0.04"/>
    <n v="0.96"/>
  </r>
  <r>
    <n v="203"/>
    <n v="195"/>
    <n v="0.96060000000000001"/>
    <n v="8"/>
    <d v="1899-12-30T00:00:08"/>
    <d v="1899-12-30T00:02:38"/>
    <d v="1899-12-30T00:08:34"/>
    <n v="0.88560000000000005"/>
    <n v="9.606E-3"/>
    <n v="8.856000000000001E-3"/>
    <n v="8"/>
    <n v="3.9408866995073892E-2"/>
    <n v="0.96059113300492616"/>
  </r>
  <r>
    <n v="296"/>
    <n v="292"/>
    <n v="0.98650000000000004"/>
    <n v="4"/>
    <d v="1899-12-30T00:00:04"/>
    <d v="1899-12-30T00:02:40"/>
    <d v="1899-12-30T00:00:58"/>
    <n v="0.98629999999999995"/>
    <n v="9.8650000000000005E-3"/>
    <n v="9.8630000000000002E-3"/>
    <n v="4"/>
    <n v="1.3513513513513514E-2"/>
    <n v="0.98648648648648651"/>
  </r>
  <r>
    <n v="233"/>
    <n v="223"/>
    <n v="0.95709999999999995"/>
    <n v="10"/>
    <d v="1899-12-30T00:00:09"/>
    <d v="1899-12-30T00:02:47"/>
    <d v="1899-12-30T00:01:46"/>
    <n v="0.87829999999999997"/>
    <n v="9.5709999999999996E-3"/>
    <n v="8.7829999999999991E-3"/>
    <n v="10"/>
    <n v="4.2918454935622317E-2"/>
    <n v="0.9570815450643777"/>
  </r>
  <r>
    <n v="198"/>
    <n v="194"/>
    <n v="0.9798"/>
    <n v="4"/>
    <d v="1899-12-30T00:00:08"/>
    <d v="1899-12-30T00:02:42"/>
    <d v="1899-12-30T00:01:43"/>
    <n v="0.91790000000000005"/>
    <n v="9.7979999999999994E-3"/>
    <n v="9.1789999999999997E-3"/>
    <n v="4"/>
    <n v="2.0202020202020204E-2"/>
    <n v="0.97979797979797978"/>
  </r>
  <r>
    <n v="181"/>
    <n v="179"/>
    <n v="0.98899999999999999"/>
    <n v="2"/>
    <d v="1899-12-30T00:00:04"/>
    <d v="1899-12-30T00:02:39"/>
    <d v="1899-12-30T00:00:48"/>
    <n v="0.99439999999999995"/>
    <n v="9.8899999999999995E-3"/>
    <n v="9.9439999999999997E-3"/>
    <n v="2"/>
    <n v="1.1049723756906077E-2"/>
    <n v="0.98895027624309395"/>
  </r>
  <r>
    <n v="166"/>
    <n v="162"/>
    <n v="0.97589999999999999"/>
    <n v="4"/>
    <d v="1899-12-30T00:00:06"/>
    <d v="1899-12-30T00:02:39"/>
    <d v="1899-12-30T00:01:01"/>
    <n v="0.93869999999999998"/>
    <n v="9.7590000000000003E-3"/>
    <n v="9.3869999999999995E-3"/>
    <n v="4"/>
    <n v="2.4096385542168676E-2"/>
    <n v="0.97590361445783136"/>
  </r>
  <r>
    <n v="19"/>
    <n v="19"/>
    <n v="1"/>
    <n v="0"/>
    <d v="1899-12-30T00:00:03"/>
    <d v="1899-12-30T00:02:27"/>
    <d v="1899-12-30T00:00:03"/>
    <n v="1"/>
    <n v="0.01"/>
    <n v="0.01"/>
    <n v="0"/>
    <n v="0"/>
    <n v="1"/>
  </r>
  <r>
    <n v="196"/>
    <n v="181"/>
    <n v="0.92349999999999999"/>
    <n v="15"/>
    <d v="1899-12-30T00:00:14"/>
    <d v="1899-12-30T00:02:37"/>
    <d v="1899-12-30T00:02:36"/>
    <n v="0.78129999999999999"/>
    <n v="9.2350000000000002E-3"/>
    <n v="7.8130000000000005E-3"/>
    <n v="15"/>
    <n v="7.6530612244897961E-2"/>
    <n v="0.92346938775510201"/>
  </r>
  <r>
    <n v="176"/>
    <n v="172"/>
    <n v="0.97729999999999995"/>
    <n v="4"/>
    <d v="1899-12-30T00:00:16"/>
    <d v="1899-12-30T00:02:30"/>
    <d v="1899-12-30T00:02:56"/>
    <n v="0.79430000000000001"/>
    <n v="9.7729999999999987E-3"/>
    <n v="7.9430000000000004E-3"/>
    <n v="4"/>
    <n v="2.2727272727272728E-2"/>
    <n v="0.97727272727272729"/>
  </r>
  <r>
    <n v="221"/>
    <n v="209"/>
    <n v="0.94569999999999999"/>
    <n v="12"/>
    <d v="1899-12-30T00:00:12"/>
    <d v="1899-12-30T00:02:42"/>
    <d v="1899-12-30T00:02:50"/>
    <n v="0.8387"/>
    <n v="9.4570000000000001E-3"/>
    <n v="8.3870000000000004E-3"/>
    <n v="12"/>
    <n v="5.4298642533936653E-2"/>
    <n v="0.94570135746606332"/>
  </r>
  <r>
    <n v="196"/>
    <n v="191"/>
    <n v="0.97450000000000003"/>
    <n v="5"/>
    <d v="1899-12-30T00:00:14"/>
    <d v="1899-12-30T00:02:51"/>
    <d v="1899-12-30T00:05:54"/>
    <n v="0.86009999999999998"/>
    <n v="9.7450000000000002E-3"/>
    <n v="8.6009999999999993E-3"/>
    <n v="5"/>
    <n v="2.5510204081632654E-2"/>
    <n v="0.97448979591836737"/>
  </r>
  <r>
    <n v="211"/>
    <n v="202"/>
    <n v="0.95730000000000004"/>
    <n v="9"/>
    <d v="1899-12-30T00:00:15"/>
    <d v="1899-12-30T00:02:46"/>
    <d v="1899-12-30T00:02:54"/>
    <n v="0.79330000000000001"/>
    <n v="9.5729999999999999E-3"/>
    <n v="7.9330000000000008E-3"/>
    <n v="9"/>
    <n v="4.2654028436018961E-2"/>
    <n v="0.95734597156398105"/>
  </r>
  <r>
    <n v="201"/>
    <n v="194"/>
    <n v="0.96519999999999995"/>
    <n v="7"/>
    <d v="1899-12-30T00:00:16"/>
    <d v="1899-12-30T00:02:49"/>
    <d v="1899-12-30T00:03:28"/>
    <n v="0.81410000000000005"/>
    <n v="9.6519999999999991E-3"/>
    <n v="8.1410000000000007E-3"/>
    <n v="7"/>
    <n v="3.482587064676617E-2"/>
    <n v="0.96517412935323388"/>
  </r>
  <r>
    <n v="23"/>
    <n v="22"/>
    <n v="0.95650000000000002"/>
    <n v="1"/>
    <d v="1899-12-30T00:00:10"/>
    <d v="1899-12-30T00:03:02"/>
    <d v="1899-12-30T00:01:02"/>
    <n v="0.82609999999999995"/>
    <n v="9.5650000000000006E-3"/>
    <n v="8.2609999999999992E-3"/>
    <n v="1"/>
    <n v="4.3478260869565216E-2"/>
    <n v="0.95652173913043481"/>
  </r>
  <r>
    <n v="225"/>
    <n v="210"/>
    <n v="0.93330000000000002"/>
    <n v="15"/>
    <d v="1899-12-30T00:00:10"/>
    <d v="1899-12-30T00:02:37"/>
    <d v="1899-12-30T00:03:37"/>
    <n v="0.85909999999999997"/>
    <n v="9.333000000000001E-3"/>
    <n v="8.5909999999999997E-3"/>
    <n v="15"/>
    <n v="6.6666666666666666E-2"/>
    <n v="0.93333333333333335"/>
  </r>
  <r>
    <n v="202"/>
    <n v="195"/>
    <n v="0.96530000000000005"/>
    <n v="7"/>
    <d v="1899-12-30T00:00:11"/>
    <d v="1899-12-30T00:02:47"/>
    <d v="1899-12-30T00:01:52"/>
    <n v="0.86799999999999999"/>
    <n v="9.6530000000000001E-3"/>
    <n v="8.6800000000000002E-3"/>
    <n v="7"/>
    <n v="3.4653465346534656E-2"/>
    <n v="0.96534653465346532"/>
  </r>
  <r>
    <n v="191"/>
    <n v="184"/>
    <n v="0.96340000000000003"/>
    <n v="7"/>
    <d v="1899-12-30T00:00:07"/>
    <d v="1899-12-30T00:02:50"/>
    <d v="1899-12-30T00:01:56"/>
    <n v="0.92549999999999999"/>
    <n v="9.6340000000000002E-3"/>
    <n v="9.2549999999999993E-3"/>
    <n v="7"/>
    <n v="3.6649214659685861E-2"/>
    <n v="0.96335078534031415"/>
  </r>
  <r>
    <n v="212"/>
    <n v="209"/>
    <n v="0.98580000000000001"/>
    <n v="3"/>
    <d v="1899-12-30T00:00:10"/>
    <d v="1899-12-30T00:02:51"/>
    <d v="1899-12-30T00:01:45"/>
    <n v="0.89100000000000001"/>
    <n v="9.8580000000000004E-3"/>
    <n v="8.9099999999999995E-3"/>
    <n v="3"/>
    <n v="1.4150943396226415E-2"/>
    <n v="0.98584905660377353"/>
  </r>
  <r>
    <n v="210"/>
    <n v="203"/>
    <n v="0.9667"/>
    <n v="7"/>
    <d v="1899-12-30T00:00:12"/>
    <d v="1899-12-30T00:03:22"/>
    <d v="1899-12-30T00:03:52"/>
    <n v="0.85240000000000005"/>
    <n v="9.6670000000000002E-3"/>
    <n v="8.5240000000000003E-3"/>
    <n v="7"/>
    <n v="3.3333333333333333E-2"/>
    <n v="0.96666666666666667"/>
  </r>
  <r>
    <n v="167"/>
    <n v="159"/>
    <n v="0.95209999999999995"/>
    <n v="8"/>
    <d v="1899-12-30T00:00:16"/>
    <d v="1899-12-30T00:03:16"/>
    <d v="1899-12-30T00:02:42"/>
    <n v="0.83030000000000004"/>
    <n v="9.5209999999999999E-3"/>
    <n v="8.3029999999999996E-3"/>
    <n v="8"/>
    <n v="4.790419161676647E-2"/>
    <n v="0.95209580838323349"/>
  </r>
  <r>
    <n v="12"/>
    <n v="11"/>
    <n v="0.91669999999999996"/>
    <n v="1"/>
    <d v="1899-12-30T00:00:03"/>
    <d v="1899-12-30T00:02:12"/>
    <d v="1899-12-30T00:00:58"/>
    <n v="0.91669999999999996"/>
    <n v="9.1669999999999998E-3"/>
    <n v="9.1669999999999998E-3"/>
    <n v="1"/>
    <n v="8.3333333333333329E-2"/>
    <n v="0.916666666666666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B392A-2BDA-4443-B2E3-62C7730BA1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7:D8" firstHeaderRow="0" firstDataRow="1" firstDataCol="0"/>
  <pivotFields count="13">
    <pivotField numFmtId="1" showAll="0"/>
    <pivotField numFmtId="1" showAll="0"/>
    <pivotField dataField="1" numFmtId="10" showAll="0"/>
    <pivotField numFmtId="1" showAll="0"/>
    <pivotField numFmtId="164" showAll="0"/>
    <pivotField numFmtId="164" showAll="0"/>
    <pivotField dataField="1" numFmtId="164" showAll="0"/>
    <pivotField dataField="1" numFmtId="10" showAll="0"/>
    <pivotField numFmtId="10" showAll="0"/>
    <pivotField numFmtId="10" showAll="0"/>
    <pivotField numFmtId="1" showAll="0"/>
    <pivotField numFmtId="10" showAll="0"/>
    <pivotField numFmtId="1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Answer Rate" fld="2" subtotal="average" baseField="0" baseItem="1" numFmtId="10"/>
    <dataField name="Average of Service Level" fld="7" subtotal="average" baseField="0" baseItem="1" numFmtId="10"/>
    <dataField name="Average of Waiting Time" fld="6" subtotal="average" baseField="0" baseItem="2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91354-5AE6-4390-BE42-AD10D784CA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D4" firstHeaderRow="0" firstDataRow="1" firstDataCol="0"/>
  <pivotFields count="13">
    <pivotField dataField="1" numFmtId="1" showAll="0"/>
    <pivotField dataField="1" numFmtId="1" showAll="0"/>
    <pivotField numFmtId="10" showAll="0"/>
    <pivotField dataField="1" numFmtId="1" showAll="0"/>
    <pivotField numFmtId="164" showAll="0"/>
    <pivotField numFmtId="164" showAll="0"/>
    <pivotField numFmtId="164" showAll="0"/>
    <pivotField numFmtId="10" showAll="0"/>
    <pivotField numFmtId="10" showAll="0"/>
    <pivotField numFmtId="10" showAll="0"/>
    <pivotField numFmtId="1" showAll="0"/>
    <pivotField numFmtId="10" showAll="0"/>
    <pivotField numFmtId="1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Incoming Calls" fld="0" baseField="0" baseItem="0" numFmtId="1"/>
    <dataField name="Sum of Answered Calls" fld="1" baseField="0" baseItem="0" numFmtId="1"/>
    <dataField name="Sum of Abandoned Calls" fld="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90BC-DAAD-410B-9761-CF517905844E}">
  <dimension ref="A1:B145"/>
  <sheetViews>
    <sheetView showGridLines="0" topLeftCell="A74" zoomScale="77" zoomScaleNormal="77" workbookViewId="0">
      <selection activeCell="A77" sqref="A77"/>
    </sheetView>
  </sheetViews>
  <sheetFormatPr defaultRowHeight="14.4" x14ac:dyDescent="0.3"/>
  <cols>
    <col min="1" max="1" width="17.44140625" customWidth="1"/>
    <col min="2" max="2" width="43.21875" customWidth="1"/>
  </cols>
  <sheetData>
    <row r="1" spans="1:1" x14ac:dyDescent="0.3">
      <c r="A1" s="8" t="s">
        <v>108</v>
      </c>
    </row>
    <row r="2" spans="1:1" x14ac:dyDescent="0.3">
      <c r="A2" s="8" t="s">
        <v>109</v>
      </c>
    </row>
    <row r="3" spans="1:1" x14ac:dyDescent="0.3">
      <c r="A3" s="8" t="s">
        <v>110</v>
      </c>
    </row>
    <row r="4" spans="1:1" x14ac:dyDescent="0.3">
      <c r="A4" s="8"/>
    </row>
    <row r="5" spans="1:1" x14ac:dyDescent="0.3">
      <c r="A5" s="8"/>
    </row>
    <row r="6" spans="1:1" ht="31.2" x14ac:dyDescent="0.3">
      <c r="A6" s="3" t="s">
        <v>107</v>
      </c>
    </row>
    <row r="8" spans="1:1" ht="18" x14ac:dyDescent="0.3">
      <c r="A8" s="6" t="s">
        <v>9</v>
      </c>
    </row>
    <row r="10" spans="1:1" x14ac:dyDescent="0.3">
      <c r="A10" t="s">
        <v>29</v>
      </c>
    </row>
    <row r="11" spans="1:1" x14ac:dyDescent="0.3">
      <c r="A11" t="s">
        <v>30</v>
      </c>
    </row>
    <row r="15" spans="1:1" ht="23.4" x14ac:dyDescent="0.3">
      <c r="A15" s="4" t="s">
        <v>31</v>
      </c>
    </row>
    <row r="17" spans="1:2" x14ac:dyDescent="0.3">
      <c r="A17" t="s">
        <v>32</v>
      </c>
    </row>
    <row r="18" spans="1:2" x14ac:dyDescent="0.3">
      <c r="A18" s="5"/>
    </row>
    <row r="19" spans="1:2" x14ac:dyDescent="0.3">
      <c r="A19" s="5" t="s">
        <v>33</v>
      </c>
    </row>
    <row r="20" spans="1:2" x14ac:dyDescent="0.3">
      <c r="A20" s="5" t="s">
        <v>34</v>
      </c>
    </row>
    <row r="21" spans="1:2" x14ac:dyDescent="0.3">
      <c r="A21" s="5" t="s">
        <v>35</v>
      </c>
    </row>
    <row r="22" spans="1:2" x14ac:dyDescent="0.3">
      <c r="A22" s="5" t="s">
        <v>36</v>
      </c>
    </row>
    <row r="23" spans="1:2" x14ac:dyDescent="0.3">
      <c r="A23" s="5" t="s">
        <v>37</v>
      </c>
    </row>
    <row r="27" spans="1:2" ht="23.4" x14ac:dyDescent="0.3">
      <c r="A27" s="4" t="s">
        <v>10</v>
      </c>
    </row>
    <row r="29" spans="1:2" x14ac:dyDescent="0.3">
      <c r="A29" t="s">
        <v>38</v>
      </c>
    </row>
    <row r="31" spans="1:2" s="11" customFormat="1" x14ac:dyDescent="0.3">
      <c r="A31" s="20" t="s">
        <v>39</v>
      </c>
      <c r="B31" s="20" t="s">
        <v>11</v>
      </c>
    </row>
    <row r="32" spans="1:2" x14ac:dyDescent="0.3">
      <c r="A32" s="7" t="s">
        <v>1</v>
      </c>
      <c r="B32" s="7" t="s">
        <v>40</v>
      </c>
    </row>
    <row r="33" spans="1:2" x14ac:dyDescent="0.3">
      <c r="A33" s="7" t="s">
        <v>2</v>
      </c>
      <c r="B33" s="7" t="s">
        <v>41</v>
      </c>
    </row>
    <row r="34" spans="1:2" x14ac:dyDescent="0.3">
      <c r="A34" s="7" t="s">
        <v>3</v>
      </c>
      <c r="B34" s="7" t="s">
        <v>42</v>
      </c>
    </row>
    <row r="35" spans="1:2" x14ac:dyDescent="0.3">
      <c r="A35" s="7" t="s">
        <v>4</v>
      </c>
      <c r="B35" s="7" t="s">
        <v>43</v>
      </c>
    </row>
    <row r="36" spans="1:2" ht="18.600000000000001" customHeight="1" x14ac:dyDescent="0.3">
      <c r="A36" s="7" t="s">
        <v>5</v>
      </c>
      <c r="B36" s="7" t="s">
        <v>44</v>
      </c>
    </row>
    <row r="37" spans="1:2" x14ac:dyDescent="0.3">
      <c r="A37" s="7" t="s">
        <v>6</v>
      </c>
      <c r="B37" s="7" t="s">
        <v>45</v>
      </c>
    </row>
    <row r="38" spans="1:2" x14ac:dyDescent="0.3">
      <c r="A38" s="7" t="s">
        <v>7</v>
      </c>
      <c r="B38" s="7" t="s">
        <v>46</v>
      </c>
    </row>
    <row r="39" spans="1:2" ht="28.8" x14ac:dyDescent="0.3">
      <c r="A39" s="7" t="s">
        <v>8</v>
      </c>
      <c r="B39" s="7" t="s">
        <v>47</v>
      </c>
    </row>
    <row r="42" spans="1:2" ht="23.4" x14ac:dyDescent="0.3">
      <c r="A42" s="4" t="s">
        <v>12</v>
      </c>
    </row>
    <row r="44" spans="1:2" x14ac:dyDescent="0.3">
      <c r="A44" t="s">
        <v>48</v>
      </c>
    </row>
    <row r="45" spans="1:2" x14ac:dyDescent="0.3">
      <c r="A45" s="5"/>
    </row>
    <row r="46" spans="1:2" x14ac:dyDescent="0.3">
      <c r="A46" s="5" t="s">
        <v>14</v>
      </c>
    </row>
    <row r="47" spans="1:2" x14ac:dyDescent="0.3">
      <c r="A47" s="5" t="s">
        <v>49</v>
      </c>
    </row>
    <row r="48" spans="1:2" x14ac:dyDescent="0.3">
      <c r="A48" s="5" t="s">
        <v>50</v>
      </c>
    </row>
    <row r="49" spans="1:1" x14ac:dyDescent="0.3">
      <c r="A49" s="5" t="s">
        <v>51</v>
      </c>
    </row>
    <row r="50" spans="1:1" x14ac:dyDescent="0.3">
      <c r="A50" s="5" t="s">
        <v>52</v>
      </c>
    </row>
    <row r="53" spans="1:1" ht="23.4" x14ac:dyDescent="0.3">
      <c r="A53" s="4" t="s">
        <v>15</v>
      </c>
    </row>
    <row r="55" spans="1:1" ht="18" x14ac:dyDescent="0.3">
      <c r="A55" s="6" t="s">
        <v>53</v>
      </c>
    </row>
    <row r="56" spans="1:1" x14ac:dyDescent="0.3">
      <c r="A56" t="s">
        <v>54</v>
      </c>
    </row>
    <row r="58" spans="1:1" ht="18" x14ac:dyDescent="0.3">
      <c r="A58" s="6" t="s">
        <v>55</v>
      </c>
    </row>
    <row r="59" spans="1:1" x14ac:dyDescent="0.3">
      <c r="A59" t="s">
        <v>56</v>
      </c>
    </row>
    <row r="61" spans="1:1" ht="18" x14ac:dyDescent="0.3">
      <c r="A61" s="6" t="s">
        <v>57</v>
      </c>
    </row>
    <row r="62" spans="1:1" x14ac:dyDescent="0.3">
      <c r="A62" t="s">
        <v>58</v>
      </c>
    </row>
    <row r="64" spans="1:1" ht="18" x14ac:dyDescent="0.3">
      <c r="A64" s="6" t="s">
        <v>59</v>
      </c>
    </row>
    <row r="65" spans="1:1" x14ac:dyDescent="0.3">
      <c r="A65" t="s">
        <v>60</v>
      </c>
    </row>
    <row r="67" spans="1:1" ht="18" x14ac:dyDescent="0.3">
      <c r="A67" s="6" t="s">
        <v>61</v>
      </c>
    </row>
    <row r="68" spans="1:1" x14ac:dyDescent="0.3">
      <c r="A68" t="s">
        <v>62</v>
      </c>
    </row>
    <row r="70" spans="1:1" ht="18" x14ac:dyDescent="0.3">
      <c r="A70" s="6" t="s">
        <v>63</v>
      </c>
    </row>
    <row r="71" spans="1:1" x14ac:dyDescent="0.3">
      <c r="A71" t="s">
        <v>64</v>
      </c>
    </row>
    <row r="75" spans="1:1" ht="23.4" x14ac:dyDescent="0.3">
      <c r="A75" s="4" t="s">
        <v>65</v>
      </c>
    </row>
    <row r="77" spans="1:1" ht="18" x14ac:dyDescent="0.3">
      <c r="A77" s="6" t="s">
        <v>66</v>
      </c>
    </row>
    <row r="78" spans="1:1" x14ac:dyDescent="0.3">
      <c r="A78" t="s">
        <v>67</v>
      </c>
    </row>
    <row r="79" spans="1:1" x14ac:dyDescent="0.3">
      <c r="A79" s="5" t="s">
        <v>53</v>
      </c>
    </row>
    <row r="80" spans="1:1" x14ac:dyDescent="0.3">
      <c r="A80" s="5" t="s">
        <v>55</v>
      </c>
    </row>
    <row r="81" spans="1:1" x14ac:dyDescent="0.3">
      <c r="A81" s="5" t="s">
        <v>57</v>
      </c>
    </row>
    <row r="82" spans="1:1" x14ac:dyDescent="0.3">
      <c r="A82" s="5" t="s">
        <v>59</v>
      </c>
    </row>
    <row r="83" spans="1:1" x14ac:dyDescent="0.3">
      <c r="A83" s="5" t="s">
        <v>61</v>
      </c>
    </row>
    <row r="84" spans="1:1" x14ac:dyDescent="0.3">
      <c r="A84" s="5" t="s">
        <v>63</v>
      </c>
    </row>
    <row r="86" spans="1:1" ht="18" x14ac:dyDescent="0.3">
      <c r="A86" s="6" t="s">
        <v>68</v>
      </c>
    </row>
    <row r="87" spans="1:1" x14ac:dyDescent="0.3">
      <c r="A87" t="s">
        <v>69</v>
      </c>
    </row>
    <row r="89" spans="1:1" x14ac:dyDescent="0.3">
      <c r="A89" t="s">
        <v>70</v>
      </c>
    </row>
    <row r="90" spans="1:1" x14ac:dyDescent="0.3">
      <c r="A90" s="5" t="s">
        <v>71</v>
      </c>
    </row>
    <row r="91" spans="1:1" x14ac:dyDescent="0.3">
      <c r="A91" s="5" t="s">
        <v>72</v>
      </c>
    </row>
    <row r="93" spans="1:1" ht="18" x14ac:dyDescent="0.3">
      <c r="A93" s="6" t="s">
        <v>73</v>
      </c>
    </row>
    <row r="94" spans="1:1" x14ac:dyDescent="0.3">
      <c r="A94" t="s">
        <v>74</v>
      </c>
    </row>
    <row r="96" spans="1:1" x14ac:dyDescent="0.3">
      <c r="A96" t="s">
        <v>70</v>
      </c>
    </row>
    <row r="97" spans="1:1" x14ac:dyDescent="0.3">
      <c r="A97" s="5" t="s">
        <v>75</v>
      </c>
    </row>
    <row r="99" spans="1:1" ht="18" x14ac:dyDescent="0.3">
      <c r="A99" s="6" t="s">
        <v>76</v>
      </c>
    </row>
    <row r="100" spans="1:1" x14ac:dyDescent="0.3">
      <c r="A100" t="s">
        <v>77</v>
      </c>
    </row>
    <row r="102" spans="1:1" x14ac:dyDescent="0.3">
      <c r="A102" t="s">
        <v>70</v>
      </c>
    </row>
    <row r="103" spans="1:1" x14ac:dyDescent="0.3">
      <c r="A103" s="5" t="s">
        <v>78</v>
      </c>
    </row>
    <row r="105" spans="1:1" ht="18" x14ac:dyDescent="0.3">
      <c r="A105" s="6" t="s">
        <v>79</v>
      </c>
    </row>
    <row r="106" spans="1:1" x14ac:dyDescent="0.3">
      <c r="A106" t="s">
        <v>80</v>
      </c>
    </row>
    <row r="108" spans="1:1" x14ac:dyDescent="0.3">
      <c r="A108" t="s">
        <v>70</v>
      </c>
    </row>
    <row r="109" spans="1:1" x14ac:dyDescent="0.3">
      <c r="A109" s="5" t="s">
        <v>81</v>
      </c>
    </row>
    <row r="111" spans="1:1" ht="18" x14ac:dyDescent="0.3">
      <c r="A111" s="6" t="s">
        <v>82</v>
      </c>
    </row>
    <row r="112" spans="1:1" x14ac:dyDescent="0.3">
      <c r="A112" t="s">
        <v>83</v>
      </c>
    </row>
    <row r="114" spans="1:1" x14ac:dyDescent="0.3">
      <c r="A114" t="s">
        <v>70</v>
      </c>
    </row>
    <row r="115" spans="1:1" x14ac:dyDescent="0.3">
      <c r="A115" s="5" t="s">
        <v>84</v>
      </c>
    </row>
    <row r="120" spans="1:1" ht="23.4" x14ac:dyDescent="0.3">
      <c r="A120" s="4" t="s">
        <v>85</v>
      </c>
    </row>
    <row r="121" spans="1:1" x14ac:dyDescent="0.3">
      <c r="A121" s="5"/>
    </row>
    <row r="122" spans="1:1" x14ac:dyDescent="0.3">
      <c r="A122" s="5" t="s">
        <v>13</v>
      </c>
    </row>
    <row r="123" spans="1:1" x14ac:dyDescent="0.3">
      <c r="A123" s="5" t="s">
        <v>86</v>
      </c>
    </row>
    <row r="124" spans="1:1" x14ac:dyDescent="0.3">
      <c r="A124" s="5" t="s">
        <v>17</v>
      </c>
    </row>
    <row r="125" spans="1:1" x14ac:dyDescent="0.3">
      <c r="A125" s="5" t="s">
        <v>18</v>
      </c>
    </row>
    <row r="126" spans="1:1" x14ac:dyDescent="0.3">
      <c r="A126" s="5" t="s">
        <v>16</v>
      </c>
    </row>
    <row r="127" spans="1:1" x14ac:dyDescent="0.3">
      <c r="A127" s="5" t="s">
        <v>87</v>
      </c>
    </row>
    <row r="128" spans="1:1" x14ac:dyDescent="0.3">
      <c r="A128" s="5" t="s">
        <v>88</v>
      </c>
    </row>
    <row r="129" spans="1:2" x14ac:dyDescent="0.3">
      <c r="A129" s="5" t="s">
        <v>89</v>
      </c>
    </row>
    <row r="133" spans="1:2" ht="23.4" x14ac:dyDescent="0.3">
      <c r="A133" s="4" t="s">
        <v>19</v>
      </c>
    </row>
    <row r="135" spans="1:2" x14ac:dyDescent="0.3">
      <c r="A135" s="21" t="s">
        <v>20</v>
      </c>
      <c r="B135" s="21" t="s">
        <v>21</v>
      </c>
    </row>
    <row r="136" spans="1:2" x14ac:dyDescent="0.3">
      <c r="A136" s="7" t="s">
        <v>22</v>
      </c>
      <c r="B136" s="7" t="s">
        <v>23</v>
      </c>
    </row>
    <row r="137" spans="1:2" x14ac:dyDescent="0.3">
      <c r="A137" s="7" t="s">
        <v>24</v>
      </c>
      <c r="B137" s="7" t="s">
        <v>25</v>
      </c>
    </row>
    <row r="138" spans="1:2" x14ac:dyDescent="0.3">
      <c r="A138" s="7" t="s">
        <v>90</v>
      </c>
      <c r="B138" s="7" t="s">
        <v>91</v>
      </c>
    </row>
    <row r="139" spans="1:2" x14ac:dyDescent="0.3">
      <c r="A139" s="7" t="s">
        <v>26</v>
      </c>
      <c r="B139" s="7" t="s">
        <v>92</v>
      </c>
    </row>
    <row r="140" spans="1:2" x14ac:dyDescent="0.3">
      <c r="A140" s="7" t="s">
        <v>27</v>
      </c>
      <c r="B140" s="7" t="s">
        <v>93</v>
      </c>
    </row>
    <row r="143" spans="1:2" ht="23.4" x14ac:dyDescent="0.3">
      <c r="A143" s="4" t="s">
        <v>28</v>
      </c>
    </row>
    <row r="145" spans="1:1" x14ac:dyDescent="0.3">
      <c r="A14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C5A6-8990-48B6-99AC-02A4640C3448}">
  <dimension ref="A1:I1252"/>
  <sheetViews>
    <sheetView workbookViewId="0">
      <selection activeCell="G19" sqref="G1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217</v>
      </c>
      <c r="C2">
        <v>204</v>
      </c>
      <c r="D2" s="1">
        <v>0.94010000000000005</v>
      </c>
      <c r="E2">
        <v>13</v>
      </c>
      <c r="F2" s="2">
        <v>1.9675925925925926E-4</v>
      </c>
      <c r="G2" s="2">
        <v>1.5509259259259259E-3</v>
      </c>
      <c r="H2" s="2">
        <v>1.9097222222222222E-3</v>
      </c>
      <c r="I2" s="1">
        <v>0.76280000000000003</v>
      </c>
    </row>
    <row r="3" spans="1:9" x14ac:dyDescent="0.3">
      <c r="A3">
        <v>2</v>
      </c>
      <c r="B3">
        <v>200</v>
      </c>
      <c r="C3">
        <v>182</v>
      </c>
      <c r="D3" s="1">
        <v>0.91</v>
      </c>
      <c r="E3">
        <v>18</v>
      </c>
      <c r="F3" s="2">
        <v>2.3148148148148149E-4</v>
      </c>
      <c r="G3" s="2">
        <v>1.6435185185185185E-3</v>
      </c>
      <c r="H3" s="2">
        <v>4.8032407407407407E-3</v>
      </c>
      <c r="I3" s="1">
        <v>0.72729999999999995</v>
      </c>
    </row>
    <row r="4" spans="1:9" x14ac:dyDescent="0.3">
      <c r="A4">
        <v>3</v>
      </c>
      <c r="B4">
        <v>216</v>
      </c>
      <c r="C4">
        <v>198</v>
      </c>
      <c r="D4" s="1">
        <v>0.91669999999999996</v>
      </c>
      <c r="E4">
        <v>18</v>
      </c>
      <c r="F4" s="2">
        <v>2.0833333333333335E-4</v>
      </c>
      <c r="G4" s="2">
        <v>1.8287037037037037E-3</v>
      </c>
      <c r="H4" s="2">
        <v>2.662037037037037E-3</v>
      </c>
      <c r="I4" s="1">
        <v>0.74299999999999999</v>
      </c>
    </row>
    <row r="5" spans="1:9" x14ac:dyDescent="0.3">
      <c r="A5">
        <v>4</v>
      </c>
      <c r="B5">
        <v>155</v>
      </c>
      <c r="C5">
        <v>145</v>
      </c>
      <c r="D5" s="1">
        <v>0.9355</v>
      </c>
      <c r="E5">
        <v>10</v>
      </c>
      <c r="F5" s="2">
        <v>1.7361111111111112E-4</v>
      </c>
      <c r="G5" s="2">
        <v>1.724537037037037E-3</v>
      </c>
      <c r="H5" s="2">
        <v>2.2222222222222222E-3</v>
      </c>
      <c r="I5" s="1">
        <v>0.79610000000000003</v>
      </c>
    </row>
    <row r="6" spans="1:9" x14ac:dyDescent="0.3">
      <c r="A6">
        <v>5</v>
      </c>
      <c r="B6">
        <v>37</v>
      </c>
      <c r="C6">
        <v>37</v>
      </c>
      <c r="D6" s="1">
        <v>1</v>
      </c>
      <c r="E6">
        <v>0</v>
      </c>
      <c r="F6" s="2">
        <v>3.4722222222222222E-5</v>
      </c>
      <c r="G6" s="2">
        <v>1.4583333333333334E-3</v>
      </c>
      <c r="H6" s="2">
        <v>4.0509259259259258E-4</v>
      </c>
      <c r="I6" s="1">
        <v>0.97299999999999998</v>
      </c>
    </row>
    <row r="7" spans="1:9" x14ac:dyDescent="0.3">
      <c r="A7">
        <v>6</v>
      </c>
      <c r="B7">
        <v>315</v>
      </c>
      <c r="C7">
        <v>304</v>
      </c>
      <c r="D7" s="1">
        <v>0.96509999999999996</v>
      </c>
      <c r="E7">
        <v>11</v>
      </c>
      <c r="F7" s="2">
        <v>2.0833333333333335E-4</v>
      </c>
      <c r="G7" s="2">
        <v>1.0995370370370371E-3</v>
      </c>
      <c r="H7" s="2">
        <v>1.8171296296296297E-3</v>
      </c>
      <c r="I7" s="1">
        <v>0.77170000000000005</v>
      </c>
    </row>
    <row r="8" spans="1:9" x14ac:dyDescent="0.3">
      <c r="A8">
        <v>7</v>
      </c>
      <c r="B8">
        <v>252</v>
      </c>
      <c r="C8">
        <v>244</v>
      </c>
      <c r="D8" s="1">
        <v>0.96830000000000005</v>
      </c>
      <c r="E8">
        <v>8</v>
      </c>
      <c r="F8" s="2">
        <v>1.5046296296296297E-4</v>
      </c>
      <c r="G8" s="2">
        <v>1.2731481481481483E-3</v>
      </c>
      <c r="H8" s="2">
        <v>1.4120370370370369E-3</v>
      </c>
      <c r="I8" s="1">
        <v>0.82</v>
      </c>
    </row>
    <row r="9" spans="1:9" x14ac:dyDescent="0.3">
      <c r="A9">
        <v>8</v>
      </c>
      <c r="B9">
        <v>213</v>
      </c>
      <c r="C9">
        <v>205</v>
      </c>
      <c r="D9" s="1">
        <v>0.96240000000000003</v>
      </c>
      <c r="E9">
        <v>8</v>
      </c>
      <c r="F9" s="2">
        <v>1.1574074074074075E-4</v>
      </c>
      <c r="G9" s="2">
        <v>1.5046296296296296E-3</v>
      </c>
      <c r="H9" s="2">
        <v>2.3379629629629631E-3</v>
      </c>
      <c r="I9" s="1">
        <v>0.88100000000000001</v>
      </c>
    </row>
    <row r="10" spans="1:9" x14ac:dyDescent="0.3">
      <c r="A10">
        <v>9</v>
      </c>
      <c r="B10">
        <v>219</v>
      </c>
      <c r="C10">
        <v>200</v>
      </c>
      <c r="D10" s="1">
        <v>0.91320000000000001</v>
      </c>
      <c r="E10">
        <v>19</v>
      </c>
      <c r="F10" s="2">
        <v>1.7361111111111112E-4</v>
      </c>
      <c r="G10" s="2">
        <v>1.5972222222222223E-3</v>
      </c>
      <c r="H10" s="2">
        <v>4.3055555555555555E-3</v>
      </c>
      <c r="I10" s="1">
        <v>0.79449999999999998</v>
      </c>
    </row>
    <row r="11" spans="1:9" x14ac:dyDescent="0.3">
      <c r="A11">
        <v>10</v>
      </c>
      <c r="B11">
        <v>371</v>
      </c>
      <c r="C11">
        <v>348</v>
      </c>
      <c r="D11" s="1">
        <v>0.93799999999999994</v>
      </c>
      <c r="E11">
        <v>23</v>
      </c>
      <c r="F11" s="2">
        <v>2.199074074074074E-4</v>
      </c>
      <c r="G11" s="2">
        <v>1.1574074074074073E-3</v>
      </c>
      <c r="H11" s="2">
        <v>2.4189814814814816E-3</v>
      </c>
      <c r="I11" s="1">
        <v>0.73629999999999995</v>
      </c>
    </row>
    <row r="12" spans="1:9" x14ac:dyDescent="0.3">
      <c r="A12">
        <v>11</v>
      </c>
      <c r="B12">
        <v>166</v>
      </c>
      <c r="C12">
        <v>164</v>
      </c>
      <c r="D12" s="1">
        <v>0.98799999999999999</v>
      </c>
      <c r="E12">
        <v>2</v>
      </c>
      <c r="F12" s="2">
        <v>1.3888888888888889E-4</v>
      </c>
      <c r="G12" s="2">
        <v>1.5046296296296296E-3</v>
      </c>
      <c r="H12" s="2">
        <v>1.9212962962962964E-3</v>
      </c>
      <c r="I12" s="1">
        <v>0.81330000000000002</v>
      </c>
    </row>
    <row r="13" spans="1:9" x14ac:dyDescent="0.3">
      <c r="A13">
        <v>12</v>
      </c>
      <c r="B13">
        <v>32</v>
      </c>
      <c r="C13">
        <v>32</v>
      </c>
      <c r="D13" s="1">
        <v>1</v>
      </c>
      <c r="E13">
        <v>0</v>
      </c>
      <c r="F13" s="2">
        <v>2.3148148148148147E-5</v>
      </c>
      <c r="G13" s="2">
        <v>1.4236111111111112E-3</v>
      </c>
      <c r="H13" s="2">
        <v>3.4722222222222222E-5</v>
      </c>
      <c r="I13" s="1">
        <v>1</v>
      </c>
    </row>
    <row r="14" spans="1:9" x14ac:dyDescent="0.3">
      <c r="A14">
        <v>13</v>
      </c>
      <c r="B14">
        <v>231</v>
      </c>
      <c r="C14">
        <v>222</v>
      </c>
      <c r="D14" s="1">
        <v>0.96099999999999997</v>
      </c>
      <c r="E14">
        <v>9</v>
      </c>
      <c r="F14" s="2">
        <v>9.2592592592592588E-5</v>
      </c>
      <c r="G14" s="2">
        <v>1.261574074074074E-3</v>
      </c>
      <c r="H14" s="2">
        <v>1.5972222222222223E-3</v>
      </c>
      <c r="I14" s="1">
        <v>0.86460000000000004</v>
      </c>
    </row>
    <row r="15" spans="1:9" x14ac:dyDescent="0.3">
      <c r="A15">
        <v>14</v>
      </c>
      <c r="B15">
        <v>205</v>
      </c>
      <c r="C15">
        <v>197</v>
      </c>
      <c r="D15" s="1">
        <v>0.96099999999999997</v>
      </c>
      <c r="E15">
        <v>8</v>
      </c>
      <c r="F15" s="2">
        <v>8.1018518518518516E-5</v>
      </c>
      <c r="G15" s="2">
        <v>1.2962962962962963E-3</v>
      </c>
      <c r="H15" s="2">
        <v>1.9444444444444444E-3</v>
      </c>
      <c r="I15" s="1">
        <v>0.92610000000000003</v>
      </c>
    </row>
    <row r="16" spans="1:9" x14ac:dyDescent="0.3">
      <c r="A16">
        <v>15</v>
      </c>
      <c r="B16">
        <v>338</v>
      </c>
      <c r="C16">
        <v>313</v>
      </c>
      <c r="D16" s="1">
        <v>0.92600000000000005</v>
      </c>
      <c r="E16">
        <v>25</v>
      </c>
      <c r="F16" s="2">
        <v>1.5046296296296297E-4</v>
      </c>
      <c r="G16" s="2">
        <v>1.2847222222222223E-3</v>
      </c>
      <c r="H16" s="2">
        <v>2.5462962962962965E-3</v>
      </c>
      <c r="I16" s="1">
        <v>0.80059999999999998</v>
      </c>
    </row>
    <row r="17" spans="1:9" x14ac:dyDescent="0.3">
      <c r="A17">
        <v>16</v>
      </c>
      <c r="B17">
        <v>180</v>
      </c>
      <c r="C17">
        <v>174</v>
      </c>
      <c r="D17" s="1">
        <v>0.9667</v>
      </c>
      <c r="E17">
        <v>6</v>
      </c>
      <c r="F17" s="2">
        <v>1.5046296296296297E-4</v>
      </c>
      <c r="G17" s="2">
        <v>1.5972222222222223E-3</v>
      </c>
      <c r="H17" s="2">
        <v>2.3842592592592591E-3</v>
      </c>
      <c r="I17" s="1">
        <v>0.83799999999999997</v>
      </c>
    </row>
    <row r="18" spans="1:9" x14ac:dyDescent="0.3">
      <c r="A18">
        <v>17</v>
      </c>
      <c r="B18">
        <v>226</v>
      </c>
      <c r="C18">
        <v>211</v>
      </c>
      <c r="D18" s="1">
        <v>0.93359999999999999</v>
      </c>
      <c r="E18">
        <v>15</v>
      </c>
      <c r="F18" s="2">
        <v>2.3148148148148149E-4</v>
      </c>
      <c r="G18" s="2">
        <v>1.4351851851851852E-3</v>
      </c>
      <c r="H18" s="2">
        <v>3.3912037037037036E-3</v>
      </c>
      <c r="I18" s="1">
        <v>0.76229999999999998</v>
      </c>
    </row>
    <row r="19" spans="1:9" x14ac:dyDescent="0.3">
      <c r="A19">
        <v>18</v>
      </c>
      <c r="B19">
        <v>226</v>
      </c>
      <c r="C19">
        <v>212</v>
      </c>
      <c r="D19" s="1">
        <v>0.93810000000000004</v>
      </c>
      <c r="E19">
        <v>14</v>
      </c>
      <c r="F19" s="2">
        <v>1.1574074074074075E-4</v>
      </c>
      <c r="G19" s="2">
        <v>1.4236111111111112E-3</v>
      </c>
      <c r="H19" s="2">
        <v>1.9097222222222222E-3</v>
      </c>
      <c r="I19" s="1">
        <v>0.84440000000000004</v>
      </c>
    </row>
    <row r="20" spans="1:9" x14ac:dyDescent="0.3">
      <c r="A20">
        <v>19</v>
      </c>
      <c r="B20">
        <v>45</v>
      </c>
      <c r="C20">
        <v>44</v>
      </c>
      <c r="D20" s="1">
        <v>0.9778</v>
      </c>
      <c r="E20">
        <v>1</v>
      </c>
      <c r="F20" s="2">
        <v>2.3148148148148147E-5</v>
      </c>
      <c r="G20" s="2">
        <v>1.4351851851851852E-3</v>
      </c>
      <c r="H20" s="2">
        <v>6.3657407407407413E-4</v>
      </c>
      <c r="I20" s="1">
        <v>0.9778</v>
      </c>
    </row>
    <row r="21" spans="1:9" x14ac:dyDescent="0.3">
      <c r="A21">
        <v>20</v>
      </c>
      <c r="B21">
        <v>218</v>
      </c>
      <c r="C21">
        <v>194</v>
      </c>
      <c r="D21" s="1">
        <v>0.88990000000000002</v>
      </c>
      <c r="E21">
        <v>24</v>
      </c>
      <c r="F21" s="2">
        <v>3.0092592592592595E-4</v>
      </c>
      <c r="G21" s="2">
        <v>1.8865740740740742E-3</v>
      </c>
      <c r="H21" s="2">
        <v>4.4907407407407405E-3</v>
      </c>
      <c r="I21" s="1">
        <v>0.68979999999999997</v>
      </c>
    </row>
    <row r="22" spans="1:9" x14ac:dyDescent="0.3">
      <c r="A22">
        <v>21</v>
      </c>
      <c r="B22">
        <v>187</v>
      </c>
      <c r="C22">
        <v>174</v>
      </c>
      <c r="D22" s="1">
        <v>0.93049999999999999</v>
      </c>
      <c r="E22">
        <v>13</v>
      </c>
      <c r="F22" s="2">
        <v>1.7361111111111112E-4</v>
      </c>
      <c r="G22" s="2">
        <v>1.5740740740740741E-3</v>
      </c>
      <c r="H22" s="2">
        <v>3.2291666666666666E-3</v>
      </c>
      <c r="I22" s="1">
        <v>0.81520000000000004</v>
      </c>
    </row>
    <row r="23" spans="1:9" x14ac:dyDescent="0.3">
      <c r="A23">
        <v>22</v>
      </c>
      <c r="B23">
        <v>191</v>
      </c>
      <c r="C23">
        <v>184</v>
      </c>
      <c r="D23" s="1">
        <v>0.96340000000000003</v>
      </c>
      <c r="E23">
        <v>7</v>
      </c>
      <c r="F23" s="2">
        <v>1.1574074074074075E-4</v>
      </c>
      <c r="G23" s="2">
        <v>1.4930555555555556E-3</v>
      </c>
      <c r="H23" s="2">
        <v>2.5462962962962965E-3</v>
      </c>
      <c r="I23" s="1">
        <v>0.85640000000000005</v>
      </c>
    </row>
    <row r="24" spans="1:9" x14ac:dyDescent="0.3">
      <c r="A24">
        <v>23</v>
      </c>
      <c r="B24">
        <v>188</v>
      </c>
      <c r="C24">
        <v>174</v>
      </c>
      <c r="D24" s="1">
        <v>0.92549999999999999</v>
      </c>
      <c r="E24">
        <v>14</v>
      </c>
      <c r="F24" s="2">
        <v>1.7361111111111112E-4</v>
      </c>
      <c r="G24" s="2">
        <v>1.6782407407407408E-3</v>
      </c>
      <c r="H24" s="2">
        <v>2.1875000000000002E-3</v>
      </c>
      <c r="I24" s="1">
        <v>0.76880000000000004</v>
      </c>
    </row>
    <row r="25" spans="1:9" x14ac:dyDescent="0.3">
      <c r="A25">
        <v>24</v>
      </c>
      <c r="B25">
        <v>154</v>
      </c>
      <c r="C25">
        <v>148</v>
      </c>
      <c r="D25" s="1">
        <v>0.96099999999999997</v>
      </c>
      <c r="E25">
        <v>6</v>
      </c>
      <c r="F25" s="2">
        <v>1.1574074074074075E-4</v>
      </c>
      <c r="G25" s="2">
        <v>1.7013888888888888E-3</v>
      </c>
      <c r="H25" s="2">
        <v>2.5000000000000001E-3</v>
      </c>
      <c r="I25" s="1">
        <v>0.85060000000000002</v>
      </c>
    </row>
    <row r="26" spans="1:9" x14ac:dyDescent="0.3">
      <c r="A26">
        <v>25</v>
      </c>
      <c r="B26">
        <v>166</v>
      </c>
      <c r="C26">
        <v>150</v>
      </c>
      <c r="D26" s="1">
        <v>0.90359999999999996</v>
      </c>
      <c r="E26">
        <v>16</v>
      </c>
      <c r="F26" s="2">
        <v>2.0833333333333335E-4</v>
      </c>
      <c r="G26" s="2">
        <v>1.6898148148148148E-3</v>
      </c>
      <c r="H26" s="2">
        <v>3.2175925925925926E-3</v>
      </c>
      <c r="I26" s="1">
        <v>0.76829999999999998</v>
      </c>
    </row>
    <row r="27" spans="1:9" x14ac:dyDescent="0.3">
      <c r="A27">
        <v>26</v>
      </c>
      <c r="B27">
        <v>58</v>
      </c>
      <c r="C27">
        <v>57</v>
      </c>
      <c r="D27" s="1">
        <v>0.98280000000000001</v>
      </c>
      <c r="E27">
        <v>1</v>
      </c>
      <c r="F27" s="2">
        <v>4.6296296296296294E-5</v>
      </c>
      <c r="G27" s="2">
        <v>1.6898148148148148E-3</v>
      </c>
      <c r="H27" s="2">
        <v>6.7129629629629625E-4</v>
      </c>
      <c r="I27" s="1">
        <v>0.94830000000000003</v>
      </c>
    </row>
    <row r="28" spans="1:9" x14ac:dyDescent="0.3">
      <c r="A28">
        <v>27</v>
      </c>
      <c r="B28">
        <v>160</v>
      </c>
      <c r="C28">
        <v>153</v>
      </c>
      <c r="D28" s="1">
        <v>0.95630000000000004</v>
      </c>
      <c r="E28">
        <v>7</v>
      </c>
      <c r="F28" s="2">
        <v>1.1574074074074075E-4</v>
      </c>
      <c r="G28" s="2">
        <v>1.6550925925925926E-3</v>
      </c>
      <c r="H28" s="2">
        <v>1.9097222222222222E-3</v>
      </c>
      <c r="I28" s="1">
        <v>0.84909999999999997</v>
      </c>
    </row>
    <row r="29" spans="1:9" x14ac:dyDescent="0.3">
      <c r="A29">
        <v>28</v>
      </c>
      <c r="B29">
        <v>86</v>
      </c>
      <c r="C29">
        <v>79</v>
      </c>
      <c r="D29" s="1">
        <v>0.91859999999999997</v>
      </c>
      <c r="E29">
        <v>7</v>
      </c>
      <c r="F29" s="2">
        <v>3.7037037037037035E-4</v>
      </c>
      <c r="G29" s="2">
        <v>1.8865740740740742E-3</v>
      </c>
      <c r="H29" s="2">
        <v>3.2407407407407406E-3</v>
      </c>
      <c r="I29" s="1">
        <v>0.61629999999999996</v>
      </c>
    </row>
    <row r="30" spans="1:9" x14ac:dyDescent="0.3">
      <c r="A30">
        <v>29</v>
      </c>
      <c r="B30">
        <v>180</v>
      </c>
      <c r="C30">
        <v>170</v>
      </c>
      <c r="D30" s="1">
        <v>0.94440000000000002</v>
      </c>
      <c r="E30">
        <v>10</v>
      </c>
      <c r="F30" s="2">
        <v>2.6620370370370372E-4</v>
      </c>
      <c r="G30" s="2">
        <v>1.7476851851851852E-3</v>
      </c>
      <c r="H30" s="2">
        <v>3.9930555555555552E-3</v>
      </c>
      <c r="I30" s="1">
        <v>0.77529999999999999</v>
      </c>
    </row>
    <row r="31" spans="1:9" x14ac:dyDescent="0.3">
      <c r="A31">
        <v>30</v>
      </c>
      <c r="B31">
        <v>210</v>
      </c>
      <c r="C31">
        <v>192</v>
      </c>
      <c r="D31" s="1">
        <v>0.9143</v>
      </c>
      <c r="E31">
        <v>18</v>
      </c>
      <c r="F31" s="2">
        <v>3.0092592592592595E-4</v>
      </c>
      <c r="G31" s="2">
        <v>1.5740740740740741E-3</v>
      </c>
      <c r="H31" s="2">
        <v>3.8773148148148148E-3</v>
      </c>
      <c r="I31" s="1">
        <v>0.67459999999999998</v>
      </c>
    </row>
    <row r="32" spans="1:9" x14ac:dyDescent="0.3">
      <c r="A32">
        <v>31</v>
      </c>
      <c r="B32">
        <v>163</v>
      </c>
      <c r="C32">
        <v>157</v>
      </c>
      <c r="D32" s="1">
        <v>0.96319999999999995</v>
      </c>
      <c r="E32">
        <v>6</v>
      </c>
      <c r="F32" s="2">
        <v>1.6203703703703703E-4</v>
      </c>
      <c r="G32" s="2">
        <v>1.6087962962962963E-3</v>
      </c>
      <c r="H32" s="2">
        <v>2.0254629629629629E-3</v>
      </c>
      <c r="I32" s="1">
        <v>0.81369999999999998</v>
      </c>
    </row>
    <row r="33" spans="1:9" x14ac:dyDescent="0.3">
      <c r="A33">
        <v>32</v>
      </c>
      <c r="B33">
        <v>143</v>
      </c>
      <c r="C33">
        <v>140</v>
      </c>
      <c r="D33" s="1">
        <v>0.97899999999999998</v>
      </c>
      <c r="E33">
        <v>3</v>
      </c>
      <c r="F33" s="2">
        <v>1.7361111111111112E-4</v>
      </c>
      <c r="G33" s="2">
        <v>1.6203703703703703E-3</v>
      </c>
      <c r="H33" s="2">
        <v>3.2754629629629631E-3</v>
      </c>
      <c r="I33" s="1">
        <v>0.82520000000000004</v>
      </c>
    </row>
    <row r="34" spans="1:9" x14ac:dyDescent="0.3">
      <c r="A34">
        <v>33</v>
      </c>
      <c r="B34">
        <v>57</v>
      </c>
      <c r="C34">
        <v>55</v>
      </c>
      <c r="D34" s="1">
        <v>0.96489999999999998</v>
      </c>
      <c r="E34">
        <v>2</v>
      </c>
      <c r="F34" s="2">
        <v>6.9444444444444444E-5</v>
      </c>
      <c r="G34" s="2">
        <v>1.4236111111111112E-3</v>
      </c>
      <c r="H34" s="2">
        <v>1.2731481481481483E-3</v>
      </c>
      <c r="I34" s="1">
        <v>0.9123</v>
      </c>
    </row>
    <row r="35" spans="1:9" x14ac:dyDescent="0.3">
      <c r="A35">
        <v>34</v>
      </c>
      <c r="B35">
        <v>179</v>
      </c>
      <c r="C35">
        <v>172</v>
      </c>
      <c r="D35" s="1">
        <v>0.96089999999999998</v>
      </c>
      <c r="E35">
        <v>7</v>
      </c>
      <c r="F35" s="2">
        <v>1.5046296296296297E-4</v>
      </c>
      <c r="G35" s="2">
        <v>1.5856481481481481E-3</v>
      </c>
      <c r="H35" s="2">
        <v>2.3495370370370371E-3</v>
      </c>
      <c r="I35" s="1">
        <v>0.82489999999999997</v>
      </c>
    </row>
    <row r="36" spans="1:9" x14ac:dyDescent="0.3">
      <c r="A36">
        <v>35</v>
      </c>
      <c r="B36">
        <v>194</v>
      </c>
      <c r="C36">
        <v>184</v>
      </c>
      <c r="D36" s="1">
        <v>0.94850000000000001</v>
      </c>
      <c r="E36">
        <v>10</v>
      </c>
      <c r="F36" s="2">
        <v>2.7777777777777778E-4</v>
      </c>
      <c r="G36" s="2">
        <v>1.6666666666666668E-3</v>
      </c>
      <c r="H36" s="2">
        <v>2.3032407407407407E-3</v>
      </c>
      <c r="I36" s="1">
        <v>0.70099999999999996</v>
      </c>
    </row>
    <row r="37" spans="1:9" x14ac:dyDescent="0.3">
      <c r="A37">
        <v>36</v>
      </c>
      <c r="B37">
        <v>201</v>
      </c>
      <c r="C37">
        <v>196</v>
      </c>
      <c r="D37" s="1">
        <v>0.97509999999999997</v>
      </c>
      <c r="E37">
        <v>5</v>
      </c>
      <c r="F37" s="2">
        <v>1.7361111111111112E-4</v>
      </c>
      <c r="G37" s="2">
        <v>1.5740740740740741E-3</v>
      </c>
      <c r="H37" s="2">
        <v>3.3912037037037036E-3</v>
      </c>
      <c r="I37" s="1">
        <v>0.81589999999999996</v>
      </c>
    </row>
    <row r="38" spans="1:9" x14ac:dyDescent="0.3">
      <c r="A38">
        <v>37</v>
      </c>
      <c r="B38">
        <v>218</v>
      </c>
      <c r="C38">
        <v>189</v>
      </c>
      <c r="D38" s="1">
        <v>0.86699999999999999</v>
      </c>
      <c r="E38">
        <v>29</v>
      </c>
      <c r="F38" s="2">
        <v>3.7037037037037035E-4</v>
      </c>
      <c r="G38" s="2">
        <v>1.8171296296296297E-3</v>
      </c>
      <c r="H38" s="2">
        <v>5.6018518518518518E-3</v>
      </c>
      <c r="I38" s="1">
        <v>0.57410000000000005</v>
      </c>
    </row>
    <row r="39" spans="1:9" x14ac:dyDescent="0.3">
      <c r="A39">
        <v>38</v>
      </c>
      <c r="B39">
        <v>194</v>
      </c>
      <c r="C39">
        <v>190</v>
      </c>
      <c r="D39" s="1">
        <v>0.97940000000000005</v>
      </c>
      <c r="E39">
        <v>4</v>
      </c>
      <c r="F39" s="2">
        <v>1.8518518518518518E-4</v>
      </c>
      <c r="G39" s="2">
        <v>1.6435185185185185E-3</v>
      </c>
      <c r="H39" s="2">
        <v>1.4120370370370369E-3</v>
      </c>
      <c r="I39" s="1">
        <v>0.81769999999999998</v>
      </c>
    </row>
    <row r="40" spans="1:9" x14ac:dyDescent="0.3">
      <c r="A40">
        <v>39</v>
      </c>
      <c r="B40">
        <v>227</v>
      </c>
      <c r="C40">
        <v>219</v>
      </c>
      <c r="D40" s="1">
        <v>0.96479999999999999</v>
      </c>
      <c r="E40">
        <v>8</v>
      </c>
      <c r="F40" s="2">
        <v>1.7361111111111112E-4</v>
      </c>
      <c r="G40" s="2">
        <v>1.8981481481481482E-3</v>
      </c>
      <c r="H40" s="2">
        <v>2.7199074074074074E-3</v>
      </c>
      <c r="I40" s="1">
        <v>0.83630000000000004</v>
      </c>
    </row>
    <row r="41" spans="1:9" x14ac:dyDescent="0.3">
      <c r="A41">
        <v>40</v>
      </c>
      <c r="B41">
        <v>52</v>
      </c>
      <c r="C41">
        <v>52</v>
      </c>
      <c r="D41" s="1">
        <v>1</v>
      </c>
      <c r="E41">
        <v>0</v>
      </c>
      <c r="F41" s="2">
        <v>1.0416666666666667E-4</v>
      </c>
      <c r="G41" s="2">
        <v>1.5740740740740741E-3</v>
      </c>
      <c r="H41" s="2">
        <v>6.018518518518519E-4</v>
      </c>
      <c r="I41" s="1">
        <v>0.94230000000000003</v>
      </c>
    </row>
    <row r="42" spans="1:9" x14ac:dyDescent="0.3">
      <c r="A42">
        <v>41</v>
      </c>
      <c r="B42">
        <v>385</v>
      </c>
      <c r="C42">
        <v>370</v>
      </c>
      <c r="D42" s="1">
        <v>0.96099999999999997</v>
      </c>
      <c r="E42">
        <v>15</v>
      </c>
      <c r="F42" s="2">
        <v>2.3148148148148149E-4</v>
      </c>
      <c r="G42" s="2">
        <v>1.5162037037037036E-3</v>
      </c>
      <c r="H42" s="2">
        <v>2.1990740740740742E-3</v>
      </c>
      <c r="I42" s="1">
        <v>0.76190000000000002</v>
      </c>
    </row>
    <row r="43" spans="1:9" x14ac:dyDescent="0.3">
      <c r="A43">
        <v>42</v>
      </c>
      <c r="B43">
        <v>137</v>
      </c>
      <c r="C43">
        <v>130</v>
      </c>
      <c r="D43" s="1">
        <v>0.94889999999999997</v>
      </c>
      <c r="E43">
        <v>7</v>
      </c>
      <c r="F43" s="2">
        <v>1.8518518518518518E-4</v>
      </c>
      <c r="G43" s="2">
        <v>1.6898148148148148E-3</v>
      </c>
      <c r="H43" s="2">
        <v>6.7939814814814816E-3</v>
      </c>
      <c r="I43" s="1">
        <v>0.7591</v>
      </c>
    </row>
    <row r="44" spans="1:9" x14ac:dyDescent="0.3">
      <c r="A44">
        <v>43</v>
      </c>
      <c r="B44">
        <v>254</v>
      </c>
      <c r="C44">
        <v>252</v>
      </c>
      <c r="D44" s="1">
        <v>0.99209999999999998</v>
      </c>
      <c r="E44">
        <v>2</v>
      </c>
      <c r="F44" s="2">
        <v>1.1574074074074075E-4</v>
      </c>
      <c r="G44" s="2">
        <v>1.4814814814814814E-3</v>
      </c>
      <c r="H44" s="2">
        <v>8.1018518518518516E-4</v>
      </c>
      <c r="I44" s="1">
        <v>0.91339999999999999</v>
      </c>
    </row>
    <row r="45" spans="1:9" x14ac:dyDescent="0.3">
      <c r="A45">
        <v>44</v>
      </c>
      <c r="B45">
        <v>211</v>
      </c>
      <c r="C45">
        <v>206</v>
      </c>
      <c r="D45" s="1">
        <v>0.97629999999999995</v>
      </c>
      <c r="E45">
        <v>5</v>
      </c>
      <c r="F45" s="2">
        <v>1.273148148148148E-4</v>
      </c>
      <c r="G45" s="2">
        <v>1.6666666666666668E-3</v>
      </c>
      <c r="H45" s="2">
        <v>3.2060185185185186E-3</v>
      </c>
      <c r="I45" s="1">
        <v>0.87139999999999995</v>
      </c>
    </row>
    <row r="46" spans="1:9" x14ac:dyDescent="0.3">
      <c r="A46">
        <v>45</v>
      </c>
      <c r="B46">
        <v>282</v>
      </c>
      <c r="C46">
        <v>279</v>
      </c>
      <c r="D46" s="1">
        <v>0.98939999999999995</v>
      </c>
      <c r="E46">
        <v>3</v>
      </c>
      <c r="F46" s="2">
        <v>8.1018518518518516E-5</v>
      </c>
      <c r="G46" s="2">
        <v>1.5972222222222223E-3</v>
      </c>
      <c r="H46" s="2">
        <v>8.2175925925925927E-4</v>
      </c>
      <c r="I46" s="1">
        <v>0.93210000000000004</v>
      </c>
    </row>
    <row r="47" spans="1:9" x14ac:dyDescent="0.3">
      <c r="A47">
        <v>46</v>
      </c>
      <c r="B47">
        <v>262</v>
      </c>
      <c r="C47">
        <v>260</v>
      </c>
      <c r="D47" s="1">
        <v>0.99239999999999995</v>
      </c>
      <c r="E47">
        <v>2</v>
      </c>
      <c r="F47" s="2">
        <v>9.2592592592592588E-5</v>
      </c>
      <c r="G47" s="2">
        <v>1.7476851851851852E-3</v>
      </c>
      <c r="H47" s="2">
        <v>8.4490740740740739E-4</v>
      </c>
      <c r="I47" s="1">
        <v>0.90800000000000003</v>
      </c>
    </row>
    <row r="48" spans="1:9" x14ac:dyDescent="0.3">
      <c r="A48">
        <v>47</v>
      </c>
      <c r="B48">
        <v>65</v>
      </c>
      <c r="C48">
        <v>63</v>
      </c>
      <c r="D48" s="1">
        <v>0.96919999999999995</v>
      </c>
      <c r="E48">
        <v>2</v>
      </c>
      <c r="F48" s="2">
        <v>1.3888888888888889E-4</v>
      </c>
      <c r="G48" s="2">
        <v>1.6435185185185185E-3</v>
      </c>
      <c r="H48" s="2">
        <v>1.5046296296296296E-3</v>
      </c>
      <c r="I48" s="1">
        <v>0.85940000000000005</v>
      </c>
    </row>
    <row r="49" spans="1:9" x14ac:dyDescent="0.3">
      <c r="A49">
        <v>48</v>
      </c>
      <c r="B49">
        <v>325</v>
      </c>
      <c r="C49">
        <v>323</v>
      </c>
      <c r="D49" s="1">
        <v>0.99380000000000002</v>
      </c>
      <c r="E49">
        <v>2</v>
      </c>
      <c r="F49" s="2">
        <v>5.7870370370370373E-5</v>
      </c>
      <c r="G49" s="2">
        <v>1.5393518518518519E-3</v>
      </c>
      <c r="H49" s="2">
        <v>8.564814814814815E-4</v>
      </c>
      <c r="I49" s="1">
        <v>0.96899999999999997</v>
      </c>
    </row>
    <row r="50" spans="1:9" x14ac:dyDescent="0.3">
      <c r="A50">
        <v>49</v>
      </c>
      <c r="B50">
        <v>235</v>
      </c>
      <c r="C50">
        <v>230</v>
      </c>
      <c r="D50" s="1">
        <v>0.97870000000000001</v>
      </c>
      <c r="E50">
        <v>5</v>
      </c>
      <c r="F50" s="2">
        <v>5.7870370370370373E-5</v>
      </c>
      <c r="G50" s="2">
        <v>1.6087962962962963E-3</v>
      </c>
      <c r="H50" s="2">
        <v>6.7129629629629625E-4</v>
      </c>
      <c r="I50" s="1">
        <v>0.96140000000000003</v>
      </c>
    </row>
    <row r="51" spans="1:9" x14ac:dyDescent="0.3">
      <c r="A51">
        <v>50</v>
      </c>
      <c r="B51">
        <v>215</v>
      </c>
      <c r="C51">
        <v>212</v>
      </c>
      <c r="D51" s="1">
        <v>0.98599999999999999</v>
      </c>
      <c r="E51">
        <v>3</v>
      </c>
      <c r="F51" s="2">
        <v>5.7870370370370373E-5</v>
      </c>
      <c r="G51" s="2">
        <v>1.5509259259259259E-3</v>
      </c>
      <c r="H51" s="2">
        <v>6.7129629629629625E-4</v>
      </c>
      <c r="I51" s="1">
        <v>0.95809999999999995</v>
      </c>
    </row>
    <row r="52" spans="1:9" x14ac:dyDescent="0.3">
      <c r="A52">
        <v>51</v>
      </c>
      <c r="B52">
        <v>85</v>
      </c>
      <c r="C52">
        <v>85</v>
      </c>
      <c r="D52" s="1">
        <v>1</v>
      </c>
      <c r="E52">
        <v>0</v>
      </c>
      <c r="F52" s="2">
        <v>3.4722222222222222E-5</v>
      </c>
      <c r="G52" s="2">
        <v>1.6898148148148148E-3</v>
      </c>
      <c r="H52" s="2">
        <v>6.3657407407407413E-4</v>
      </c>
      <c r="I52" s="1">
        <v>0.97650000000000003</v>
      </c>
    </row>
    <row r="53" spans="1:9" x14ac:dyDescent="0.3">
      <c r="A53">
        <v>52</v>
      </c>
      <c r="B53">
        <v>195</v>
      </c>
      <c r="C53">
        <v>195</v>
      </c>
      <c r="D53" s="1">
        <v>1</v>
      </c>
      <c r="E53">
        <v>0</v>
      </c>
      <c r="F53" s="2">
        <v>5.7870370370370373E-5</v>
      </c>
      <c r="G53" s="2">
        <v>1.6666666666666668E-3</v>
      </c>
      <c r="H53" s="2">
        <v>1.5393518518518519E-3</v>
      </c>
      <c r="I53" s="1">
        <v>0.97440000000000004</v>
      </c>
    </row>
    <row r="54" spans="1:9" x14ac:dyDescent="0.3">
      <c r="A54">
        <v>53</v>
      </c>
      <c r="B54">
        <v>188</v>
      </c>
      <c r="C54">
        <v>182</v>
      </c>
      <c r="D54" s="1">
        <v>0.96809999999999996</v>
      </c>
      <c r="E54">
        <v>6</v>
      </c>
      <c r="F54" s="2">
        <v>1.7361111111111112E-4</v>
      </c>
      <c r="G54" s="2">
        <v>1.5509259259259259E-3</v>
      </c>
      <c r="H54" s="2">
        <v>1.2847222222222223E-3</v>
      </c>
      <c r="I54" s="1">
        <v>0.83609999999999995</v>
      </c>
    </row>
    <row r="55" spans="1:9" x14ac:dyDescent="0.3">
      <c r="A55">
        <v>54</v>
      </c>
      <c r="B55">
        <v>58</v>
      </c>
      <c r="C55">
        <v>58</v>
      </c>
      <c r="D55" s="1">
        <v>1</v>
      </c>
      <c r="E55">
        <v>0</v>
      </c>
      <c r="F55" s="2">
        <v>6.9444444444444444E-5</v>
      </c>
      <c r="G55" s="2">
        <v>1.6435185185185185E-3</v>
      </c>
      <c r="H55" s="2">
        <v>6.018518518518519E-4</v>
      </c>
      <c r="I55" s="1">
        <v>0.94830000000000003</v>
      </c>
    </row>
    <row r="56" spans="1:9" x14ac:dyDescent="0.3">
      <c r="A56">
        <v>55</v>
      </c>
      <c r="B56">
        <v>251</v>
      </c>
      <c r="C56">
        <v>247</v>
      </c>
      <c r="D56" s="1">
        <v>0.98409999999999997</v>
      </c>
      <c r="E56">
        <v>4</v>
      </c>
      <c r="F56" s="2">
        <v>1.6203703703703703E-4</v>
      </c>
      <c r="G56" s="2">
        <v>1.5740740740740741E-3</v>
      </c>
      <c r="H56" s="2">
        <v>1.3078703703703703E-3</v>
      </c>
      <c r="I56" s="1">
        <v>0.83530000000000004</v>
      </c>
    </row>
    <row r="57" spans="1:9" x14ac:dyDescent="0.3">
      <c r="A57">
        <v>56</v>
      </c>
      <c r="B57">
        <v>181</v>
      </c>
      <c r="C57">
        <v>178</v>
      </c>
      <c r="D57" s="1">
        <v>0.98340000000000005</v>
      </c>
      <c r="E57">
        <v>3</v>
      </c>
      <c r="F57" s="2">
        <v>1.3888888888888889E-4</v>
      </c>
      <c r="G57" s="2">
        <v>1.6666666666666668E-3</v>
      </c>
      <c r="H57" s="2">
        <v>1.3541666666666667E-3</v>
      </c>
      <c r="I57" s="1">
        <v>0.8619</v>
      </c>
    </row>
    <row r="58" spans="1:9" x14ac:dyDescent="0.3">
      <c r="A58">
        <v>57</v>
      </c>
      <c r="B58">
        <v>228</v>
      </c>
      <c r="C58">
        <v>213</v>
      </c>
      <c r="D58" s="1">
        <v>0.93420000000000003</v>
      </c>
      <c r="E58">
        <v>15</v>
      </c>
      <c r="F58" s="2">
        <v>3.0092592592592595E-4</v>
      </c>
      <c r="G58" s="2">
        <v>1.5740740740740741E-3</v>
      </c>
      <c r="H58" s="2">
        <v>2.1643518518518518E-3</v>
      </c>
      <c r="I58" s="1">
        <v>0.63560000000000005</v>
      </c>
    </row>
    <row r="59" spans="1:9" x14ac:dyDescent="0.3">
      <c r="A59">
        <v>58</v>
      </c>
      <c r="B59">
        <v>165</v>
      </c>
      <c r="C59">
        <v>163</v>
      </c>
      <c r="D59" s="1">
        <v>0.9879</v>
      </c>
      <c r="E59">
        <v>2</v>
      </c>
      <c r="F59" s="2">
        <v>1.0416666666666667E-4</v>
      </c>
      <c r="G59" s="2">
        <v>1.6782407407407408E-3</v>
      </c>
      <c r="H59" s="2">
        <v>1.6203703703703703E-3</v>
      </c>
      <c r="I59" s="1">
        <v>0.90239999999999998</v>
      </c>
    </row>
    <row r="60" spans="1:9" x14ac:dyDescent="0.3">
      <c r="A60">
        <v>59</v>
      </c>
      <c r="B60">
        <v>185</v>
      </c>
      <c r="C60">
        <v>179</v>
      </c>
      <c r="D60" s="1">
        <v>0.96760000000000002</v>
      </c>
      <c r="E60">
        <v>6</v>
      </c>
      <c r="F60" s="2">
        <v>1.9675925925925926E-4</v>
      </c>
      <c r="G60" s="2">
        <v>1.5856481481481481E-3</v>
      </c>
      <c r="H60" s="2">
        <v>1.7708333333333332E-3</v>
      </c>
      <c r="I60" s="1">
        <v>0.78569999999999995</v>
      </c>
    </row>
    <row r="61" spans="1:9" x14ac:dyDescent="0.3">
      <c r="A61">
        <v>60</v>
      </c>
      <c r="B61">
        <v>172</v>
      </c>
      <c r="C61">
        <v>164</v>
      </c>
      <c r="D61" s="1">
        <v>0.95350000000000001</v>
      </c>
      <c r="E61">
        <v>8</v>
      </c>
      <c r="F61" s="2">
        <v>2.0833333333333335E-4</v>
      </c>
      <c r="G61" s="2">
        <v>1.7013888888888888E-3</v>
      </c>
      <c r="H61" s="2">
        <v>2.8819444444444444E-3</v>
      </c>
      <c r="I61" s="1">
        <v>0.77059999999999995</v>
      </c>
    </row>
    <row r="62" spans="1:9" x14ac:dyDescent="0.3">
      <c r="A62">
        <v>61</v>
      </c>
      <c r="B62">
        <v>57</v>
      </c>
      <c r="C62">
        <v>51</v>
      </c>
      <c r="D62" s="1">
        <v>0.89470000000000005</v>
      </c>
      <c r="E62">
        <v>6</v>
      </c>
      <c r="F62" s="2">
        <v>8.1018518518518516E-5</v>
      </c>
      <c r="G62" s="2">
        <v>1.238425925925926E-3</v>
      </c>
      <c r="H62" s="2">
        <v>2.5462962962962965E-3</v>
      </c>
      <c r="I62" s="1">
        <v>0.90569999999999995</v>
      </c>
    </row>
    <row r="63" spans="1:9" x14ac:dyDescent="0.3">
      <c r="A63">
        <v>62</v>
      </c>
      <c r="B63">
        <v>200</v>
      </c>
      <c r="C63">
        <v>192</v>
      </c>
      <c r="D63" s="1">
        <v>0.96</v>
      </c>
      <c r="E63">
        <v>8</v>
      </c>
      <c r="F63" s="2">
        <v>1.1574074074074075E-4</v>
      </c>
      <c r="G63" s="2">
        <v>1.5972222222222223E-3</v>
      </c>
      <c r="H63" s="2">
        <v>1.9560185185185184E-3</v>
      </c>
      <c r="I63" s="1">
        <v>0.86429999999999996</v>
      </c>
    </row>
    <row r="64" spans="1:9" x14ac:dyDescent="0.3">
      <c r="A64">
        <v>63</v>
      </c>
      <c r="B64">
        <v>202</v>
      </c>
      <c r="C64">
        <v>199</v>
      </c>
      <c r="D64" s="1">
        <v>0.98509999999999998</v>
      </c>
      <c r="E64">
        <v>3</v>
      </c>
      <c r="F64" s="2">
        <v>9.2592592592592588E-5</v>
      </c>
      <c r="G64" s="2">
        <v>1.4467592592592592E-3</v>
      </c>
      <c r="H64" s="2">
        <v>8.9120370370370373E-4</v>
      </c>
      <c r="I64" s="1">
        <v>0.91</v>
      </c>
    </row>
    <row r="65" spans="1:9" x14ac:dyDescent="0.3">
      <c r="A65">
        <v>64</v>
      </c>
      <c r="B65">
        <v>217</v>
      </c>
      <c r="C65">
        <v>212</v>
      </c>
      <c r="D65" s="1">
        <v>0.97699999999999998</v>
      </c>
      <c r="E65">
        <v>5</v>
      </c>
      <c r="F65" s="2">
        <v>8.1018518518518516E-5</v>
      </c>
      <c r="G65" s="2">
        <v>1.3310185185185185E-3</v>
      </c>
      <c r="H65" s="2">
        <v>1.2731481481481483E-3</v>
      </c>
      <c r="I65" s="1">
        <v>0.94420000000000004</v>
      </c>
    </row>
    <row r="66" spans="1:9" x14ac:dyDescent="0.3">
      <c r="A66">
        <v>65</v>
      </c>
      <c r="B66">
        <v>225</v>
      </c>
      <c r="C66">
        <v>223</v>
      </c>
      <c r="D66" s="1">
        <v>0.99109999999999998</v>
      </c>
      <c r="E66">
        <v>2</v>
      </c>
      <c r="F66" s="2">
        <v>1.0416666666666667E-4</v>
      </c>
      <c r="G66" s="2">
        <v>1.4930555555555556E-3</v>
      </c>
      <c r="H66" s="2">
        <v>7.6388888888888893E-4</v>
      </c>
      <c r="I66" s="1">
        <v>0.91930000000000001</v>
      </c>
    </row>
    <row r="67" spans="1:9" x14ac:dyDescent="0.3">
      <c r="A67">
        <v>66</v>
      </c>
      <c r="B67">
        <v>235</v>
      </c>
      <c r="C67">
        <v>231</v>
      </c>
      <c r="D67" s="1">
        <v>0.98299999999999998</v>
      </c>
      <c r="E67">
        <v>4</v>
      </c>
      <c r="F67" s="2">
        <v>9.2592592592592588E-5</v>
      </c>
      <c r="G67" s="2">
        <v>1.6087962962962963E-3</v>
      </c>
      <c r="H67" s="2">
        <v>7.6388888888888893E-4</v>
      </c>
      <c r="I67" s="1">
        <v>0.95709999999999995</v>
      </c>
    </row>
    <row r="68" spans="1:9" x14ac:dyDescent="0.3">
      <c r="A68">
        <v>67</v>
      </c>
      <c r="B68">
        <v>202</v>
      </c>
      <c r="C68">
        <v>201</v>
      </c>
      <c r="D68" s="1">
        <v>0.995</v>
      </c>
      <c r="E68">
        <v>1</v>
      </c>
      <c r="F68" s="2">
        <v>9.2592592592592588E-5</v>
      </c>
      <c r="G68" s="2">
        <v>1.6319444444444445E-3</v>
      </c>
      <c r="H68" s="2">
        <v>1.3078703703703703E-3</v>
      </c>
      <c r="I68" s="1">
        <v>0.94550000000000001</v>
      </c>
    </row>
    <row r="69" spans="1:9" x14ac:dyDescent="0.3">
      <c r="A69">
        <v>68</v>
      </c>
      <c r="B69">
        <v>43</v>
      </c>
      <c r="C69">
        <v>39</v>
      </c>
      <c r="D69" s="1">
        <v>0.90700000000000003</v>
      </c>
      <c r="E69">
        <v>4</v>
      </c>
      <c r="F69" s="2">
        <v>1.273148148148148E-4</v>
      </c>
      <c r="G69" s="2">
        <v>1.5625000000000001E-3</v>
      </c>
      <c r="H69" s="2">
        <v>1.2731481481481483E-3</v>
      </c>
      <c r="I69" s="1">
        <v>0.76190000000000002</v>
      </c>
    </row>
    <row r="70" spans="1:9" x14ac:dyDescent="0.3">
      <c r="A70">
        <v>69</v>
      </c>
      <c r="B70">
        <v>194</v>
      </c>
      <c r="C70">
        <v>187</v>
      </c>
      <c r="D70" s="1">
        <v>0.96389999999999998</v>
      </c>
      <c r="E70">
        <v>7</v>
      </c>
      <c r="F70" s="2">
        <v>1.1574074074074075E-4</v>
      </c>
      <c r="G70" s="2">
        <v>1.7013888888888888E-3</v>
      </c>
      <c r="H70" s="2">
        <v>1.736111111111111E-3</v>
      </c>
      <c r="I70" s="1">
        <v>0.87429999999999997</v>
      </c>
    </row>
    <row r="71" spans="1:9" x14ac:dyDescent="0.3">
      <c r="A71">
        <v>70</v>
      </c>
      <c r="B71">
        <v>202</v>
      </c>
      <c r="C71">
        <v>199</v>
      </c>
      <c r="D71" s="1">
        <v>0.98509999999999998</v>
      </c>
      <c r="E71">
        <v>3</v>
      </c>
      <c r="F71" s="2">
        <v>1.5046296296296297E-4</v>
      </c>
      <c r="G71" s="2">
        <v>1.6550925925925926E-3</v>
      </c>
      <c r="H71" s="2">
        <v>1.3657407407407407E-3</v>
      </c>
      <c r="I71" s="1">
        <v>0.86070000000000002</v>
      </c>
    </row>
    <row r="72" spans="1:9" x14ac:dyDescent="0.3">
      <c r="A72">
        <v>71</v>
      </c>
      <c r="B72">
        <v>146</v>
      </c>
      <c r="C72">
        <v>140</v>
      </c>
      <c r="D72" s="1">
        <v>0.95889999999999997</v>
      </c>
      <c r="E72">
        <v>6</v>
      </c>
      <c r="F72" s="2">
        <v>1.3888888888888889E-4</v>
      </c>
      <c r="G72" s="2">
        <v>1.5393518518518519E-3</v>
      </c>
      <c r="H72" s="2">
        <v>3.1828703703703702E-3</v>
      </c>
      <c r="I72" s="1">
        <v>0.83450000000000002</v>
      </c>
    </row>
    <row r="73" spans="1:9" x14ac:dyDescent="0.3">
      <c r="A73">
        <v>72</v>
      </c>
      <c r="B73">
        <v>147</v>
      </c>
      <c r="C73">
        <v>145</v>
      </c>
      <c r="D73" s="1">
        <v>0.98640000000000005</v>
      </c>
      <c r="E73">
        <v>2</v>
      </c>
      <c r="F73" s="2">
        <v>1.0416666666666667E-4</v>
      </c>
      <c r="G73" s="2">
        <v>1.5625000000000001E-3</v>
      </c>
      <c r="H73" s="2">
        <v>6.7129629629629625E-4</v>
      </c>
      <c r="I73" s="1">
        <v>0.91159999999999997</v>
      </c>
    </row>
    <row r="74" spans="1:9" x14ac:dyDescent="0.3">
      <c r="A74">
        <v>73</v>
      </c>
      <c r="B74">
        <v>155</v>
      </c>
      <c r="C74">
        <v>145</v>
      </c>
      <c r="D74" s="1">
        <v>0.9355</v>
      </c>
      <c r="E74">
        <v>10</v>
      </c>
      <c r="F74" s="2">
        <v>1.3888888888888889E-4</v>
      </c>
      <c r="G74" s="2">
        <v>1.7708333333333332E-3</v>
      </c>
      <c r="H74" s="2">
        <v>3.1597222222222222E-3</v>
      </c>
      <c r="I74" s="1">
        <v>0.82240000000000002</v>
      </c>
    </row>
    <row r="75" spans="1:9" x14ac:dyDescent="0.3">
      <c r="A75">
        <v>74</v>
      </c>
      <c r="B75">
        <v>157</v>
      </c>
      <c r="C75">
        <v>156</v>
      </c>
      <c r="D75" s="1">
        <v>0.99360000000000004</v>
      </c>
      <c r="E75">
        <v>1</v>
      </c>
      <c r="F75" s="2">
        <v>1.0416666666666667E-4</v>
      </c>
      <c r="G75" s="2">
        <v>1.6666666666666668E-3</v>
      </c>
      <c r="H75" s="2">
        <v>6.134259259259259E-4</v>
      </c>
      <c r="I75" s="1">
        <v>0.92949999999999999</v>
      </c>
    </row>
    <row r="76" spans="1:9" x14ac:dyDescent="0.3">
      <c r="A76">
        <v>75</v>
      </c>
      <c r="B76">
        <v>38</v>
      </c>
      <c r="C76">
        <v>36</v>
      </c>
      <c r="D76" s="1">
        <v>0.94740000000000002</v>
      </c>
      <c r="E76">
        <v>2</v>
      </c>
      <c r="F76" s="2">
        <v>1.5046296296296297E-4</v>
      </c>
      <c r="G76" s="2">
        <v>1.5162037037037036E-3</v>
      </c>
      <c r="H76" s="2">
        <v>6.8287037037037036E-4</v>
      </c>
      <c r="I76" s="1">
        <v>0.83779999999999999</v>
      </c>
    </row>
    <row r="77" spans="1:9" x14ac:dyDescent="0.3">
      <c r="A77">
        <v>76</v>
      </c>
      <c r="B77">
        <v>166</v>
      </c>
      <c r="C77">
        <v>162</v>
      </c>
      <c r="D77" s="1">
        <v>0.97589999999999999</v>
      </c>
      <c r="E77">
        <v>4</v>
      </c>
      <c r="F77" s="2">
        <v>1.0416666666666667E-4</v>
      </c>
      <c r="G77" s="2">
        <v>1.724537037037037E-3</v>
      </c>
      <c r="H77" s="2">
        <v>1.9097222222222222E-3</v>
      </c>
      <c r="I77" s="1">
        <v>0.89090000000000003</v>
      </c>
    </row>
    <row r="78" spans="1:9" x14ac:dyDescent="0.3">
      <c r="A78">
        <v>77</v>
      </c>
      <c r="B78">
        <v>226</v>
      </c>
      <c r="C78">
        <v>216</v>
      </c>
      <c r="D78" s="1">
        <v>0.95579999999999998</v>
      </c>
      <c r="E78">
        <v>10</v>
      </c>
      <c r="F78" s="2">
        <v>1.5046296296296297E-4</v>
      </c>
      <c r="G78" s="2">
        <v>1.5625000000000001E-3</v>
      </c>
      <c r="H78" s="2">
        <v>1.2268518518518518E-3</v>
      </c>
      <c r="I78" s="1">
        <v>0.8145</v>
      </c>
    </row>
    <row r="79" spans="1:9" x14ac:dyDescent="0.3">
      <c r="A79">
        <v>78</v>
      </c>
      <c r="B79">
        <v>253</v>
      </c>
      <c r="C79">
        <v>247</v>
      </c>
      <c r="D79" s="1">
        <v>0.97629999999999995</v>
      </c>
      <c r="E79">
        <v>6</v>
      </c>
      <c r="F79" s="2">
        <v>1.1574074074074075E-4</v>
      </c>
      <c r="G79" s="2">
        <v>1.3194444444444445E-3</v>
      </c>
      <c r="H79" s="2">
        <v>8.9120370370370373E-4</v>
      </c>
      <c r="I79" s="1">
        <v>0.88490000000000002</v>
      </c>
    </row>
    <row r="80" spans="1:9" x14ac:dyDescent="0.3">
      <c r="A80">
        <v>79</v>
      </c>
      <c r="B80">
        <v>134</v>
      </c>
      <c r="C80">
        <v>134</v>
      </c>
      <c r="D80" s="1">
        <v>1</v>
      </c>
      <c r="E80">
        <v>0</v>
      </c>
      <c r="F80" s="2">
        <v>3.4722222222222222E-5</v>
      </c>
      <c r="G80" s="2">
        <v>1.5393518518518519E-3</v>
      </c>
      <c r="H80" s="2">
        <v>3.0092592592592595E-4</v>
      </c>
      <c r="I80" s="1">
        <v>1</v>
      </c>
    </row>
    <row r="81" spans="1:9" x14ac:dyDescent="0.3">
      <c r="A81">
        <v>80</v>
      </c>
      <c r="B81">
        <v>70</v>
      </c>
      <c r="C81">
        <v>67</v>
      </c>
      <c r="D81" s="1">
        <v>0.95709999999999995</v>
      </c>
      <c r="E81">
        <v>3</v>
      </c>
      <c r="F81" s="2">
        <v>1.3888888888888889E-4</v>
      </c>
      <c r="G81" s="2">
        <v>1.4004629629629629E-3</v>
      </c>
      <c r="H81" s="2">
        <v>8.7962962962962962E-4</v>
      </c>
      <c r="I81" s="1">
        <v>0.83819999999999995</v>
      </c>
    </row>
    <row r="82" spans="1:9" x14ac:dyDescent="0.3">
      <c r="A82">
        <v>81</v>
      </c>
      <c r="B82">
        <v>83</v>
      </c>
      <c r="C82">
        <v>82</v>
      </c>
      <c r="D82" s="1">
        <v>0.98799999999999999</v>
      </c>
      <c r="E82">
        <v>1</v>
      </c>
      <c r="F82" s="2">
        <v>8.1018518518518516E-5</v>
      </c>
      <c r="G82" s="2">
        <v>1.4236111111111112E-3</v>
      </c>
      <c r="H82" s="2">
        <v>8.7962962962962962E-4</v>
      </c>
      <c r="I82" s="1">
        <v>0.95179999999999998</v>
      </c>
    </row>
    <row r="83" spans="1:9" x14ac:dyDescent="0.3">
      <c r="A83">
        <v>82</v>
      </c>
      <c r="B83">
        <v>42</v>
      </c>
      <c r="C83">
        <v>40</v>
      </c>
      <c r="D83" s="1">
        <v>0.95240000000000002</v>
      </c>
      <c r="E83">
        <v>2</v>
      </c>
      <c r="F83" s="2">
        <v>9.2592592592592588E-5</v>
      </c>
      <c r="G83" s="2">
        <v>1.2847222222222223E-3</v>
      </c>
      <c r="H83" s="2">
        <v>1.1111111111111111E-3</v>
      </c>
      <c r="I83" s="1">
        <v>0.90239999999999998</v>
      </c>
    </row>
    <row r="84" spans="1:9" x14ac:dyDescent="0.3">
      <c r="A84">
        <v>83</v>
      </c>
      <c r="B84">
        <v>66</v>
      </c>
      <c r="C84">
        <v>64</v>
      </c>
      <c r="D84" s="1">
        <v>0.96970000000000001</v>
      </c>
      <c r="E84">
        <v>2</v>
      </c>
      <c r="F84" s="2">
        <v>5.7870370370370373E-5</v>
      </c>
      <c r="G84" s="2">
        <v>1.3888888888888889E-3</v>
      </c>
      <c r="H84" s="2">
        <v>1.1458333333333333E-3</v>
      </c>
      <c r="I84" s="1">
        <v>0.95450000000000002</v>
      </c>
    </row>
    <row r="85" spans="1:9" x14ac:dyDescent="0.3">
      <c r="A85">
        <v>84</v>
      </c>
      <c r="B85">
        <v>153</v>
      </c>
      <c r="C85">
        <v>146</v>
      </c>
      <c r="D85" s="1">
        <v>0.95420000000000005</v>
      </c>
      <c r="E85">
        <v>7</v>
      </c>
      <c r="F85" s="2">
        <v>2.3148148148148149E-4</v>
      </c>
      <c r="G85" s="2">
        <v>1.4814814814814814E-3</v>
      </c>
      <c r="H85" s="2">
        <v>3.1481481481481482E-3</v>
      </c>
      <c r="I85" s="1">
        <v>0.76</v>
      </c>
    </row>
    <row r="86" spans="1:9" x14ac:dyDescent="0.3">
      <c r="A86">
        <v>85</v>
      </c>
      <c r="B86">
        <v>141</v>
      </c>
      <c r="C86">
        <v>135</v>
      </c>
      <c r="D86" s="1">
        <v>0.95740000000000003</v>
      </c>
      <c r="E86">
        <v>6</v>
      </c>
      <c r="F86" s="2">
        <v>2.6620370370370372E-4</v>
      </c>
      <c r="G86" s="2">
        <v>1.4583333333333334E-3</v>
      </c>
      <c r="H86" s="2">
        <v>1.5625000000000001E-3</v>
      </c>
      <c r="I86" s="1">
        <v>0.66910000000000003</v>
      </c>
    </row>
    <row r="87" spans="1:9" x14ac:dyDescent="0.3">
      <c r="A87">
        <v>86</v>
      </c>
      <c r="B87">
        <v>146</v>
      </c>
      <c r="C87">
        <v>143</v>
      </c>
      <c r="D87" s="1">
        <v>0.97950000000000004</v>
      </c>
      <c r="E87">
        <v>3</v>
      </c>
      <c r="F87" s="2">
        <v>1.9675925925925926E-4</v>
      </c>
      <c r="G87" s="2">
        <v>1.3541666666666667E-3</v>
      </c>
      <c r="H87" s="2">
        <v>1.7013888888888888E-3</v>
      </c>
      <c r="I87" s="1">
        <v>0.78320000000000001</v>
      </c>
    </row>
    <row r="88" spans="1:9" x14ac:dyDescent="0.3">
      <c r="A88">
        <v>87</v>
      </c>
      <c r="B88">
        <v>144</v>
      </c>
      <c r="C88">
        <v>140</v>
      </c>
      <c r="D88" s="1">
        <v>0.97219999999999995</v>
      </c>
      <c r="E88">
        <v>4</v>
      </c>
      <c r="F88" s="2">
        <v>1.3888888888888889E-4</v>
      </c>
      <c r="G88" s="2">
        <v>1.3078703703703703E-3</v>
      </c>
      <c r="H88" s="2">
        <v>1.4467592592592592E-3</v>
      </c>
      <c r="I88" s="1">
        <v>0.84030000000000005</v>
      </c>
    </row>
    <row r="89" spans="1:9" x14ac:dyDescent="0.3">
      <c r="A89">
        <v>88</v>
      </c>
      <c r="B89">
        <v>105</v>
      </c>
      <c r="C89">
        <v>103</v>
      </c>
      <c r="D89" s="1">
        <v>0.98099999999999998</v>
      </c>
      <c r="E89">
        <v>2</v>
      </c>
      <c r="F89" s="2">
        <v>1.9675925925925926E-4</v>
      </c>
      <c r="G89" s="2">
        <v>1.3310185185185185E-3</v>
      </c>
      <c r="H89" s="2">
        <v>1.4004629629629629E-3</v>
      </c>
      <c r="I89" s="1">
        <v>0.76190000000000002</v>
      </c>
    </row>
    <row r="90" spans="1:9" x14ac:dyDescent="0.3">
      <c r="A90">
        <v>89</v>
      </c>
      <c r="B90">
        <v>36</v>
      </c>
      <c r="C90">
        <v>35</v>
      </c>
      <c r="D90" s="1">
        <v>0.97219999999999995</v>
      </c>
      <c r="E90">
        <v>1</v>
      </c>
      <c r="F90" s="2">
        <v>1.8518518518518518E-4</v>
      </c>
      <c r="G90" s="2">
        <v>1.3194444444444445E-3</v>
      </c>
      <c r="H90" s="2">
        <v>1.0532407407407407E-3</v>
      </c>
      <c r="I90" s="1">
        <v>0.77139999999999997</v>
      </c>
    </row>
    <row r="91" spans="1:9" x14ac:dyDescent="0.3">
      <c r="A91">
        <v>90</v>
      </c>
      <c r="B91">
        <v>61</v>
      </c>
      <c r="C91">
        <v>57</v>
      </c>
      <c r="D91" s="1">
        <v>0.93440000000000001</v>
      </c>
      <c r="E91">
        <v>4</v>
      </c>
      <c r="F91" s="2">
        <v>4.6296296296296294E-5</v>
      </c>
      <c r="G91" s="2">
        <v>1.3888888888888889E-3</v>
      </c>
      <c r="H91" s="2">
        <v>2.5578703703703705E-3</v>
      </c>
      <c r="I91" s="1">
        <v>0.91669999999999996</v>
      </c>
    </row>
    <row r="92" spans="1:9" x14ac:dyDescent="0.3">
      <c r="A92">
        <v>91</v>
      </c>
      <c r="B92">
        <v>60</v>
      </c>
      <c r="C92">
        <v>58</v>
      </c>
      <c r="D92" s="1">
        <v>0.9667</v>
      </c>
      <c r="E92">
        <v>2</v>
      </c>
      <c r="F92" s="2">
        <v>1.273148148148148E-4</v>
      </c>
      <c r="G92" s="2">
        <v>1.4814814814814814E-3</v>
      </c>
      <c r="H92" s="2">
        <v>1.0879629629629629E-3</v>
      </c>
      <c r="I92" s="1">
        <v>0.85</v>
      </c>
    </row>
    <row r="93" spans="1:9" x14ac:dyDescent="0.3">
      <c r="A93">
        <v>92</v>
      </c>
      <c r="B93">
        <v>18</v>
      </c>
      <c r="C93">
        <v>17</v>
      </c>
      <c r="D93" s="1">
        <v>0.94440000000000002</v>
      </c>
      <c r="E93">
        <v>1</v>
      </c>
      <c r="F93" s="2">
        <v>5.7870370370370373E-5</v>
      </c>
      <c r="G93" s="2">
        <v>1.8402777777777777E-3</v>
      </c>
      <c r="H93" s="2">
        <v>2.3148148148148149E-4</v>
      </c>
      <c r="I93" s="1">
        <v>1</v>
      </c>
    </row>
    <row r="94" spans="1:9" x14ac:dyDescent="0.3">
      <c r="A94">
        <v>93</v>
      </c>
      <c r="B94">
        <v>206</v>
      </c>
      <c r="C94">
        <v>202</v>
      </c>
      <c r="D94" s="1">
        <v>0.98060000000000003</v>
      </c>
      <c r="E94">
        <v>4</v>
      </c>
      <c r="F94" s="2">
        <v>1.0416666666666667E-4</v>
      </c>
      <c r="G94" s="2">
        <v>1.3194444444444445E-3</v>
      </c>
      <c r="H94" s="2">
        <v>8.1018518518518516E-4</v>
      </c>
      <c r="I94" s="1">
        <v>0.89270000000000005</v>
      </c>
    </row>
    <row r="95" spans="1:9" x14ac:dyDescent="0.3">
      <c r="A95">
        <v>94</v>
      </c>
      <c r="B95">
        <v>194</v>
      </c>
      <c r="C95">
        <v>193</v>
      </c>
      <c r="D95" s="1">
        <v>0.99480000000000002</v>
      </c>
      <c r="E95">
        <v>1</v>
      </c>
      <c r="F95" s="2">
        <v>1.273148148148148E-4</v>
      </c>
      <c r="G95" s="2">
        <v>1.3541666666666667E-3</v>
      </c>
      <c r="H95" s="2">
        <v>1.0879629629629629E-3</v>
      </c>
      <c r="I95" s="1">
        <v>0.84970000000000001</v>
      </c>
    </row>
    <row r="96" spans="1:9" x14ac:dyDescent="0.3">
      <c r="A96">
        <v>95</v>
      </c>
      <c r="B96">
        <v>206</v>
      </c>
      <c r="C96">
        <v>200</v>
      </c>
      <c r="D96" s="1">
        <v>0.97089999999999999</v>
      </c>
      <c r="E96">
        <v>6</v>
      </c>
      <c r="F96" s="2">
        <v>1.1574074074074075E-4</v>
      </c>
      <c r="G96" s="2">
        <v>1.4814814814814814E-3</v>
      </c>
      <c r="H96" s="2">
        <v>1.3888888888888889E-3</v>
      </c>
      <c r="I96" s="1">
        <v>0.86270000000000002</v>
      </c>
    </row>
    <row r="97" spans="1:9" x14ac:dyDescent="0.3">
      <c r="A97">
        <v>96</v>
      </c>
      <c r="B97">
        <v>53</v>
      </c>
      <c r="C97">
        <v>53</v>
      </c>
      <c r="D97" s="1">
        <v>1</v>
      </c>
      <c r="E97">
        <v>0</v>
      </c>
      <c r="F97" s="2">
        <v>2.0833333333333335E-4</v>
      </c>
      <c r="G97" s="2">
        <v>1.4814814814814814E-3</v>
      </c>
      <c r="H97" s="2">
        <v>1.5046296296296296E-3</v>
      </c>
      <c r="I97" s="1">
        <v>0.77359999999999995</v>
      </c>
    </row>
    <row r="98" spans="1:9" x14ac:dyDescent="0.3">
      <c r="A98">
        <v>97</v>
      </c>
      <c r="B98">
        <v>147</v>
      </c>
      <c r="C98">
        <v>145</v>
      </c>
      <c r="D98" s="1">
        <v>0.98640000000000005</v>
      </c>
      <c r="E98">
        <v>2</v>
      </c>
      <c r="F98" s="2">
        <v>1.0416666666666667E-4</v>
      </c>
      <c r="G98" s="2">
        <v>1.2731481481481483E-3</v>
      </c>
      <c r="H98" s="2">
        <v>9.7222222222222219E-4</v>
      </c>
      <c r="I98" s="1">
        <v>0.88360000000000005</v>
      </c>
    </row>
    <row r="99" spans="1:9" x14ac:dyDescent="0.3">
      <c r="A99">
        <v>98</v>
      </c>
      <c r="B99">
        <v>201</v>
      </c>
      <c r="C99">
        <v>197</v>
      </c>
      <c r="D99" s="1">
        <v>0.98009999999999997</v>
      </c>
      <c r="E99">
        <v>4</v>
      </c>
      <c r="F99" s="2">
        <v>1.0416666666666667E-4</v>
      </c>
      <c r="G99" s="2">
        <v>1.3773148148148147E-3</v>
      </c>
      <c r="H99" s="2">
        <v>1.6550925925925926E-3</v>
      </c>
      <c r="I99" s="1">
        <v>0.90949999999999998</v>
      </c>
    </row>
    <row r="100" spans="1:9" x14ac:dyDescent="0.3">
      <c r="A100">
        <v>99</v>
      </c>
      <c r="B100">
        <v>202</v>
      </c>
      <c r="C100">
        <v>198</v>
      </c>
      <c r="D100" s="1">
        <v>0.98019999999999996</v>
      </c>
      <c r="E100">
        <v>4</v>
      </c>
      <c r="F100" s="2">
        <v>1.1574074074074075E-4</v>
      </c>
      <c r="G100" s="2">
        <v>1.4930555555555556E-3</v>
      </c>
      <c r="H100" s="2">
        <v>8.2175925925925927E-4</v>
      </c>
      <c r="I100" s="1">
        <v>0.88500000000000001</v>
      </c>
    </row>
    <row r="101" spans="1:9" x14ac:dyDescent="0.3">
      <c r="A101">
        <v>100</v>
      </c>
      <c r="B101">
        <v>226</v>
      </c>
      <c r="C101">
        <v>219</v>
      </c>
      <c r="D101" s="1">
        <v>0.96899999999999997</v>
      </c>
      <c r="E101">
        <v>7</v>
      </c>
      <c r="F101" s="2">
        <v>1.1574074074074075E-4</v>
      </c>
      <c r="G101" s="2">
        <v>1.5277777777777779E-3</v>
      </c>
      <c r="H101" s="2">
        <v>1.9097222222222222E-3</v>
      </c>
      <c r="I101" s="1">
        <v>0.88</v>
      </c>
    </row>
    <row r="102" spans="1:9" x14ac:dyDescent="0.3">
      <c r="A102">
        <v>101</v>
      </c>
      <c r="B102">
        <v>167</v>
      </c>
      <c r="C102">
        <v>163</v>
      </c>
      <c r="D102" s="1">
        <v>0.97599999999999998</v>
      </c>
      <c r="E102">
        <v>4</v>
      </c>
      <c r="F102" s="2">
        <v>8.1018518518518516E-5</v>
      </c>
      <c r="G102" s="2">
        <v>1.4930555555555556E-3</v>
      </c>
      <c r="H102" s="2">
        <v>1.2731481481481483E-3</v>
      </c>
      <c r="I102" s="1">
        <v>0.92769999999999997</v>
      </c>
    </row>
    <row r="103" spans="1:9" x14ac:dyDescent="0.3">
      <c r="A103">
        <v>102</v>
      </c>
      <c r="B103">
        <v>164</v>
      </c>
      <c r="C103">
        <v>164</v>
      </c>
      <c r="D103" s="1">
        <v>1</v>
      </c>
      <c r="E103">
        <v>0</v>
      </c>
      <c r="F103" s="2">
        <v>1.273148148148148E-4</v>
      </c>
      <c r="G103" s="2">
        <v>1.5856481481481481E-3</v>
      </c>
      <c r="H103" s="2">
        <v>1.2152777777777778E-3</v>
      </c>
      <c r="I103" s="1">
        <v>0.89019999999999999</v>
      </c>
    </row>
    <row r="104" spans="1:9" x14ac:dyDescent="0.3">
      <c r="A104">
        <v>103</v>
      </c>
      <c r="B104">
        <v>42</v>
      </c>
      <c r="C104">
        <v>41</v>
      </c>
      <c r="D104" s="1">
        <v>0.97619999999999996</v>
      </c>
      <c r="E104">
        <v>1</v>
      </c>
      <c r="F104" s="2">
        <v>1.273148148148148E-4</v>
      </c>
      <c r="G104" s="2">
        <v>1.4930555555555556E-3</v>
      </c>
      <c r="H104" s="2">
        <v>9.0277777777777774E-4</v>
      </c>
      <c r="I104" s="1">
        <v>0.878</v>
      </c>
    </row>
    <row r="105" spans="1:9" x14ac:dyDescent="0.3">
      <c r="A105">
        <v>104</v>
      </c>
      <c r="B105">
        <v>79</v>
      </c>
      <c r="C105">
        <v>78</v>
      </c>
      <c r="D105" s="1">
        <v>0.98729999999999996</v>
      </c>
      <c r="E105">
        <v>1</v>
      </c>
      <c r="F105" s="2">
        <v>8.1018518518518516E-5</v>
      </c>
      <c r="G105" s="2">
        <v>1.6550925925925926E-3</v>
      </c>
      <c r="H105" s="2">
        <v>5.5555555555555556E-4</v>
      </c>
      <c r="I105" s="1">
        <v>0.94869999999999999</v>
      </c>
    </row>
    <row r="106" spans="1:9" x14ac:dyDescent="0.3">
      <c r="A106">
        <v>105</v>
      </c>
      <c r="B106">
        <v>165</v>
      </c>
      <c r="C106">
        <v>162</v>
      </c>
      <c r="D106" s="1">
        <v>0.98180000000000001</v>
      </c>
      <c r="E106">
        <v>3</v>
      </c>
      <c r="F106" s="2">
        <v>1.0416666666666667E-4</v>
      </c>
      <c r="G106" s="2">
        <v>1.4930555555555556E-3</v>
      </c>
      <c r="H106" s="2">
        <v>1.2731481481481483E-3</v>
      </c>
      <c r="I106" s="1">
        <v>0.89700000000000002</v>
      </c>
    </row>
    <row r="107" spans="1:9" x14ac:dyDescent="0.3">
      <c r="A107">
        <v>106</v>
      </c>
      <c r="B107">
        <v>180</v>
      </c>
      <c r="C107">
        <v>174</v>
      </c>
      <c r="D107" s="1">
        <v>0.9667</v>
      </c>
      <c r="E107">
        <v>6</v>
      </c>
      <c r="F107" s="2">
        <v>1.8518518518518518E-4</v>
      </c>
      <c r="G107" s="2">
        <v>1.5740740740740741E-3</v>
      </c>
      <c r="H107" s="2">
        <v>1.1921296296296296E-3</v>
      </c>
      <c r="I107" s="1">
        <v>0.77780000000000005</v>
      </c>
    </row>
    <row r="108" spans="1:9" x14ac:dyDescent="0.3">
      <c r="A108">
        <v>107</v>
      </c>
      <c r="B108">
        <v>179</v>
      </c>
      <c r="C108">
        <v>176</v>
      </c>
      <c r="D108" s="1">
        <v>0.98319999999999996</v>
      </c>
      <c r="E108">
        <v>3</v>
      </c>
      <c r="F108" s="2">
        <v>1.1574074074074075E-4</v>
      </c>
      <c r="G108" s="2">
        <v>1.6898148148148148E-3</v>
      </c>
      <c r="H108" s="2">
        <v>1.2731481481481483E-3</v>
      </c>
      <c r="I108" s="1">
        <v>0.87639999999999996</v>
      </c>
    </row>
    <row r="109" spans="1:9" x14ac:dyDescent="0.3">
      <c r="A109">
        <v>108</v>
      </c>
      <c r="B109">
        <v>217</v>
      </c>
      <c r="C109">
        <v>215</v>
      </c>
      <c r="D109" s="1">
        <v>0.99080000000000001</v>
      </c>
      <c r="E109">
        <v>2</v>
      </c>
      <c r="F109" s="2">
        <v>9.2592592592592588E-5</v>
      </c>
      <c r="G109" s="2">
        <v>1.4814814814814814E-3</v>
      </c>
      <c r="H109" s="2">
        <v>1.4699074074074074E-3</v>
      </c>
      <c r="I109" s="1">
        <v>0.91710000000000003</v>
      </c>
    </row>
    <row r="110" spans="1:9" x14ac:dyDescent="0.3">
      <c r="A110">
        <v>109</v>
      </c>
      <c r="B110">
        <v>171</v>
      </c>
      <c r="C110">
        <v>167</v>
      </c>
      <c r="D110" s="1">
        <v>0.97660000000000002</v>
      </c>
      <c r="E110">
        <v>4</v>
      </c>
      <c r="F110" s="2">
        <v>1.1574074074074075E-4</v>
      </c>
      <c r="G110" s="2">
        <v>1.5625000000000001E-3</v>
      </c>
      <c r="H110" s="2">
        <v>1.2731481481481483E-3</v>
      </c>
      <c r="I110" s="1">
        <v>0.86470000000000002</v>
      </c>
    </row>
    <row r="111" spans="1:9" x14ac:dyDescent="0.3">
      <c r="A111">
        <v>110</v>
      </c>
      <c r="B111">
        <v>37</v>
      </c>
      <c r="C111">
        <v>37</v>
      </c>
      <c r="D111" s="1">
        <v>1</v>
      </c>
      <c r="E111">
        <v>0</v>
      </c>
      <c r="F111" s="2">
        <v>1.0416666666666667E-4</v>
      </c>
      <c r="G111" s="2">
        <v>1.3541666666666667E-3</v>
      </c>
      <c r="H111" s="2">
        <v>9.4907407407407408E-4</v>
      </c>
      <c r="I111" s="1">
        <v>0.8649</v>
      </c>
    </row>
    <row r="112" spans="1:9" x14ac:dyDescent="0.3">
      <c r="A112">
        <v>111</v>
      </c>
      <c r="B112">
        <v>215</v>
      </c>
      <c r="C112">
        <v>206</v>
      </c>
      <c r="D112" s="1">
        <v>0.95809999999999995</v>
      </c>
      <c r="E112">
        <v>9</v>
      </c>
      <c r="F112" s="2">
        <v>2.0833333333333335E-4</v>
      </c>
      <c r="G112" s="2">
        <v>1.4930555555555556E-3</v>
      </c>
      <c r="H112" s="2">
        <v>1.9097222222222222E-3</v>
      </c>
      <c r="I112" s="1">
        <v>0.8095</v>
      </c>
    </row>
    <row r="113" spans="1:9" x14ac:dyDescent="0.3">
      <c r="A113">
        <v>112</v>
      </c>
      <c r="B113">
        <v>218</v>
      </c>
      <c r="C113">
        <v>212</v>
      </c>
      <c r="D113" s="1">
        <v>0.97250000000000003</v>
      </c>
      <c r="E113">
        <v>6</v>
      </c>
      <c r="F113" s="2">
        <v>1.8518518518518518E-4</v>
      </c>
      <c r="G113" s="2">
        <v>1.5856481481481481E-3</v>
      </c>
      <c r="H113" s="2">
        <v>1.4930555555555556E-3</v>
      </c>
      <c r="I113" s="1">
        <v>0.84260000000000002</v>
      </c>
    </row>
    <row r="114" spans="1:9" x14ac:dyDescent="0.3">
      <c r="A114">
        <v>113</v>
      </c>
      <c r="B114">
        <v>205</v>
      </c>
      <c r="C114">
        <v>202</v>
      </c>
      <c r="D114" s="1">
        <v>0.98540000000000005</v>
      </c>
      <c r="E114">
        <v>3</v>
      </c>
      <c r="F114" s="2">
        <v>1.273148148148148E-4</v>
      </c>
      <c r="G114" s="2">
        <v>1.6782407407407408E-3</v>
      </c>
      <c r="H114" s="2">
        <v>1.1226851851851851E-3</v>
      </c>
      <c r="I114" s="1">
        <v>0.90690000000000004</v>
      </c>
    </row>
    <row r="115" spans="1:9" x14ac:dyDescent="0.3">
      <c r="A115">
        <v>114</v>
      </c>
      <c r="B115">
        <v>195</v>
      </c>
      <c r="C115">
        <v>190</v>
      </c>
      <c r="D115" s="1">
        <v>0.97440000000000004</v>
      </c>
      <c r="E115">
        <v>5</v>
      </c>
      <c r="F115" s="2">
        <v>1.3888888888888889E-4</v>
      </c>
      <c r="G115" s="2">
        <v>1.6435185185185185E-3</v>
      </c>
      <c r="H115" s="2">
        <v>8.564814814814815E-4</v>
      </c>
      <c r="I115" s="1">
        <v>0.8901</v>
      </c>
    </row>
    <row r="116" spans="1:9" x14ac:dyDescent="0.3">
      <c r="A116">
        <v>115</v>
      </c>
      <c r="B116">
        <v>181</v>
      </c>
      <c r="C116">
        <v>176</v>
      </c>
      <c r="D116" s="1">
        <v>0.97240000000000004</v>
      </c>
      <c r="E116">
        <v>5</v>
      </c>
      <c r="F116" s="2">
        <v>1.5046296296296297E-4</v>
      </c>
      <c r="G116" s="2">
        <v>1.5393518518518519E-3</v>
      </c>
      <c r="H116" s="2">
        <v>8.7962962962962962E-4</v>
      </c>
      <c r="I116" s="1">
        <v>0.82220000000000004</v>
      </c>
    </row>
    <row r="117" spans="1:9" x14ac:dyDescent="0.3">
      <c r="A117">
        <v>116</v>
      </c>
      <c r="B117">
        <v>212</v>
      </c>
      <c r="C117">
        <v>206</v>
      </c>
      <c r="D117" s="1">
        <v>0.97170000000000001</v>
      </c>
      <c r="E117">
        <v>6</v>
      </c>
      <c r="F117" s="2">
        <v>1.273148148148148E-4</v>
      </c>
      <c r="G117" s="2">
        <v>1.6203703703703703E-3</v>
      </c>
      <c r="H117" s="2">
        <v>1.261574074074074E-3</v>
      </c>
      <c r="I117" s="1">
        <v>0.89419999999999999</v>
      </c>
    </row>
    <row r="118" spans="1:9" x14ac:dyDescent="0.3">
      <c r="A118">
        <v>117</v>
      </c>
      <c r="B118">
        <v>33</v>
      </c>
      <c r="C118">
        <v>32</v>
      </c>
      <c r="D118" s="1">
        <v>0.96970000000000001</v>
      </c>
      <c r="E118">
        <v>1</v>
      </c>
      <c r="F118" s="2">
        <v>9.2592592592592588E-5</v>
      </c>
      <c r="G118" s="2">
        <v>1.712962962962963E-3</v>
      </c>
      <c r="H118" s="2">
        <v>6.3657407407407413E-4</v>
      </c>
      <c r="I118" s="1">
        <v>0.90910000000000002</v>
      </c>
    </row>
    <row r="119" spans="1:9" x14ac:dyDescent="0.3">
      <c r="A119">
        <v>118</v>
      </c>
      <c r="B119">
        <v>298</v>
      </c>
      <c r="C119">
        <v>287</v>
      </c>
      <c r="D119" s="1">
        <v>0.96309999999999996</v>
      </c>
      <c r="E119">
        <v>11</v>
      </c>
      <c r="F119" s="2">
        <v>1.5046296296296297E-4</v>
      </c>
      <c r="G119" s="2">
        <v>1.0995370370370371E-3</v>
      </c>
      <c r="H119" s="2">
        <v>1.9791666666666668E-3</v>
      </c>
      <c r="I119" s="1">
        <v>0.83330000000000004</v>
      </c>
    </row>
    <row r="120" spans="1:9" x14ac:dyDescent="0.3">
      <c r="A120">
        <v>119</v>
      </c>
      <c r="B120">
        <v>158</v>
      </c>
      <c r="C120">
        <v>156</v>
      </c>
      <c r="D120" s="1">
        <v>0.98729999999999996</v>
      </c>
      <c r="E120">
        <v>2</v>
      </c>
      <c r="F120" s="2">
        <v>1.273148148148148E-4</v>
      </c>
      <c r="G120" s="2">
        <v>1.6550925925925926E-3</v>
      </c>
      <c r="H120" s="2">
        <v>1.0648148148148149E-3</v>
      </c>
      <c r="I120" s="1">
        <v>0.89810000000000001</v>
      </c>
    </row>
    <row r="121" spans="1:9" x14ac:dyDescent="0.3">
      <c r="A121">
        <v>120</v>
      </c>
      <c r="B121">
        <v>156</v>
      </c>
      <c r="C121">
        <v>154</v>
      </c>
      <c r="D121" s="1">
        <v>0.98719999999999997</v>
      </c>
      <c r="E121">
        <v>2</v>
      </c>
      <c r="F121" s="2">
        <v>1.3888888888888889E-4</v>
      </c>
      <c r="G121" s="2">
        <v>1.5393518518518519E-3</v>
      </c>
      <c r="H121" s="2">
        <v>7.0601851851851847E-4</v>
      </c>
      <c r="I121" s="1">
        <v>0.85809999999999997</v>
      </c>
    </row>
    <row r="122" spans="1:9" x14ac:dyDescent="0.3">
      <c r="A122">
        <v>121</v>
      </c>
      <c r="B122">
        <v>163</v>
      </c>
      <c r="C122">
        <v>163</v>
      </c>
      <c r="D122" s="1">
        <v>1</v>
      </c>
      <c r="E122">
        <v>0</v>
      </c>
      <c r="F122" s="2">
        <v>1.1574074074074075E-4</v>
      </c>
      <c r="G122" s="2">
        <v>1.4120370370370369E-3</v>
      </c>
      <c r="H122" s="2">
        <v>1.9212962962962964E-3</v>
      </c>
      <c r="I122" s="1">
        <v>0.9264</v>
      </c>
    </row>
    <row r="123" spans="1:9" x14ac:dyDescent="0.3">
      <c r="A123">
        <v>122</v>
      </c>
      <c r="B123">
        <v>98</v>
      </c>
      <c r="C123">
        <v>98</v>
      </c>
      <c r="D123" s="1">
        <v>1</v>
      </c>
      <c r="E123">
        <v>0</v>
      </c>
      <c r="F123" s="2">
        <v>8.1018518518518516E-5</v>
      </c>
      <c r="G123" s="2">
        <v>1.5046296296296296E-3</v>
      </c>
      <c r="H123" s="2">
        <v>8.1018518518518516E-4</v>
      </c>
      <c r="I123" s="1">
        <v>0.93879999999999997</v>
      </c>
    </row>
    <row r="124" spans="1:9" x14ac:dyDescent="0.3">
      <c r="A124">
        <v>123</v>
      </c>
      <c r="B124">
        <v>255</v>
      </c>
      <c r="C124">
        <v>249</v>
      </c>
      <c r="D124" s="1">
        <v>0.97650000000000003</v>
      </c>
      <c r="E124">
        <v>6</v>
      </c>
      <c r="F124" s="2">
        <v>1.7361111111111112E-4</v>
      </c>
      <c r="G124" s="2">
        <v>1.6087962962962963E-3</v>
      </c>
      <c r="H124" s="2">
        <v>3.8310185185185183E-3</v>
      </c>
      <c r="I124" s="1">
        <v>0.82679999999999998</v>
      </c>
    </row>
    <row r="125" spans="1:9" x14ac:dyDescent="0.3">
      <c r="A125">
        <v>124</v>
      </c>
      <c r="B125">
        <v>50</v>
      </c>
      <c r="C125">
        <v>49</v>
      </c>
      <c r="D125" s="1">
        <v>0.98</v>
      </c>
      <c r="E125">
        <v>1</v>
      </c>
      <c r="F125" s="2">
        <v>9.2592592592592588E-5</v>
      </c>
      <c r="G125" s="2">
        <v>1.4120370370370369E-3</v>
      </c>
      <c r="H125" s="2">
        <v>6.5972222222222224E-4</v>
      </c>
      <c r="I125" s="1">
        <v>0.92</v>
      </c>
    </row>
    <row r="126" spans="1:9" x14ac:dyDescent="0.3">
      <c r="A126">
        <v>125</v>
      </c>
      <c r="B126">
        <v>290</v>
      </c>
      <c r="C126">
        <v>289</v>
      </c>
      <c r="D126" s="1">
        <v>0.99660000000000004</v>
      </c>
      <c r="E126">
        <v>1</v>
      </c>
      <c r="F126" s="2">
        <v>1.3888888888888889E-4</v>
      </c>
      <c r="G126" s="2">
        <v>1.4004629629629629E-3</v>
      </c>
      <c r="H126" s="2">
        <v>8.1018518518518516E-4</v>
      </c>
      <c r="I126" s="1">
        <v>0.89270000000000005</v>
      </c>
    </row>
    <row r="127" spans="1:9" x14ac:dyDescent="0.3">
      <c r="A127">
        <v>126</v>
      </c>
      <c r="B127">
        <v>296</v>
      </c>
      <c r="C127">
        <v>281</v>
      </c>
      <c r="D127" s="1">
        <v>0.94930000000000003</v>
      </c>
      <c r="E127">
        <v>15</v>
      </c>
      <c r="F127" s="2">
        <v>2.5462962962962961E-4</v>
      </c>
      <c r="G127" s="2">
        <v>1.4814814814814814E-3</v>
      </c>
      <c r="H127" s="2">
        <v>3.1250000000000002E-3</v>
      </c>
      <c r="I127" s="1">
        <v>0.73540000000000005</v>
      </c>
    </row>
    <row r="128" spans="1:9" x14ac:dyDescent="0.3">
      <c r="A128">
        <v>127</v>
      </c>
      <c r="B128">
        <v>260</v>
      </c>
      <c r="C128">
        <v>257</v>
      </c>
      <c r="D128" s="1">
        <v>0.98850000000000005</v>
      </c>
      <c r="E128">
        <v>3</v>
      </c>
      <c r="F128" s="2">
        <v>1.9675925925925926E-4</v>
      </c>
      <c r="G128" s="2">
        <v>1.5393518518518519E-3</v>
      </c>
      <c r="H128" s="2">
        <v>9.2592592592592596E-4</v>
      </c>
      <c r="I128" s="1">
        <v>0.87160000000000004</v>
      </c>
    </row>
    <row r="129" spans="1:9" x14ac:dyDescent="0.3">
      <c r="A129">
        <v>128</v>
      </c>
      <c r="B129">
        <v>201</v>
      </c>
      <c r="C129">
        <v>193</v>
      </c>
      <c r="D129" s="1">
        <v>0.96020000000000005</v>
      </c>
      <c r="E129">
        <v>8</v>
      </c>
      <c r="F129" s="2">
        <v>2.199074074074074E-4</v>
      </c>
      <c r="G129" s="2">
        <v>1.6550925925925926E-3</v>
      </c>
      <c r="H129" s="2">
        <v>1.4120370370370369E-3</v>
      </c>
      <c r="I129" s="1">
        <v>0.76770000000000005</v>
      </c>
    </row>
    <row r="130" spans="1:9" x14ac:dyDescent="0.3">
      <c r="A130">
        <v>129</v>
      </c>
      <c r="B130">
        <v>132</v>
      </c>
      <c r="C130">
        <v>131</v>
      </c>
      <c r="D130" s="1">
        <v>0.99239999999999995</v>
      </c>
      <c r="E130">
        <v>1</v>
      </c>
      <c r="F130" s="2">
        <v>1.9675925925925926E-4</v>
      </c>
      <c r="G130" s="2">
        <v>1.5393518518518519E-3</v>
      </c>
      <c r="H130" s="2">
        <v>1.0416666666666667E-3</v>
      </c>
      <c r="I130" s="1">
        <v>0.76519999999999999</v>
      </c>
    </row>
    <row r="131" spans="1:9" x14ac:dyDescent="0.3">
      <c r="A131">
        <v>130</v>
      </c>
      <c r="B131">
        <v>167</v>
      </c>
      <c r="C131">
        <v>165</v>
      </c>
      <c r="D131" s="1">
        <v>0.98799999999999999</v>
      </c>
      <c r="E131">
        <v>2</v>
      </c>
      <c r="F131" s="2">
        <v>1.0416666666666667E-4</v>
      </c>
      <c r="G131" s="2">
        <v>1.4583333333333334E-3</v>
      </c>
      <c r="H131" s="2">
        <v>6.5972222222222224E-4</v>
      </c>
      <c r="I131" s="1">
        <v>0.92120000000000002</v>
      </c>
    </row>
    <row r="132" spans="1:9" x14ac:dyDescent="0.3">
      <c r="A132">
        <v>131</v>
      </c>
      <c r="B132">
        <v>85</v>
      </c>
      <c r="C132">
        <v>79</v>
      </c>
      <c r="D132" s="1">
        <v>0.9294</v>
      </c>
      <c r="E132">
        <v>6</v>
      </c>
      <c r="F132" s="2">
        <v>2.0833333333333335E-4</v>
      </c>
      <c r="G132" s="2">
        <v>1.6782407407407408E-3</v>
      </c>
      <c r="H132" s="2">
        <v>1.3078703703703703E-3</v>
      </c>
      <c r="I132" s="1">
        <v>0.77380000000000004</v>
      </c>
    </row>
    <row r="133" spans="1:9" x14ac:dyDescent="0.3">
      <c r="A133">
        <v>132</v>
      </c>
      <c r="B133">
        <v>244</v>
      </c>
      <c r="C133">
        <v>236</v>
      </c>
      <c r="D133" s="1">
        <v>0.96719999999999995</v>
      </c>
      <c r="E133">
        <v>8</v>
      </c>
      <c r="F133" s="2">
        <v>2.4305555555555555E-4</v>
      </c>
      <c r="G133" s="2">
        <v>1.724537037037037E-3</v>
      </c>
      <c r="H133" s="2">
        <v>1.3425925925925925E-3</v>
      </c>
      <c r="I133" s="1">
        <v>0.75619999999999998</v>
      </c>
    </row>
    <row r="134" spans="1:9" x14ac:dyDescent="0.3">
      <c r="A134">
        <v>133</v>
      </c>
      <c r="B134">
        <v>186</v>
      </c>
      <c r="C134">
        <v>182</v>
      </c>
      <c r="D134" s="1">
        <v>0.97850000000000004</v>
      </c>
      <c r="E134">
        <v>4</v>
      </c>
      <c r="F134" s="2">
        <v>1.6203703703703703E-4</v>
      </c>
      <c r="G134" s="2">
        <v>1.5393518518518519E-3</v>
      </c>
      <c r="H134" s="2">
        <v>1.1342592592592593E-3</v>
      </c>
      <c r="I134" s="1">
        <v>0.7903</v>
      </c>
    </row>
    <row r="135" spans="1:9" x14ac:dyDescent="0.3">
      <c r="A135">
        <v>134</v>
      </c>
      <c r="B135">
        <v>278</v>
      </c>
      <c r="C135">
        <v>264</v>
      </c>
      <c r="D135" s="1">
        <v>0.9496</v>
      </c>
      <c r="E135">
        <v>14</v>
      </c>
      <c r="F135" s="2">
        <v>2.199074074074074E-4</v>
      </c>
      <c r="G135" s="2">
        <v>1.6203703703703703E-3</v>
      </c>
      <c r="H135" s="2">
        <v>1.5046296296296296E-3</v>
      </c>
      <c r="I135" s="1">
        <v>0.76839999999999997</v>
      </c>
    </row>
    <row r="136" spans="1:9" x14ac:dyDescent="0.3">
      <c r="A136">
        <v>135</v>
      </c>
      <c r="B136">
        <v>272</v>
      </c>
      <c r="C136">
        <v>268</v>
      </c>
      <c r="D136" s="1">
        <v>0.98529999999999995</v>
      </c>
      <c r="E136">
        <v>4</v>
      </c>
      <c r="F136" s="2">
        <v>1.7361111111111112E-4</v>
      </c>
      <c r="G136" s="2">
        <v>1.736111111111111E-3</v>
      </c>
      <c r="H136" s="2">
        <v>1.2152777777777778E-3</v>
      </c>
      <c r="I136" s="1">
        <v>0.8</v>
      </c>
    </row>
    <row r="137" spans="1:9" x14ac:dyDescent="0.3">
      <c r="A137">
        <v>136</v>
      </c>
      <c r="B137">
        <v>218</v>
      </c>
      <c r="C137">
        <v>206</v>
      </c>
      <c r="D137" s="1">
        <v>0.94499999999999995</v>
      </c>
      <c r="E137">
        <v>12</v>
      </c>
      <c r="F137" s="2">
        <v>2.8935185185185184E-4</v>
      </c>
      <c r="G137" s="2">
        <v>1.6319444444444445E-3</v>
      </c>
      <c r="H137" s="2">
        <v>2.5578703703703705E-3</v>
      </c>
      <c r="I137" s="1">
        <v>0.67279999999999995</v>
      </c>
    </row>
    <row r="138" spans="1:9" x14ac:dyDescent="0.3">
      <c r="A138">
        <v>137</v>
      </c>
      <c r="B138">
        <v>152</v>
      </c>
      <c r="C138">
        <v>148</v>
      </c>
      <c r="D138" s="1">
        <v>0.97370000000000001</v>
      </c>
      <c r="E138">
        <v>4</v>
      </c>
      <c r="F138" s="2">
        <v>1.6203703703703703E-4</v>
      </c>
      <c r="G138" s="2">
        <v>1.5972222222222223E-3</v>
      </c>
      <c r="H138" s="2">
        <v>9.837962962962962E-4</v>
      </c>
      <c r="I138" s="1">
        <v>0.83330000000000004</v>
      </c>
    </row>
    <row r="139" spans="1:9" x14ac:dyDescent="0.3">
      <c r="A139">
        <v>138</v>
      </c>
      <c r="B139">
        <v>48</v>
      </c>
      <c r="C139">
        <v>43</v>
      </c>
      <c r="D139" s="1">
        <v>0.89580000000000004</v>
      </c>
      <c r="E139">
        <v>5</v>
      </c>
      <c r="F139" s="2">
        <v>2.5462962962962961E-4</v>
      </c>
      <c r="G139" s="2">
        <v>1.4004629629629629E-3</v>
      </c>
      <c r="H139" s="2">
        <v>9.3749999999999997E-4</v>
      </c>
      <c r="I139" s="1">
        <v>0.69569999999999999</v>
      </c>
    </row>
    <row r="140" spans="1:9" x14ac:dyDescent="0.3">
      <c r="A140">
        <v>139</v>
      </c>
      <c r="B140">
        <v>186</v>
      </c>
      <c r="C140">
        <v>181</v>
      </c>
      <c r="D140" s="1">
        <v>0.97309999999999997</v>
      </c>
      <c r="E140">
        <v>5</v>
      </c>
      <c r="F140" s="2">
        <v>1.6203703703703703E-4</v>
      </c>
      <c r="G140" s="2">
        <v>1.6203703703703703E-3</v>
      </c>
      <c r="H140" s="2">
        <v>1.261574074074074E-3</v>
      </c>
      <c r="I140" s="1">
        <v>0.84950000000000003</v>
      </c>
    </row>
    <row r="141" spans="1:9" x14ac:dyDescent="0.3">
      <c r="A141">
        <v>140</v>
      </c>
      <c r="B141">
        <v>182</v>
      </c>
      <c r="C141">
        <v>180</v>
      </c>
      <c r="D141" s="1">
        <v>0.98899999999999999</v>
      </c>
      <c r="E141">
        <v>2</v>
      </c>
      <c r="F141" s="2">
        <v>9.2592592592592588E-5</v>
      </c>
      <c r="G141" s="2">
        <v>1.5046296296296296E-3</v>
      </c>
      <c r="H141" s="2">
        <v>6.7129629629629625E-4</v>
      </c>
      <c r="I141" s="1">
        <v>0.93369999999999997</v>
      </c>
    </row>
    <row r="142" spans="1:9" x14ac:dyDescent="0.3">
      <c r="A142">
        <v>141</v>
      </c>
      <c r="B142">
        <v>192</v>
      </c>
      <c r="C142">
        <v>188</v>
      </c>
      <c r="D142" s="1">
        <v>0.97919999999999996</v>
      </c>
      <c r="E142">
        <v>4</v>
      </c>
      <c r="F142" s="2">
        <v>2.3148148148148149E-4</v>
      </c>
      <c r="G142" s="2">
        <v>1.3657407407407407E-3</v>
      </c>
      <c r="H142" s="2">
        <v>1.3425925925925925E-3</v>
      </c>
      <c r="I142" s="1">
        <v>0.76190000000000002</v>
      </c>
    </row>
    <row r="143" spans="1:9" x14ac:dyDescent="0.3">
      <c r="A143">
        <v>142</v>
      </c>
      <c r="B143">
        <v>155</v>
      </c>
      <c r="C143">
        <v>148</v>
      </c>
      <c r="D143" s="1">
        <v>0.95479999999999998</v>
      </c>
      <c r="E143">
        <v>7</v>
      </c>
      <c r="F143" s="2">
        <v>1.6203703703703703E-4</v>
      </c>
      <c r="G143" s="2">
        <v>1.6666666666666668E-3</v>
      </c>
      <c r="H143" s="2">
        <v>1.5972222222222223E-3</v>
      </c>
      <c r="I143" s="1">
        <v>0.85329999999999995</v>
      </c>
    </row>
    <row r="144" spans="1:9" x14ac:dyDescent="0.3">
      <c r="A144">
        <v>143</v>
      </c>
      <c r="B144">
        <v>144</v>
      </c>
      <c r="C144">
        <v>142</v>
      </c>
      <c r="D144" s="1">
        <v>0.98609999999999998</v>
      </c>
      <c r="E144">
        <v>2</v>
      </c>
      <c r="F144" s="2">
        <v>1.273148148148148E-4</v>
      </c>
      <c r="G144" s="2">
        <v>1.6087962962962963E-3</v>
      </c>
      <c r="H144" s="2">
        <v>7.5231481481481482E-4</v>
      </c>
      <c r="I144" s="1">
        <v>0.90210000000000001</v>
      </c>
    </row>
    <row r="145" spans="1:9" x14ac:dyDescent="0.3">
      <c r="A145">
        <v>144</v>
      </c>
      <c r="B145">
        <v>164</v>
      </c>
      <c r="C145">
        <v>162</v>
      </c>
      <c r="D145" s="1">
        <v>0.98780000000000001</v>
      </c>
      <c r="E145">
        <v>2</v>
      </c>
      <c r="F145" s="2">
        <v>1.3888888888888889E-4</v>
      </c>
      <c r="G145" s="2">
        <v>1.7939814814814815E-3</v>
      </c>
      <c r="H145" s="2">
        <v>1.2731481481481483E-3</v>
      </c>
      <c r="I145" s="1">
        <v>0.85370000000000001</v>
      </c>
    </row>
    <row r="146" spans="1:9" x14ac:dyDescent="0.3">
      <c r="A146">
        <v>145</v>
      </c>
      <c r="B146">
        <v>27</v>
      </c>
      <c r="C146">
        <v>26</v>
      </c>
      <c r="D146" s="1">
        <v>0.96299999999999997</v>
      </c>
      <c r="E146">
        <v>1</v>
      </c>
      <c r="F146" s="2">
        <v>1.273148148148148E-4</v>
      </c>
      <c r="G146" s="2">
        <v>1.4351851851851852E-3</v>
      </c>
      <c r="H146" s="2">
        <v>8.9120370370370373E-4</v>
      </c>
      <c r="I146" s="1">
        <v>0.81479999999999997</v>
      </c>
    </row>
    <row r="147" spans="1:9" x14ac:dyDescent="0.3">
      <c r="A147">
        <v>146</v>
      </c>
      <c r="B147">
        <v>177</v>
      </c>
      <c r="C147">
        <v>175</v>
      </c>
      <c r="D147" s="1">
        <v>0.98870000000000002</v>
      </c>
      <c r="E147">
        <v>2</v>
      </c>
      <c r="F147" s="2">
        <v>1.273148148148148E-4</v>
      </c>
      <c r="G147" s="2">
        <v>1.6087962962962963E-3</v>
      </c>
      <c r="H147" s="2">
        <v>1.0995370370370371E-3</v>
      </c>
      <c r="I147" s="1">
        <v>0.90859999999999996</v>
      </c>
    </row>
    <row r="148" spans="1:9" x14ac:dyDescent="0.3">
      <c r="A148">
        <v>147</v>
      </c>
      <c r="B148">
        <v>134</v>
      </c>
      <c r="C148">
        <v>131</v>
      </c>
      <c r="D148" s="1">
        <v>0.97760000000000002</v>
      </c>
      <c r="E148">
        <v>3</v>
      </c>
      <c r="F148" s="2">
        <v>1.6203703703703703E-4</v>
      </c>
      <c r="G148" s="2">
        <v>1.6550925925925926E-3</v>
      </c>
      <c r="H148" s="2">
        <v>1.1458333333333333E-3</v>
      </c>
      <c r="I148" s="1">
        <v>0.81340000000000001</v>
      </c>
    </row>
    <row r="149" spans="1:9" x14ac:dyDescent="0.3">
      <c r="A149">
        <v>148</v>
      </c>
      <c r="B149">
        <v>125</v>
      </c>
      <c r="C149">
        <v>120</v>
      </c>
      <c r="D149" s="1">
        <v>0.96</v>
      </c>
      <c r="E149">
        <v>5</v>
      </c>
      <c r="F149" s="2">
        <v>1.6203703703703703E-4</v>
      </c>
      <c r="G149" s="2">
        <v>1.6203703703703703E-3</v>
      </c>
      <c r="H149" s="2">
        <v>1.9907407407407408E-3</v>
      </c>
      <c r="I149" s="1">
        <v>0.84550000000000003</v>
      </c>
    </row>
    <row r="150" spans="1:9" x14ac:dyDescent="0.3">
      <c r="A150">
        <v>149</v>
      </c>
      <c r="B150">
        <v>167</v>
      </c>
      <c r="C150">
        <v>163</v>
      </c>
      <c r="D150" s="1">
        <v>0.97599999999999998</v>
      </c>
      <c r="E150">
        <v>4</v>
      </c>
      <c r="F150" s="2">
        <v>1.8518518518518518E-4</v>
      </c>
      <c r="G150" s="2">
        <v>1.6666666666666668E-3</v>
      </c>
      <c r="H150" s="2">
        <v>8.3333333333333339E-4</v>
      </c>
      <c r="I150" s="1">
        <v>0.81210000000000004</v>
      </c>
    </row>
    <row r="151" spans="1:9" x14ac:dyDescent="0.3">
      <c r="A151">
        <v>150</v>
      </c>
      <c r="B151">
        <v>169</v>
      </c>
      <c r="C151">
        <v>167</v>
      </c>
      <c r="D151" s="1">
        <v>0.98819999999999997</v>
      </c>
      <c r="E151">
        <v>2</v>
      </c>
      <c r="F151" s="2">
        <v>1.0416666666666667E-4</v>
      </c>
      <c r="G151" s="2">
        <v>1.5509259259259259E-3</v>
      </c>
      <c r="H151" s="2">
        <v>1.2037037037037038E-3</v>
      </c>
      <c r="I151" s="1">
        <v>0.89939999999999998</v>
      </c>
    </row>
    <row r="152" spans="1:9" x14ac:dyDescent="0.3">
      <c r="A152">
        <v>151</v>
      </c>
      <c r="B152">
        <v>162</v>
      </c>
      <c r="C152">
        <v>160</v>
      </c>
      <c r="D152" s="1">
        <v>0.98770000000000002</v>
      </c>
      <c r="E152">
        <v>2</v>
      </c>
      <c r="F152" s="2">
        <v>1.8518518518518518E-4</v>
      </c>
      <c r="G152" s="2">
        <v>1.5625000000000001E-3</v>
      </c>
      <c r="H152" s="2">
        <v>1.0532407407407407E-3</v>
      </c>
      <c r="I152" s="1">
        <v>0.83130000000000004</v>
      </c>
    </row>
    <row r="153" spans="1:9" x14ac:dyDescent="0.3">
      <c r="A153">
        <v>152</v>
      </c>
      <c r="B153">
        <v>25</v>
      </c>
      <c r="C153">
        <v>25</v>
      </c>
      <c r="D153" s="1">
        <v>1</v>
      </c>
      <c r="E153">
        <v>0</v>
      </c>
      <c r="F153" s="2">
        <v>1.8518518518518518E-4</v>
      </c>
      <c r="G153" s="2">
        <v>1.7939814814814815E-3</v>
      </c>
      <c r="H153" s="2">
        <v>6.7129629629629625E-4</v>
      </c>
      <c r="I153" s="1">
        <v>0.76</v>
      </c>
    </row>
    <row r="154" spans="1:9" x14ac:dyDescent="0.3">
      <c r="A154">
        <v>153</v>
      </c>
      <c r="B154">
        <v>157</v>
      </c>
      <c r="C154">
        <v>146</v>
      </c>
      <c r="D154" s="1">
        <v>0.92989999999999995</v>
      </c>
      <c r="E154">
        <v>11</v>
      </c>
      <c r="F154" s="2">
        <v>1.9675925925925926E-4</v>
      </c>
      <c r="G154" s="2">
        <v>1.5856481481481481E-3</v>
      </c>
      <c r="H154" s="2">
        <v>1.2847222222222223E-3</v>
      </c>
      <c r="I154" s="1">
        <v>0.7974</v>
      </c>
    </row>
    <row r="155" spans="1:9" x14ac:dyDescent="0.3">
      <c r="A155">
        <v>154</v>
      </c>
      <c r="B155">
        <v>166</v>
      </c>
      <c r="C155">
        <v>154</v>
      </c>
      <c r="D155" s="1">
        <v>0.92769999999999997</v>
      </c>
      <c r="E155">
        <v>12</v>
      </c>
      <c r="F155" s="2">
        <v>2.8935185185185184E-4</v>
      </c>
      <c r="G155" s="2">
        <v>1.5972222222222223E-3</v>
      </c>
      <c r="H155" s="2">
        <v>2.5347222222222221E-3</v>
      </c>
      <c r="I155" s="1">
        <v>0.66259999999999997</v>
      </c>
    </row>
    <row r="156" spans="1:9" x14ac:dyDescent="0.3">
      <c r="A156">
        <v>155</v>
      </c>
      <c r="B156">
        <v>58</v>
      </c>
      <c r="C156">
        <v>55</v>
      </c>
      <c r="D156" s="1">
        <v>0.94830000000000003</v>
      </c>
      <c r="E156">
        <v>3</v>
      </c>
      <c r="F156" s="2">
        <v>1.8518518518518518E-4</v>
      </c>
      <c r="G156" s="2">
        <v>1.5162037037037036E-3</v>
      </c>
      <c r="H156" s="2">
        <v>1.9097222222222222E-3</v>
      </c>
      <c r="I156" s="1">
        <v>0.74139999999999995</v>
      </c>
    </row>
    <row r="157" spans="1:9" x14ac:dyDescent="0.3">
      <c r="A157">
        <v>156</v>
      </c>
      <c r="B157">
        <v>75</v>
      </c>
      <c r="C157">
        <v>74</v>
      </c>
      <c r="D157" s="1">
        <v>0.98670000000000002</v>
      </c>
      <c r="E157">
        <v>1</v>
      </c>
      <c r="F157" s="2">
        <v>1.7361111111111112E-4</v>
      </c>
      <c r="G157" s="2">
        <v>1.5393518518518519E-3</v>
      </c>
      <c r="H157" s="2">
        <v>2.2916666666666667E-3</v>
      </c>
      <c r="I157" s="1">
        <v>0.84</v>
      </c>
    </row>
    <row r="158" spans="1:9" x14ac:dyDescent="0.3">
      <c r="A158">
        <v>157</v>
      </c>
      <c r="B158">
        <v>28</v>
      </c>
      <c r="C158">
        <v>28</v>
      </c>
      <c r="D158" s="1">
        <v>1</v>
      </c>
      <c r="E158">
        <v>0</v>
      </c>
      <c r="F158" s="2">
        <v>8.1018518518518516E-5</v>
      </c>
      <c r="G158" s="2">
        <v>1.712962962962963E-3</v>
      </c>
      <c r="H158" s="2">
        <v>5.9027777777777778E-4</v>
      </c>
      <c r="I158" s="1">
        <v>0.96430000000000005</v>
      </c>
    </row>
    <row r="159" spans="1:9" x14ac:dyDescent="0.3">
      <c r="A159">
        <v>158</v>
      </c>
      <c r="B159">
        <v>108</v>
      </c>
      <c r="C159">
        <v>107</v>
      </c>
      <c r="D159" s="1">
        <v>0.99070000000000003</v>
      </c>
      <c r="E159">
        <v>1</v>
      </c>
      <c r="F159" s="2">
        <v>1.0416666666666667E-4</v>
      </c>
      <c r="G159" s="2">
        <v>1.5162037037037036E-3</v>
      </c>
      <c r="H159" s="2">
        <v>6.8287037037037036E-4</v>
      </c>
      <c r="I159" s="1">
        <v>0.94440000000000002</v>
      </c>
    </row>
    <row r="160" spans="1:9" x14ac:dyDescent="0.3">
      <c r="A160">
        <v>159</v>
      </c>
      <c r="B160">
        <v>21</v>
      </c>
      <c r="C160">
        <v>21</v>
      </c>
      <c r="D160" s="1">
        <v>1</v>
      </c>
      <c r="E160">
        <v>0</v>
      </c>
      <c r="F160" s="2">
        <v>8.1018518518518516E-5</v>
      </c>
      <c r="G160" s="2">
        <v>2.0601851851851853E-3</v>
      </c>
      <c r="H160" s="2">
        <v>6.7129629629629625E-4</v>
      </c>
      <c r="I160" s="1">
        <v>0.95240000000000002</v>
      </c>
    </row>
    <row r="161" spans="1:9" x14ac:dyDescent="0.3">
      <c r="A161">
        <v>160</v>
      </c>
      <c r="B161">
        <v>189</v>
      </c>
      <c r="C161">
        <v>182</v>
      </c>
      <c r="D161" s="1">
        <v>0.96299999999999997</v>
      </c>
      <c r="E161">
        <v>7</v>
      </c>
      <c r="F161" s="2">
        <v>2.4305555555555555E-4</v>
      </c>
      <c r="G161" s="2">
        <v>1.5046296296296296E-3</v>
      </c>
      <c r="H161" s="2">
        <v>3.3101851851851851E-3</v>
      </c>
      <c r="I161" s="1">
        <v>0.76339999999999997</v>
      </c>
    </row>
    <row r="162" spans="1:9" x14ac:dyDescent="0.3">
      <c r="A162">
        <v>161</v>
      </c>
      <c r="B162">
        <v>161</v>
      </c>
      <c r="C162">
        <v>155</v>
      </c>
      <c r="D162" s="1">
        <v>0.9627</v>
      </c>
      <c r="E162">
        <v>6</v>
      </c>
      <c r="F162" s="2">
        <v>2.199074074074074E-4</v>
      </c>
      <c r="G162" s="2">
        <v>1.7013888888888888E-3</v>
      </c>
      <c r="H162" s="2">
        <v>1.2731481481481483E-3</v>
      </c>
      <c r="I162" s="1">
        <v>0.71879999999999999</v>
      </c>
    </row>
    <row r="163" spans="1:9" x14ac:dyDescent="0.3">
      <c r="A163">
        <v>162</v>
      </c>
      <c r="B163">
        <v>155</v>
      </c>
      <c r="C163">
        <v>151</v>
      </c>
      <c r="D163" s="1">
        <v>0.97419999999999995</v>
      </c>
      <c r="E163">
        <v>4</v>
      </c>
      <c r="F163" s="2">
        <v>1.9675925925925926E-4</v>
      </c>
      <c r="G163" s="2">
        <v>1.6203703703703703E-3</v>
      </c>
      <c r="H163" s="2">
        <v>1.261574074074074E-3</v>
      </c>
      <c r="I163" s="1">
        <v>0.80520000000000003</v>
      </c>
    </row>
    <row r="164" spans="1:9" x14ac:dyDescent="0.3">
      <c r="A164">
        <v>163</v>
      </c>
      <c r="B164">
        <v>161</v>
      </c>
      <c r="C164">
        <v>150</v>
      </c>
      <c r="D164" s="1">
        <v>0.93169999999999997</v>
      </c>
      <c r="E164">
        <v>11</v>
      </c>
      <c r="F164" s="2">
        <v>1.9675925925925926E-4</v>
      </c>
      <c r="G164" s="2">
        <v>1.6435185185185185E-3</v>
      </c>
      <c r="H164" s="2">
        <v>1.9097222222222222E-3</v>
      </c>
      <c r="I164" s="1">
        <v>0.75319999999999998</v>
      </c>
    </row>
    <row r="165" spans="1:9" x14ac:dyDescent="0.3">
      <c r="A165">
        <v>164</v>
      </c>
      <c r="B165">
        <v>132</v>
      </c>
      <c r="C165">
        <v>129</v>
      </c>
      <c r="D165" s="1">
        <v>0.97729999999999995</v>
      </c>
      <c r="E165">
        <v>3</v>
      </c>
      <c r="F165" s="2">
        <v>3.1250000000000001E-4</v>
      </c>
      <c r="G165" s="2">
        <v>1.6435185185185185E-3</v>
      </c>
      <c r="H165" s="2">
        <v>1.7824074074074075E-3</v>
      </c>
      <c r="I165" s="1">
        <v>0.65149999999999997</v>
      </c>
    </row>
    <row r="166" spans="1:9" x14ac:dyDescent="0.3">
      <c r="A166">
        <v>165</v>
      </c>
      <c r="B166">
        <v>122</v>
      </c>
      <c r="C166">
        <v>119</v>
      </c>
      <c r="D166" s="1">
        <v>0.97540000000000004</v>
      </c>
      <c r="E166">
        <v>3</v>
      </c>
      <c r="F166" s="2">
        <v>1.8518518518518518E-4</v>
      </c>
      <c r="G166" s="2">
        <v>1.6666666666666668E-3</v>
      </c>
      <c r="H166" s="2">
        <v>1.2731481481481483E-3</v>
      </c>
      <c r="I166" s="1">
        <v>0.8</v>
      </c>
    </row>
    <row r="167" spans="1:9" x14ac:dyDescent="0.3">
      <c r="A167">
        <v>166</v>
      </c>
      <c r="B167">
        <v>17</v>
      </c>
      <c r="C167">
        <v>17</v>
      </c>
      <c r="D167" s="1">
        <v>1</v>
      </c>
      <c r="E167">
        <v>0</v>
      </c>
      <c r="F167" s="2">
        <v>2.4305555555555555E-4</v>
      </c>
      <c r="G167" s="2">
        <v>1.8518518518518519E-3</v>
      </c>
      <c r="H167" s="2">
        <v>6.7129629629629625E-4</v>
      </c>
      <c r="I167" s="1">
        <v>0.76470000000000005</v>
      </c>
    </row>
    <row r="168" spans="1:9" x14ac:dyDescent="0.3">
      <c r="A168">
        <v>167</v>
      </c>
      <c r="B168">
        <v>45</v>
      </c>
      <c r="C168">
        <v>45</v>
      </c>
      <c r="D168" s="1">
        <v>1</v>
      </c>
      <c r="E168">
        <v>0</v>
      </c>
      <c r="F168" s="2">
        <v>6.9444444444444444E-5</v>
      </c>
      <c r="G168" s="2">
        <v>1.4583333333333334E-3</v>
      </c>
      <c r="H168" s="2">
        <v>6.5972222222222224E-4</v>
      </c>
      <c r="I168" s="1">
        <v>0.9556</v>
      </c>
    </row>
    <row r="169" spans="1:9" x14ac:dyDescent="0.3">
      <c r="A169">
        <v>168</v>
      </c>
      <c r="B169">
        <v>177</v>
      </c>
      <c r="C169">
        <v>172</v>
      </c>
      <c r="D169" s="1">
        <v>0.9718</v>
      </c>
      <c r="E169">
        <v>5</v>
      </c>
      <c r="F169" s="2">
        <v>2.3148148148148149E-4</v>
      </c>
      <c r="G169" s="2">
        <v>1.6550925925925926E-3</v>
      </c>
      <c r="H169" s="2">
        <v>1.9791666666666668E-3</v>
      </c>
      <c r="I169" s="1">
        <v>0.76</v>
      </c>
    </row>
    <row r="170" spans="1:9" x14ac:dyDescent="0.3">
      <c r="A170">
        <v>169</v>
      </c>
      <c r="B170">
        <v>133</v>
      </c>
      <c r="C170">
        <v>132</v>
      </c>
      <c r="D170" s="1">
        <v>0.99250000000000005</v>
      </c>
      <c r="E170">
        <v>1</v>
      </c>
      <c r="F170" s="2">
        <v>1.1574074074074075E-4</v>
      </c>
      <c r="G170" s="2">
        <v>1.6782407407407408E-3</v>
      </c>
      <c r="H170" s="2">
        <v>6.8287037037037036E-4</v>
      </c>
      <c r="I170" s="1">
        <v>0.93230000000000002</v>
      </c>
    </row>
    <row r="171" spans="1:9" x14ac:dyDescent="0.3">
      <c r="A171">
        <v>170</v>
      </c>
      <c r="B171">
        <v>177</v>
      </c>
      <c r="C171">
        <v>167</v>
      </c>
      <c r="D171" s="1">
        <v>0.94350000000000001</v>
      </c>
      <c r="E171">
        <v>10</v>
      </c>
      <c r="F171" s="2">
        <v>1.7361111111111112E-4</v>
      </c>
      <c r="G171" s="2">
        <v>1.6435185185185185E-3</v>
      </c>
      <c r="H171" s="2">
        <v>3.1828703703703702E-3</v>
      </c>
      <c r="I171" s="1">
        <v>0.83240000000000003</v>
      </c>
    </row>
    <row r="172" spans="1:9" x14ac:dyDescent="0.3">
      <c r="A172">
        <v>171</v>
      </c>
      <c r="B172">
        <v>127</v>
      </c>
      <c r="C172">
        <v>124</v>
      </c>
      <c r="D172" s="1">
        <v>0.97640000000000005</v>
      </c>
      <c r="E172">
        <v>3</v>
      </c>
      <c r="F172" s="2">
        <v>1.8518518518518518E-4</v>
      </c>
      <c r="G172" s="2">
        <v>1.6435185185185185E-3</v>
      </c>
      <c r="H172" s="2">
        <v>1.2152777777777778E-3</v>
      </c>
      <c r="I172" s="1">
        <v>0.81889999999999996</v>
      </c>
    </row>
    <row r="173" spans="1:9" x14ac:dyDescent="0.3">
      <c r="A173">
        <v>172</v>
      </c>
      <c r="B173">
        <v>148</v>
      </c>
      <c r="C173">
        <v>147</v>
      </c>
      <c r="D173" s="1">
        <v>0.99319999999999997</v>
      </c>
      <c r="E173">
        <v>1</v>
      </c>
      <c r="F173" s="2">
        <v>1.8518518518518518E-4</v>
      </c>
      <c r="G173" s="2">
        <v>1.5162037037037036E-3</v>
      </c>
      <c r="H173" s="2">
        <v>2.2106481481481482E-3</v>
      </c>
      <c r="I173" s="1">
        <v>0.83109999999999995</v>
      </c>
    </row>
    <row r="174" spans="1:9" x14ac:dyDescent="0.3">
      <c r="A174">
        <v>173</v>
      </c>
      <c r="B174">
        <v>23</v>
      </c>
      <c r="C174">
        <v>23</v>
      </c>
      <c r="D174" s="1">
        <v>1</v>
      </c>
      <c r="E174">
        <v>0</v>
      </c>
      <c r="F174" s="2">
        <v>3.7037037037037035E-4</v>
      </c>
      <c r="G174" s="2">
        <v>1.4120370370370369E-3</v>
      </c>
      <c r="H174" s="2">
        <v>1.8865740740740742E-3</v>
      </c>
      <c r="I174" s="1">
        <v>0.6522</v>
      </c>
    </row>
    <row r="175" spans="1:9" x14ac:dyDescent="0.3">
      <c r="A175">
        <v>174</v>
      </c>
      <c r="B175">
        <v>141</v>
      </c>
      <c r="C175">
        <v>134</v>
      </c>
      <c r="D175" s="1">
        <v>0.95040000000000002</v>
      </c>
      <c r="E175">
        <v>7</v>
      </c>
      <c r="F175" s="2">
        <v>2.7777777777777778E-4</v>
      </c>
      <c r="G175" s="2">
        <v>1.8287037037037037E-3</v>
      </c>
      <c r="H175" s="2">
        <v>1.724537037037037E-3</v>
      </c>
      <c r="I175" s="1">
        <v>0.72140000000000004</v>
      </c>
    </row>
    <row r="176" spans="1:9" x14ac:dyDescent="0.3">
      <c r="A176">
        <v>175</v>
      </c>
      <c r="B176">
        <v>124</v>
      </c>
      <c r="C176">
        <v>120</v>
      </c>
      <c r="D176" s="1">
        <v>0.9677</v>
      </c>
      <c r="E176">
        <v>4</v>
      </c>
      <c r="F176" s="2">
        <v>2.3148148148148149E-4</v>
      </c>
      <c r="G176" s="2">
        <v>1.7708333333333332E-3</v>
      </c>
      <c r="H176" s="2">
        <v>2.0601851851851853E-3</v>
      </c>
      <c r="I176" s="1">
        <v>0.8226</v>
      </c>
    </row>
    <row r="177" spans="1:9" x14ac:dyDescent="0.3">
      <c r="A177">
        <v>176</v>
      </c>
      <c r="B177">
        <v>165</v>
      </c>
      <c r="C177">
        <v>156</v>
      </c>
      <c r="D177" s="1">
        <v>0.94550000000000001</v>
      </c>
      <c r="E177">
        <v>9</v>
      </c>
      <c r="F177" s="2">
        <v>2.8935185185185184E-4</v>
      </c>
      <c r="G177" s="2">
        <v>1.6319444444444445E-3</v>
      </c>
      <c r="H177" s="2">
        <v>1.8287037037037037E-3</v>
      </c>
      <c r="I177" s="1">
        <v>0.70550000000000002</v>
      </c>
    </row>
    <row r="178" spans="1:9" x14ac:dyDescent="0.3">
      <c r="A178">
        <v>177</v>
      </c>
      <c r="B178">
        <v>168</v>
      </c>
      <c r="C178">
        <v>166</v>
      </c>
      <c r="D178" s="1">
        <v>0.98809999999999998</v>
      </c>
      <c r="E178">
        <v>2</v>
      </c>
      <c r="F178" s="2">
        <v>2.4305555555555555E-4</v>
      </c>
      <c r="G178" s="2">
        <v>1.7708333333333332E-3</v>
      </c>
      <c r="H178" s="2">
        <v>2.5810185185185185E-3</v>
      </c>
      <c r="I178" s="1">
        <v>0.80120000000000002</v>
      </c>
    </row>
    <row r="179" spans="1:9" x14ac:dyDescent="0.3">
      <c r="A179">
        <v>178</v>
      </c>
      <c r="B179">
        <v>198</v>
      </c>
      <c r="C179">
        <v>188</v>
      </c>
      <c r="D179" s="1">
        <v>0.94950000000000001</v>
      </c>
      <c r="E179">
        <v>10</v>
      </c>
      <c r="F179" s="2">
        <v>2.5462962962962961E-4</v>
      </c>
      <c r="G179" s="2">
        <v>1.7592592592592592E-3</v>
      </c>
      <c r="H179" s="2">
        <v>1.9097222222222222E-3</v>
      </c>
      <c r="I179" s="1">
        <v>0.70920000000000005</v>
      </c>
    </row>
    <row r="180" spans="1:9" x14ac:dyDescent="0.3">
      <c r="A180">
        <v>179</v>
      </c>
      <c r="B180">
        <v>139</v>
      </c>
      <c r="C180">
        <v>133</v>
      </c>
      <c r="D180" s="1">
        <v>0.95679999999999998</v>
      </c>
      <c r="E180">
        <v>6</v>
      </c>
      <c r="F180" s="2">
        <v>1.9675925925925926E-4</v>
      </c>
      <c r="G180" s="2">
        <v>1.8518518518518519E-3</v>
      </c>
      <c r="H180" s="2">
        <v>2.1180555555555558E-3</v>
      </c>
      <c r="I180" s="1">
        <v>0.80149999999999999</v>
      </c>
    </row>
    <row r="181" spans="1:9" x14ac:dyDescent="0.3">
      <c r="A181">
        <v>180</v>
      </c>
      <c r="B181">
        <v>46</v>
      </c>
      <c r="C181">
        <v>45</v>
      </c>
      <c r="D181" s="1">
        <v>0.97829999999999995</v>
      </c>
      <c r="E181">
        <v>1</v>
      </c>
      <c r="F181" s="2">
        <v>1.1574074074074075E-4</v>
      </c>
      <c r="G181" s="2">
        <v>1.5509259259259259E-3</v>
      </c>
      <c r="H181" s="2">
        <v>8.7962962962962962E-4</v>
      </c>
      <c r="I181" s="1">
        <v>0.88890000000000002</v>
      </c>
    </row>
    <row r="182" spans="1:9" x14ac:dyDescent="0.3">
      <c r="A182">
        <v>181</v>
      </c>
      <c r="B182">
        <v>184</v>
      </c>
      <c r="C182">
        <v>174</v>
      </c>
      <c r="D182" s="1">
        <v>0.94569999999999999</v>
      </c>
      <c r="E182">
        <v>10</v>
      </c>
      <c r="F182" s="2">
        <v>2.6620370370370372E-4</v>
      </c>
      <c r="G182" s="2">
        <v>1.8171296296296297E-3</v>
      </c>
      <c r="H182" s="2">
        <v>3.1828703703703702E-3</v>
      </c>
      <c r="I182" s="1">
        <v>0.76539999999999997</v>
      </c>
    </row>
    <row r="183" spans="1:9" x14ac:dyDescent="0.3">
      <c r="A183">
        <v>182</v>
      </c>
      <c r="B183">
        <v>207</v>
      </c>
      <c r="C183">
        <v>190</v>
      </c>
      <c r="D183" s="1">
        <v>0.91790000000000005</v>
      </c>
      <c r="E183">
        <v>17</v>
      </c>
      <c r="F183" s="2">
        <v>2.4305555555555555E-4</v>
      </c>
      <c r="G183" s="2">
        <v>1.6550925925925926E-3</v>
      </c>
      <c r="H183" s="2">
        <v>2.8472222222222223E-3</v>
      </c>
      <c r="I183" s="1">
        <v>0.71360000000000001</v>
      </c>
    </row>
    <row r="184" spans="1:9" x14ac:dyDescent="0.3">
      <c r="A184">
        <v>183</v>
      </c>
      <c r="B184">
        <v>191</v>
      </c>
      <c r="C184">
        <v>180</v>
      </c>
      <c r="D184" s="1">
        <v>0.94240000000000002</v>
      </c>
      <c r="E184">
        <v>11</v>
      </c>
      <c r="F184" s="2">
        <v>2.4305555555555555E-4</v>
      </c>
      <c r="G184" s="2">
        <v>1.7592592592592592E-3</v>
      </c>
      <c r="H184" s="2">
        <v>1.3078703703703703E-3</v>
      </c>
      <c r="I184" s="1">
        <v>0.76500000000000001</v>
      </c>
    </row>
    <row r="185" spans="1:9" x14ac:dyDescent="0.3">
      <c r="A185">
        <v>184</v>
      </c>
      <c r="B185">
        <v>213</v>
      </c>
      <c r="C185">
        <v>204</v>
      </c>
      <c r="D185" s="1">
        <v>0.9577</v>
      </c>
      <c r="E185">
        <v>9</v>
      </c>
      <c r="F185" s="2">
        <v>2.7777777777777778E-4</v>
      </c>
      <c r="G185" s="2">
        <v>1.6898148148148148E-3</v>
      </c>
      <c r="H185" s="2">
        <v>1.9212962962962964E-3</v>
      </c>
      <c r="I185" s="1">
        <v>0.69669999999999999</v>
      </c>
    </row>
    <row r="186" spans="1:9" x14ac:dyDescent="0.3">
      <c r="A186">
        <v>185</v>
      </c>
      <c r="B186">
        <v>483</v>
      </c>
      <c r="C186">
        <v>451</v>
      </c>
      <c r="D186" s="1">
        <v>0.93369999999999997</v>
      </c>
      <c r="E186">
        <v>32</v>
      </c>
      <c r="F186" s="2">
        <v>1.8518518518518518E-4</v>
      </c>
      <c r="G186" s="2">
        <v>6.5972222222222224E-4</v>
      </c>
      <c r="H186" s="2">
        <v>6.076388888888889E-3</v>
      </c>
      <c r="I186" s="1">
        <v>0.79200000000000004</v>
      </c>
    </row>
    <row r="187" spans="1:9" x14ac:dyDescent="0.3">
      <c r="A187">
        <v>186</v>
      </c>
      <c r="B187">
        <v>547</v>
      </c>
      <c r="C187">
        <v>526</v>
      </c>
      <c r="D187" s="1">
        <v>0.96160000000000001</v>
      </c>
      <c r="E187">
        <v>21</v>
      </c>
      <c r="F187" s="2">
        <v>2.199074074074074E-4</v>
      </c>
      <c r="G187" s="2">
        <v>9.3749999999999997E-4</v>
      </c>
      <c r="H187" s="2">
        <v>2.7083333333333334E-3</v>
      </c>
      <c r="I187" s="1">
        <v>0.81579999999999997</v>
      </c>
    </row>
    <row r="188" spans="1:9" x14ac:dyDescent="0.3">
      <c r="A188">
        <v>187</v>
      </c>
      <c r="B188">
        <v>54</v>
      </c>
      <c r="C188">
        <v>53</v>
      </c>
      <c r="D188" s="1">
        <v>0.98150000000000004</v>
      </c>
      <c r="E188">
        <v>1</v>
      </c>
      <c r="F188" s="2">
        <v>2.8935185185185184E-4</v>
      </c>
      <c r="G188" s="2">
        <v>1.8055555555555555E-3</v>
      </c>
      <c r="H188" s="2">
        <v>9.0277777777777774E-4</v>
      </c>
      <c r="I188" s="1">
        <v>0.70369999999999999</v>
      </c>
    </row>
    <row r="189" spans="1:9" x14ac:dyDescent="0.3">
      <c r="A189">
        <v>188</v>
      </c>
      <c r="B189">
        <v>275</v>
      </c>
      <c r="C189">
        <v>261</v>
      </c>
      <c r="D189" s="1">
        <v>0.94910000000000005</v>
      </c>
      <c r="E189">
        <v>14</v>
      </c>
      <c r="F189" s="2">
        <v>2.5462962962962961E-4</v>
      </c>
      <c r="G189" s="2">
        <v>1.5393518518518519E-3</v>
      </c>
      <c r="H189" s="2">
        <v>1.5277777777777779E-3</v>
      </c>
      <c r="I189" s="1">
        <v>0.74439999999999995</v>
      </c>
    </row>
    <row r="190" spans="1:9" x14ac:dyDescent="0.3">
      <c r="A190">
        <v>189</v>
      </c>
      <c r="B190">
        <v>205</v>
      </c>
      <c r="C190">
        <v>195</v>
      </c>
      <c r="D190" s="1">
        <v>0.95120000000000005</v>
      </c>
      <c r="E190">
        <v>10</v>
      </c>
      <c r="F190" s="2">
        <v>2.7777777777777778E-4</v>
      </c>
      <c r="G190" s="2">
        <v>1.7824074074074075E-3</v>
      </c>
      <c r="H190" s="2">
        <v>2.0833333333333333E-3</v>
      </c>
      <c r="I190" s="1">
        <v>0.70789999999999997</v>
      </c>
    </row>
    <row r="191" spans="1:9" x14ac:dyDescent="0.3">
      <c r="A191">
        <v>190</v>
      </c>
      <c r="B191">
        <v>80</v>
      </c>
      <c r="C191">
        <v>77</v>
      </c>
      <c r="D191" s="1">
        <v>0.96250000000000002</v>
      </c>
      <c r="E191">
        <v>3</v>
      </c>
      <c r="F191" s="2">
        <v>1.1574074074074075E-4</v>
      </c>
      <c r="G191" s="2">
        <v>1.5162037037037036E-3</v>
      </c>
      <c r="H191" s="2">
        <v>1.0763888888888889E-3</v>
      </c>
      <c r="I191" s="1">
        <v>0.89610000000000001</v>
      </c>
    </row>
    <row r="192" spans="1:9" x14ac:dyDescent="0.3">
      <c r="A192">
        <v>191</v>
      </c>
      <c r="B192">
        <v>200</v>
      </c>
      <c r="C192">
        <v>195</v>
      </c>
      <c r="D192" s="1">
        <v>0.97499999999999998</v>
      </c>
      <c r="E192">
        <v>5</v>
      </c>
      <c r="F192" s="2">
        <v>2.4305555555555555E-4</v>
      </c>
      <c r="G192" s="2">
        <v>1.736111111111111E-3</v>
      </c>
      <c r="H192" s="2">
        <v>1.9444444444444444E-3</v>
      </c>
      <c r="I192" s="1">
        <v>0.75249999999999995</v>
      </c>
    </row>
    <row r="193" spans="1:9" x14ac:dyDescent="0.3">
      <c r="A193">
        <v>192</v>
      </c>
      <c r="B193">
        <v>154</v>
      </c>
      <c r="C193">
        <v>150</v>
      </c>
      <c r="D193" s="1">
        <v>0.97399999999999998</v>
      </c>
      <c r="E193">
        <v>4</v>
      </c>
      <c r="F193" s="2">
        <v>2.4305555555555555E-4</v>
      </c>
      <c r="G193" s="2">
        <v>1.724537037037037E-3</v>
      </c>
      <c r="H193" s="2">
        <v>1.9097222222222222E-3</v>
      </c>
      <c r="I193" s="1">
        <v>0.74339999999999995</v>
      </c>
    </row>
    <row r="194" spans="1:9" x14ac:dyDescent="0.3">
      <c r="A194">
        <v>193</v>
      </c>
      <c r="B194">
        <v>163</v>
      </c>
      <c r="C194">
        <v>155</v>
      </c>
      <c r="D194" s="1">
        <v>0.95089999999999997</v>
      </c>
      <c r="E194">
        <v>8</v>
      </c>
      <c r="F194" s="2">
        <v>2.6620370370370372E-4</v>
      </c>
      <c r="G194" s="2">
        <v>1.5972222222222223E-3</v>
      </c>
      <c r="H194" s="2">
        <v>1.6898148148148148E-3</v>
      </c>
      <c r="I194" s="1">
        <v>0.74519999999999997</v>
      </c>
    </row>
    <row r="195" spans="1:9" x14ac:dyDescent="0.3">
      <c r="A195">
        <v>194</v>
      </c>
      <c r="B195">
        <v>12</v>
      </c>
      <c r="C195">
        <v>12</v>
      </c>
      <c r="D195" s="1">
        <v>1</v>
      </c>
      <c r="E195">
        <v>0</v>
      </c>
      <c r="F195" s="2">
        <v>2.8935185185185184E-4</v>
      </c>
      <c r="G195" s="2">
        <v>2.5115740740740741E-3</v>
      </c>
      <c r="H195" s="2">
        <v>1.0185185185185184E-3</v>
      </c>
      <c r="I195" s="1">
        <v>0.66669999999999996</v>
      </c>
    </row>
    <row r="196" spans="1:9" x14ac:dyDescent="0.3">
      <c r="A196">
        <v>195</v>
      </c>
      <c r="B196">
        <v>218</v>
      </c>
      <c r="C196">
        <v>212</v>
      </c>
      <c r="D196" s="1">
        <v>0.97250000000000003</v>
      </c>
      <c r="E196">
        <v>6</v>
      </c>
      <c r="F196" s="2">
        <v>2.3148148148148149E-4</v>
      </c>
      <c r="G196" s="2">
        <v>1.3425925925925925E-3</v>
      </c>
      <c r="H196" s="2">
        <v>2.9050925925925928E-3</v>
      </c>
      <c r="I196" s="1">
        <v>0.75929999999999997</v>
      </c>
    </row>
    <row r="197" spans="1:9" x14ac:dyDescent="0.3">
      <c r="A197">
        <v>196</v>
      </c>
      <c r="B197">
        <v>172</v>
      </c>
      <c r="C197">
        <v>163</v>
      </c>
      <c r="D197" s="1">
        <v>0.94769999999999999</v>
      </c>
      <c r="E197">
        <v>9</v>
      </c>
      <c r="F197" s="2">
        <v>2.0833333333333335E-4</v>
      </c>
      <c r="G197" s="2">
        <v>1.4930555555555556E-3</v>
      </c>
      <c r="H197" s="2">
        <v>1.3078703703703703E-3</v>
      </c>
      <c r="I197" s="1">
        <v>0.81930000000000003</v>
      </c>
    </row>
    <row r="198" spans="1:9" x14ac:dyDescent="0.3">
      <c r="A198">
        <v>197</v>
      </c>
      <c r="B198">
        <v>205</v>
      </c>
      <c r="C198">
        <v>194</v>
      </c>
      <c r="D198" s="1">
        <v>0.94630000000000003</v>
      </c>
      <c r="E198">
        <v>11</v>
      </c>
      <c r="F198" s="2">
        <v>2.0833333333333335E-4</v>
      </c>
      <c r="G198" s="2">
        <v>1.6666666666666668E-3</v>
      </c>
      <c r="H198" s="2">
        <v>1.1689814814814816E-3</v>
      </c>
      <c r="I198" s="1">
        <v>0.80600000000000005</v>
      </c>
    </row>
    <row r="199" spans="1:9" x14ac:dyDescent="0.3">
      <c r="A199">
        <v>198</v>
      </c>
      <c r="B199">
        <v>178</v>
      </c>
      <c r="C199">
        <v>168</v>
      </c>
      <c r="D199" s="1">
        <v>0.94379999999999997</v>
      </c>
      <c r="E199">
        <v>10</v>
      </c>
      <c r="F199" s="2">
        <v>2.6620370370370372E-4</v>
      </c>
      <c r="G199" s="2">
        <v>1.712962962962963E-3</v>
      </c>
      <c r="H199" s="2">
        <v>1.9675925925925924E-3</v>
      </c>
      <c r="I199" s="1">
        <v>0.68969999999999998</v>
      </c>
    </row>
    <row r="200" spans="1:9" x14ac:dyDescent="0.3">
      <c r="A200">
        <v>199</v>
      </c>
      <c r="B200">
        <v>214</v>
      </c>
      <c r="C200">
        <v>201</v>
      </c>
      <c r="D200" s="1">
        <v>0.93930000000000002</v>
      </c>
      <c r="E200">
        <v>13</v>
      </c>
      <c r="F200" s="2">
        <v>2.6620370370370372E-4</v>
      </c>
      <c r="G200" s="2">
        <v>1.5162037037037036E-3</v>
      </c>
      <c r="H200" s="2">
        <v>1.6666666666666668E-3</v>
      </c>
      <c r="I200" s="1">
        <v>0.6603</v>
      </c>
    </row>
    <row r="201" spans="1:9" x14ac:dyDescent="0.3">
      <c r="A201">
        <v>200</v>
      </c>
      <c r="B201">
        <v>169</v>
      </c>
      <c r="C201">
        <v>161</v>
      </c>
      <c r="D201" s="1">
        <v>0.95269999999999999</v>
      </c>
      <c r="E201">
        <v>8</v>
      </c>
      <c r="F201" s="2">
        <v>2.6620370370370372E-4</v>
      </c>
      <c r="G201" s="2">
        <v>1.5856481481481481E-3</v>
      </c>
      <c r="H201" s="2">
        <v>3.1828703703703702E-3</v>
      </c>
      <c r="I201" s="1">
        <v>0.71689999999999998</v>
      </c>
    </row>
    <row r="202" spans="1:9" x14ac:dyDescent="0.3">
      <c r="A202">
        <v>201</v>
      </c>
      <c r="B202">
        <v>46</v>
      </c>
      <c r="C202">
        <v>46</v>
      </c>
      <c r="D202" s="1">
        <v>1</v>
      </c>
      <c r="E202">
        <v>0</v>
      </c>
      <c r="F202" s="2">
        <v>2.8935185185185184E-4</v>
      </c>
      <c r="G202" s="2">
        <v>1.6666666666666668E-3</v>
      </c>
      <c r="H202" s="2">
        <v>1.0995370370370371E-3</v>
      </c>
      <c r="I202" s="1">
        <v>0.71740000000000004</v>
      </c>
    </row>
    <row r="203" spans="1:9" x14ac:dyDescent="0.3">
      <c r="A203">
        <v>202</v>
      </c>
      <c r="B203">
        <v>183</v>
      </c>
      <c r="C203">
        <v>177</v>
      </c>
      <c r="D203" s="1">
        <v>0.96719999999999995</v>
      </c>
      <c r="E203">
        <v>6</v>
      </c>
      <c r="F203" s="2">
        <v>2.0833333333333335E-4</v>
      </c>
      <c r="G203" s="2">
        <v>1.736111111111111E-3</v>
      </c>
      <c r="H203" s="2">
        <v>7.7546296296296293E-4</v>
      </c>
      <c r="I203" s="1">
        <v>0.81110000000000004</v>
      </c>
    </row>
    <row r="204" spans="1:9" x14ac:dyDescent="0.3">
      <c r="A204">
        <v>203</v>
      </c>
      <c r="B204">
        <v>208</v>
      </c>
      <c r="C204">
        <v>190</v>
      </c>
      <c r="D204" s="1">
        <v>0.91349999999999998</v>
      </c>
      <c r="E204">
        <v>18</v>
      </c>
      <c r="F204" s="2">
        <v>2.4305555555555555E-4</v>
      </c>
      <c r="G204" s="2">
        <v>1.6782407407407408E-3</v>
      </c>
      <c r="H204" s="2">
        <v>1.2731481481481483E-3</v>
      </c>
      <c r="I204" s="1">
        <v>0.74109999999999998</v>
      </c>
    </row>
    <row r="205" spans="1:9" x14ac:dyDescent="0.3">
      <c r="A205">
        <v>204</v>
      </c>
      <c r="B205">
        <v>234</v>
      </c>
      <c r="C205">
        <v>224</v>
      </c>
      <c r="D205" s="1">
        <v>0.95730000000000004</v>
      </c>
      <c r="E205">
        <v>10</v>
      </c>
      <c r="F205" s="2">
        <v>2.5462962962962961E-4</v>
      </c>
      <c r="G205" s="2">
        <v>1.5625000000000001E-3</v>
      </c>
      <c r="H205" s="2">
        <v>2.3148148148148147E-3</v>
      </c>
      <c r="I205" s="1">
        <v>0.74139999999999995</v>
      </c>
    </row>
    <row r="206" spans="1:9" x14ac:dyDescent="0.3">
      <c r="A206">
        <v>205</v>
      </c>
      <c r="B206">
        <v>204</v>
      </c>
      <c r="C206">
        <v>194</v>
      </c>
      <c r="D206" s="1">
        <v>0.95099999999999996</v>
      </c>
      <c r="E206">
        <v>10</v>
      </c>
      <c r="F206" s="2">
        <v>2.0833333333333335E-4</v>
      </c>
      <c r="G206" s="2">
        <v>1.5856481481481481E-3</v>
      </c>
      <c r="H206" s="2">
        <v>1.2731481481481483E-3</v>
      </c>
      <c r="I206" s="1">
        <v>0.78710000000000002</v>
      </c>
    </row>
    <row r="207" spans="1:9" x14ac:dyDescent="0.3">
      <c r="A207">
        <v>206</v>
      </c>
      <c r="B207">
        <v>204</v>
      </c>
      <c r="C207">
        <v>189</v>
      </c>
      <c r="D207" s="1">
        <v>0.92649999999999999</v>
      </c>
      <c r="E207">
        <v>15</v>
      </c>
      <c r="F207" s="2">
        <v>2.4305555555555555E-4</v>
      </c>
      <c r="G207" s="2">
        <v>1.5625000000000001E-3</v>
      </c>
      <c r="H207" s="2">
        <v>2.7314814814814814E-3</v>
      </c>
      <c r="I207" s="1">
        <v>0.70789999999999997</v>
      </c>
    </row>
    <row r="208" spans="1:9" x14ac:dyDescent="0.3">
      <c r="A208">
        <v>207</v>
      </c>
      <c r="B208">
        <v>99</v>
      </c>
      <c r="C208">
        <v>99</v>
      </c>
      <c r="D208" s="1">
        <v>1</v>
      </c>
      <c r="E208">
        <v>0</v>
      </c>
      <c r="F208" s="2">
        <v>1.8518518518518518E-4</v>
      </c>
      <c r="G208" s="2">
        <v>1.6782407407407408E-3</v>
      </c>
      <c r="H208" s="2">
        <v>7.1759259259259259E-4</v>
      </c>
      <c r="I208" s="1">
        <v>0.82830000000000004</v>
      </c>
    </row>
    <row r="209" spans="1:9" x14ac:dyDescent="0.3">
      <c r="A209">
        <v>208</v>
      </c>
      <c r="B209">
        <v>29</v>
      </c>
      <c r="C209">
        <v>27</v>
      </c>
      <c r="D209" s="1">
        <v>0.93100000000000005</v>
      </c>
      <c r="E209">
        <v>2</v>
      </c>
      <c r="F209" s="2">
        <v>2.199074074074074E-4</v>
      </c>
      <c r="G209" s="2">
        <v>1.9328703703703704E-3</v>
      </c>
      <c r="H209" s="2">
        <v>1.6435185185185185E-3</v>
      </c>
      <c r="I209" s="1">
        <v>0.78569999999999995</v>
      </c>
    </row>
    <row r="210" spans="1:9" x14ac:dyDescent="0.3">
      <c r="A210">
        <v>209</v>
      </c>
      <c r="B210">
        <v>167</v>
      </c>
      <c r="C210">
        <v>159</v>
      </c>
      <c r="D210" s="1">
        <v>0.95209999999999995</v>
      </c>
      <c r="E210">
        <v>8</v>
      </c>
      <c r="F210" s="2">
        <v>2.6620370370370372E-4</v>
      </c>
      <c r="G210" s="2">
        <v>1.712962962962963E-3</v>
      </c>
      <c r="H210" s="2">
        <v>3.1828703703703702E-3</v>
      </c>
      <c r="I210" s="1">
        <v>0.70479999999999998</v>
      </c>
    </row>
    <row r="211" spans="1:9" x14ac:dyDescent="0.3">
      <c r="A211">
        <v>210</v>
      </c>
      <c r="B211">
        <v>164</v>
      </c>
      <c r="C211">
        <v>161</v>
      </c>
      <c r="D211" s="1">
        <v>0.98170000000000002</v>
      </c>
      <c r="E211">
        <v>3</v>
      </c>
      <c r="F211" s="2">
        <v>1.9675925925925926E-4</v>
      </c>
      <c r="G211" s="2">
        <v>1.7939814814814815E-3</v>
      </c>
      <c r="H211" s="2">
        <v>1.1226851851851851E-3</v>
      </c>
      <c r="I211" s="1">
        <v>0.81710000000000005</v>
      </c>
    </row>
    <row r="212" spans="1:9" x14ac:dyDescent="0.3">
      <c r="A212">
        <v>211</v>
      </c>
      <c r="B212">
        <v>158</v>
      </c>
      <c r="C212">
        <v>147</v>
      </c>
      <c r="D212" s="1">
        <v>0.9304</v>
      </c>
      <c r="E212">
        <v>11</v>
      </c>
      <c r="F212" s="2">
        <v>2.4305555555555555E-4</v>
      </c>
      <c r="G212" s="2">
        <v>1.7824074074074075E-3</v>
      </c>
      <c r="H212" s="2">
        <v>1.4236111111111112E-3</v>
      </c>
      <c r="I212" s="1">
        <v>0.72440000000000004</v>
      </c>
    </row>
    <row r="213" spans="1:9" x14ac:dyDescent="0.3">
      <c r="A213">
        <v>212</v>
      </c>
      <c r="B213">
        <v>165</v>
      </c>
      <c r="C213">
        <v>161</v>
      </c>
      <c r="D213" s="1">
        <v>0.9758</v>
      </c>
      <c r="E213">
        <v>4</v>
      </c>
      <c r="F213" s="2">
        <v>1.9675925925925926E-4</v>
      </c>
      <c r="G213" s="2">
        <v>1.6898148148148148E-3</v>
      </c>
      <c r="H213" s="2">
        <v>7.6388888888888893E-4</v>
      </c>
      <c r="I213" s="1">
        <v>0.77910000000000001</v>
      </c>
    </row>
    <row r="214" spans="1:9" x14ac:dyDescent="0.3">
      <c r="A214">
        <v>213</v>
      </c>
      <c r="B214">
        <v>129</v>
      </c>
      <c r="C214">
        <v>124</v>
      </c>
      <c r="D214" s="1">
        <v>0.96120000000000005</v>
      </c>
      <c r="E214">
        <v>5</v>
      </c>
      <c r="F214" s="2">
        <v>2.6620370370370372E-4</v>
      </c>
      <c r="G214" s="2">
        <v>1.712962962962963E-3</v>
      </c>
      <c r="H214" s="2">
        <v>1.2731481481481483E-3</v>
      </c>
      <c r="I214" s="1">
        <v>0.7087</v>
      </c>
    </row>
    <row r="215" spans="1:9" x14ac:dyDescent="0.3">
      <c r="A215">
        <v>214</v>
      </c>
      <c r="B215">
        <v>155</v>
      </c>
      <c r="C215">
        <v>149</v>
      </c>
      <c r="D215" s="1">
        <v>0.96130000000000004</v>
      </c>
      <c r="E215">
        <v>6</v>
      </c>
      <c r="F215" s="2">
        <v>2.6620370370370372E-4</v>
      </c>
      <c r="G215" s="2">
        <v>1.6898148148148148E-3</v>
      </c>
      <c r="H215" s="2">
        <v>2.9976851851851853E-3</v>
      </c>
      <c r="I215" s="1">
        <v>0.74509999999999998</v>
      </c>
    </row>
    <row r="216" spans="1:9" x14ac:dyDescent="0.3">
      <c r="A216">
        <v>215</v>
      </c>
      <c r="B216">
        <v>24</v>
      </c>
      <c r="C216">
        <v>22</v>
      </c>
      <c r="D216" s="1">
        <v>0.91669999999999996</v>
      </c>
      <c r="E216">
        <v>2</v>
      </c>
      <c r="F216" s="2">
        <v>3.2407407407407406E-4</v>
      </c>
      <c r="G216" s="2">
        <v>1.6666666666666668E-3</v>
      </c>
      <c r="H216" s="2">
        <v>9.3749999999999997E-4</v>
      </c>
      <c r="I216" s="1">
        <v>0.54169999999999996</v>
      </c>
    </row>
    <row r="217" spans="1:9" x14ac:dyDescent="0.3">
      <c r="A217">
        <v>216</v>
      </c>
      <c r="B217">
        <v>209</v>
      </c>
      <c r="C217">
        <v>200</v>
      </c>
      <c r="D217" s="1">
        <v>0.95689999999999997</v>
      </c>
      <c r="E217">
        <v>9</v>
      </c>
      <c r="F217" s="2">
        <v>2.6620370370370372E-4</v>
      </c>
      <c r="G217" s="2">
        <v>1.6666666666666668E-3</v>
      </c>
      <c r="H217" s="2">
        <v>1.5162037037037036E-3</v>
      </c>
      <c r="I217" s="1">
        <v>0.66669999999999996</v>
      </c>
    </row>
    <row r="218" spans="1:9" x14ac:dyDescent="0.3">
      <c r="A218">
        <v>217</v>
      </c>
      <c r="B218">
        <v>239</v>
      </c>
      <c r="C218">
        <v>226</v>
      </c>
      <c r="D218" s="1">
        <v>0.9456</v>
      </c>
      <c r="E218">
        <v>13</v>
      </c>
      <c r="F218" s="2">
        <v>3.0092592592592595E-4</v>
      </c>
      <c r="G218" s="2">
        <v>1.6087962962962963E-3</v>
      </c>
      <c r="H218" s="2">
        <v>1.9675925925925924E-3</v>
      </c>
      <c r="I218" s="1">
        <v>0.67230000000000001</v>
      </c>
    </row>
    <row r="219" spans="1:9" x14ac:dyDescent="0.3">
      <c r="A219">
        <v>218</v>
      </c>
      <c r="B219">
        <v>229</v>
      </c>
      <c r="C219">
        <v>210</v>
      </c>
      <c r="D219" s="1">
        <v>0.91700000000000004</v>
      </c>
      <c r="E219">
        <v>19</v>
      </c>
      <c r="F219" s="2">
        <v>3.3564814814814812E-4</v>
      </c>
      <c r="G219" s="2">
        <v>1.6550925925925926E-3</v>
      </c>
      <c r="H219" s="2">
        <v>5.7407407407407407E-3</v>
      </c>
      <c r="I219" s="1">
        <v>0.64159999999999995</v>
      </c>
    </row>
    <row r="220" spans="1:9" x14ac:dyDescent="0.3">
      <c r="A220">
        <v>219</v>
      </c>
      <c r="B220">
        <v>194</v>
      </c>
      <c r="C220">
        <v>172</v>
      </c>
      <c r="D220" s="1">
        <v>0.88660000000000005</v>
      </c>
      <c r="E220">
        <v>22</v>
      </c>
      <c r="F220" s="2">
        <v>2.6620370370370372E-4</v>
      </c>
      <c r="G220" s="2">
        <v>1.6203703703703703E-3</v>
      </c>
      <c r="H220" s="2">
        <v>4.3518518518518515E-3</v>
      </c>
      <c r="I220" s="1">
        <v>0.66139999999999999</v>
      </c>
    </row>
    <row r="221" spans="1:9" x14ac:dyDescent="0.3">
      <c r="A221">
        <v>220</v>
      </c>
      <c r="B221">
        <v>202</v>
      </c>
      <c r="C221">
        <v>179</v>
      </c>
      <c r="D221" s="1">
        <v>0.8861</v>
      </c>
      <c r="E221">
        <v>23</v>
      </c>
      <c r="F221" s="2">
        <v>2.7777777777777778E-4</v>
      </c>
      <c r="G221" s="2">
        <v>1.5740740740740741E-3</v>
      </c>
      <c r="H221" s="2">
        <v>1.9675925925925924E-3</v>
      </c>
      <c r="I221" s="1">
        <v>0.64429999999999998</v>
      </c>
    </row>
    <row r="222" spans="1:9" x14ac:dyDescent="0.3">
      <c r="A222">
        <v>221</v>
      </c>
      <c r="B222">
        <v>268</v>
      </c>
      <c r="C222">
        <v>254</v>
      </c>
      <c r="D222" s="1">
        <v>0.94779999999999998</v>
      </c>
      <c r="E222">
        <v>14</v>
      </c>
      <c r="F222" s="2">
        <v>1.7361111111111112E-4</v>
      </c>
      <c r="G222" s="2">
        <v>1.2847222222222223E-3</v>
      </c>
      <c r="H222" s="2">
        <v>1.8518518518518519E-3</v>
      </c>
      <c r="I222" s="1">
        <v>0.81130000000000002</v>
      </c>
    </row>
    <row r="223" spans="1:9" x14ac:dyDescent="0.3">
      <c r="A223">
        <v>222</v>
      </c>
      <c r="B223">
        <v>52</v>
      </c>
      <c r="C223">
        <v>49</v>
      </c>
      <c r="D223" s="1">
        <v>0.94230000000000003</v>
      </c>
      <c r="E223">
        <v>3</v>
      </c>
      <c r="F223" s="2">
        <v>2.0833333333333335E-4</v>
      </c>
      <c r="G223" s="2">
        <v>1.5972222222222223E-3</v>
      </c>
      <c r="H223" s="2">
        <v>1.5856481481481481E-3</v>
      </c>
      <c r="I223" s="1">
        <v>0.76470000000000005</v>
      </c>
    </row>
    <row r="224" spans="1:9" x14ac:dyDescent="0.3">
      <c r="A224">
        <v>223</v>
      </c>
      <c r="B224">
        <v>414</v>
      </c>
      <c r="C224">
        <v>397</v>
      </c>
      <c r="D224" s="1">
        <v>0.95889999999999997</v>
      </c>
      <c r="E224">
        <v>17</v>
      </c>
      <c r="F224" s="2">
        <v>2.6620370370370372E-4</v>
      </c>
      <c r="G224" s="2">
        <v>1.3657407407407407E-3</v>
      </c>
      <c r="H224" s="2">
        <v>3.8425925925925928E-3</v>
      </c>
      <c r="I224" s="1">
        <v>0.70730000000000004</v>
      </c>
    </row>
    <row r="225" spans="1:9" x14ac:dyDescent="0.3">
      <c r="A225">
        <v>224</v>
      </c>
      <c r="B225">
        <v>346</v>
      </c>
      <c r="C225">
        <v>325</v>
      </c>
      <c r="D225" s="1">
        <v>0.93930000000000002</v>
      </c>
      <c r="E225">
        <v>21</v>
      </c>
      <c r="F225" s="2">
        <v>3.1250000000000001E-4</v>
      </c>
      <c r="G225" s="2">
        <v>1.6435185185185185E-3</v>
      </c>
      <c r="H225" s="2">
        <v>1.9097222222222222E-3</v>
      </c>
      <c r="I225" s="1">
        <v>0.65690000000000004</v>
      </c>
    </row>
    <row r="226" spans="1:9" x14ac:dyDescent="0.3">
      <c r="A226">
        <v>225</v>
      </c>
      <c r="B226">
        <v>187</v>
      </c>
      <c r="C226">
        <v>179</v>
      </c>
      <c r="D226" s="1">
        <v>0.95720000000000005</v>
      </c>
      <c r="E226">
        <v>8</v>
      </c>
      <c r="F226" s="2">
        <v>2.8935185185185184E-4</v>
      </c>
      <c r="G226" s="2">
        <v>1.5509259259259259E-3</v>
      </c>
      <c r="H226" s="2">
        <v>2.0717592592592593E-3</v>
      </c>
      <c r="I226" s="1">
        <v>0.67030000000000001</v>
      </c>
    </row>
    <row r="227" spans="1:9" x14ac:dyDescent="0.3">
      <c r="A227">
        <v>226</v>
      </c>
      <c r="B227">
        <v>203</v>
      </c>
      <c r="C227">
        <v>186</v>
      </c>
      <c r="D227" s="1">
        <v>0.9163</v>
      </c>
      <c r="E227">
        <v>17</v>
      </c>
      <c r="F227" s="2">
        <v>2.7777777777777778E-4</v>
      </c>
      <c r="G227" s="2">
        <v>1.8287037037037037E-3</v>
      </c>
      <c r="H227" s="2">
        <v>3.1828703703703702E-3</v>
      </c>
      <c r="I227" s="1">
        <v>0.69589999999999996</v>
      </c>
    </row>
    <row r="228" spans="1:9" x14ac:dyDescent="0.3">
      <c r="A228">
        <v>227</v>
      </c>
      <c r="B228">
        <v>204</v>
      </c>
      <c r="C228">
        <v>194</v>
      </c>
      <c r="D228" s="1">
        <v>0.95099999999999996</v>
      </c>
      <c r="E228">
        <v>10</v>
      </c>
      <c r="F228" s="2">
        <v>2.0833333333333335E-4</v>
      </c>
      <c r="G228" s="2">
        <v>1.7708333333333332E-3</v>
      </c>
      <c r="H228" s="2">
        <v>1.4120370370370369E-3</v>
      </c>
      <c r="I228" s="1">
        <v>0.82410000000000005</v>
      </c>
    </row>
    <row r="229" spans="1:9" x14ac:dyDescent="0.3">
      <c r="A229">
        <v>228</v>
      </c>
      <c r="B229">
        <v>126</v>
      </c>
      <c r="C229">
        <v>121</v>
      </c>
      <c r="D229" s="1">
        <v>0.96030000000000004</v>
      </c>
      <c r="E229">
        <v>5</v>
      </c>
      <c r="F229" s="2">
        <v>2.4305555555555555E-4</v>
      </c>
      <c r="G229" s="2">
        <v>1.7592592592592592E-3</v>
      </c>
      <c r="H229" s="2">
        <v>1.2847222222222223E-3</v>
      </c>
      <c r="I229" s="1">
        <v>0.70630000000000004</v>
      </c>
    </row>
    <row r="230" spans="1:9" x14ac:dyDescent="0.3">
      <c r="A230">
        <v>229</v>
      </c>
      <c r="B230">
        <v>36</v>
      </c>
      <c r="C230">
        <v>36</v>
      </c>
      <c r="D230" s="1">
        <v>1</v>
      </c>
      <c r="E230">
        <v>0</v>
      </c>
      <c r="F230" s="2">
        <v>1.9675925925925926E-4</v>
      </c>
      <c r="G230" s="2">
        <v>1.4699074074074074E-3</v>
      </c>
      <c r="H230" s="2">
        <v>1.0532407407407407E-3</v>
      </c>
      <c r="I230" s="1">
        <v>0.77780000000000005</v>
      </c>
    </row>
    <row r="231" spans="1:9" x14ac:dyDescent="0.3">
      <c r="A231">
        <v>230</v>
      </c>
      <c r="B231">
        <v>180</v>
      </c>
      <c r="C231">
        <v>165</v>
      </c>
      <c r="D231" s="1">
        <v>0.91669999999999996</v>
      </c>
      <c r="E231">
        <v>15</v>
      </c>
      <c r="F231" s="2">
        <v>3.1250000000000001E-4</v>
      </c>
      <c r="G231" s="2">
        <v>1.736111111111111E-3</v>
      </c>
      <c r="H231" s="2">
        <v>1.6087962962962963E-3</v>
      </c>
      <c r="I231" s="1">
        <v>0.66090000000000004</v>
      </c>
    </row>
    <row r="232" spans="1:9" x14ac:dyDescent="0.3">
      <c r="A232">
        <v>231</v>
      </c>
      <c r="B232">
        <v>169</v>
      </c>
      <c r="C232">
        <v>162</v>
      </c>
      <c r="D232" s="1">
        <v>0.95860000000000001</v>
      </c>
      <c r="E232">
        <v>7</v>
      </c>
      <c r="F232" s="2">
        <v>2.3148148148148149E-4</v>
      </c>
      <c r="G232" s="2">
        <v>1.6782407407407408E-3</v>
      </c>
      <c r="H232" s="2">
        <v>1.3078703703703703E-3</v>
      </c>
      <c r="I232" s="1">
        <v>0.74560000000000004</v>
      </c>
    </row>
    <row r="233" spans="1:9" x14ac:dyDescent="0.3">
      <c r="A233">
        <v>232</v>
      </c>
      <c r="B233">
        <v>155</v>
      </c>
      <c r="C233">
        <v>151</v>
      </c>
      <c r="D233" s="1">
        <v>0.97419999999999995</v>
      </c>
      <c r="E233">
        <v>4</v>
      </c>
      <c r="F233" s="2">
        <v>2.4305555555555555E-4</v>
      </c>
      <c r="G233" s="2">
        <v>1.6203703703703703E-3</v>
      </c>
      <c r="H233" s="2">
        <v>1.9097222222222222E-3</v>
      </c>
      <c r="I233" s="1">
        <v>0.7097</v>
      </c>
    </row>
    <row r="234" spans="1:9" x14ac:dyDescent="0.3">
      <c r="A234">
        <v>233</v>
      </c>
      <c r="B234">
        <v>169</v>
      </c>
      <c r="C234">
        <v>137</v>
      </c>
      <c r="D234" s="1">
        <v>0.81069999999999998</v>
      </c>
      <c r="E234">
        <v>32</v>
      </c>
      <c r="F234" s="2">
        <v>4.3981481481481481E-4</v>
      </c>
      <c r="G234" s="2">
        <v>1.6666666666666668E-3</v>
      </c>
      <c r="H234" s="2">
        <v>3.8194444444444443E-3</v>
      </c>
      <c r="I234" s="1">
        <v>0.40360000000000001</v>
      </c>
    </row>
    <row r="235" spans="1:9" x14ac:dyDescent="0.3">
      <c r="A235">
        <v>234</v>
      </c>
      <c r="B235">
        <v>61</v>
      </c>
      <c r="C235">
        <v>45</v>
      </c>
      <c r="D235" s="1">
        <v>0.73770000000000002</v>
      </c>
      <c r="E235">
        <v>16</v>
      </c>
      <c r="F235" s="2">
        <v>3.7037037037037035E-4</v>
      </c>
      <c r="G235" s="2">
        <v>1.9560185185185184E-3</v>
      </c>
      <c r="H235" s="2">
        <v>3.8194444444444443E-3</v>
      </c>
      <c r="I235" s="1">
        <v>0.4098</v>
      </c>
    </row>
    <row r="236" spans="1:9" x14ac:dyDescent="0.3">
      <c r="A236">
        <v>235</v>
      </c>
      <c r="B236">
        <v>167</v>
      </c>
      <c r="C236">
        <v>136</v>
      </c>
      <c r="D236" s="1">
        <v>0.81440000000000001</v>
      </c>
      <c r="E236">
        <v>31</v>
      </c>
      <c r="F236" s="2">
        <v>4.861111111111111E-4</v>
      </c>
      <c r="G236" s="2">
        <v>1.8055555555555555E-3</v>
      </c>
      <c r="H236" s="2">
        <v>3.7962962962962963E-3</v>
      </c>
      <c r="I236" s="1">
        <v>0.35980000000000001</v>
      </c>
    </row>
    <row r="237" spans="1:9" x14ac:dyDescent="0.3">
      <c r="A237">
        <v>236</v>
      </c>
      <c r="B237">
        <v>32</v>
      </c>
      <c r="C237">
        <v>27</v>
      </c>
      <c r="D237" s="1">
        <v>0.84379999999999999</v>
      </c>
      <c r="E237">
        <v>5</v>
      </c>
      <c r="F237" s="2">
        <v>4.0509259259259258E-4</v>
      </c>
      <c r="G237" s="2">
        <v>1.6435185185185185E-3</v>
      </c>
      <c r="H237" s="2">
        <v>2.1990740740740742E-3</v>
      </c>
      <c r="I237" s="1">
        <v>0.53129999999999999</v>
      </c>
    </row>
    <row r="238" spans="1:9" x14ac:dyDescent="0.3">
      <c r="A238">
        <v>237</v>
      </c>
      <c r="B238">
        <v>229</v>
      </c>
      <c r="C238">
        <v>148</v>
      </c>
      <c r="D238" s="1">
        <v>0.64629999999999999</v>
      </c>
      <c r="E238">
        <v>81</v>
      </c>
      <c r="F238" s="2">
        <v>4.1666666666666669E-4</v>
      </c>
      <c r="G238" s="2">
        <v>1.9444444444444444E-3</v>
      </c>
      <c r="H238" s="2">
        <v>7.3958333333333333E-3</v>
      </c>
      <c r="I238" s="1">
        <v>0.43180000000000002</v>
      </c>
    </row>
    <row r="239" spans="1:9" x14ac:dyDescent="0.3">
      <c r="A239">
        <v>238</v>
      </c>
      <c r="B239">
        <v>208</v>
      </c>
      <c r="C239">
        <v>204</v>
      </c>
      <c r="D239" s="1">
        <v>0.98080000000000001</v>
      </c>
      <c r="E239">
        <v>4</v>
      </c>
      <c r="F239" s="2">
        <v>2.199074074074074E-4</v>
      </c>
      <c r="G239" s="2">
        <v>2.1527777777777778E-3</v>
      </c>
      <c r="H239" s="2">
        <v>3.6342592592592594E-3</v>
      </c>
      <c r="I239" s="1">
        <v>0.77669999999999995</v>
      </c>
    </row>
    <row r="240" spans="1:9" x14ac:dyDescent="0.3">
      <c r="A240">
        <v>239</v>
      </c>
      <c r="B240">
        <v>175</v>
      </c>
      <c r="C240">
        <v>168</v>
      </c>
      <c r="D240" s="1">
        <v>0.96</v>
      </c>
      <c r="E240">
        <v>7</v>
      </c>
      <c r="F240" s="2">
        <v>2.8935185185185184E-4</v>
      </c>
      <c r="G240" s="2">
        <v>1.9791666666666668E-3</v>
      </c>
      <c r="H240" s="2">
        <v>2.5925925925925925E-3</v>
      </c>
      <c r="I240" s="1">
        <v>0.6512</v>
      </c>
    </row>
    <row r="241" spans="1:9" x14ac:dyDescent="0.3">
      <c r="A241">
        <v>240</v>
      </c>
      <c r="B241">
        <v>177</v>
      </c>
      <c r="C241">
        <v>167</v>
      </c>
      <c r="D241" s="1">
        <v>0.94350000000000001</v>
      </c>
      <c r="E241">
        <v>10</v>
      </c>
      <c r="F241" s="2">
        <v>2.5462962962962961E-4</v>
      </c>
      <c r="G241" s="2">
        <v>1.8634259259259259E-3</v>
      </c>
      <c r="H241" s="2">
        <v>3.0555555555555557E-3</v>
      </c>
      <c r="I241" s="1">
        <v>0.68389999999999995</v>
      </c>
    </row>
    <row r="242" spans="1:9" x14ac:dyDescent="0.3">
      <c r="A242">
        <v>241</v>
      </c>
      <c r="B242">
        <v>822</v>
      </c>
      <c r="C242">
        <v>767</v>
      </c>
      <c r="D242" s="1">
        <v>0.93310000000000004</v>
      </c>
      <c r="E242">
        <v>55</v>
      </c>
      <c r="F242" s="2">
        <v>2.7777777777777778E-4</v>
      </c>
      <c r="G242" s="2">
        <v>9.837962962962962E-4</v>
      </c>
      <c r="H242" s="2">
        <v>3.1828703703703702E-3</v>
      </c>
      <c r="I242" s="1">
        <v>0.64400000000000002</v>
      </c>
    </row>
    <row r="243" spans="1:9" x14ac:dyDescent="0.3">
      <c r="A243">
        <v>242</v>
      </c>
      <c r="B243">
        <v>87</v>
      </c>
      <c r="C243">
        <v>85</v>
      </c>
      <c r="D243" s="1">
        <v>0.97699999999999998</v>
      </c>
      <c r="E243">
        <v>2</v>
      </c>
      <c r="F243" s="2">
        <v>2.6620370370370372E-4</v>
      </c>
      <c r="G243" s="2">
        <v>1.6782407407407408E-3</v>
      </c>
      <c r="H243" s="2">
        <v>1.5856481481481481E-3</v>
      </c>
      <c r="I243" s="1">
        <v>0.67820000000000003</v>
      </c>
    </row>
    <row r="244" spans="1:9" x14ac:dyDescent="0.3">
      <c r="A244">
        <v>243</v>
      </c>
      <c r="B244">
        <v>41</v>
      </c>
      <c r="C244">
        <v>39</v>
      </c>
      <c r="D244" s="1">
        <v>0.95120000000000005</v>
      </c>
      <c r="E244">
        <v>2</v>
      </c>
      <c r="F244" s="2">
        <v>1.7361111111111112E-4</v>
      </c>
      <c r="G244" s="2">
        <v>1.8749999999999999E-3</v>
      </c>
      <c r="H244" s="2">
        <v>9.0277777777777774E-4</v>
      </c>
      <c r="I244" s="1">
        <v>0.82499999999999996</v>
      </c>
    </row>
    <row r="245" spans="1:9" x14ac:dyDescent="0.3">
      <c r="A245">
        <v>244</v>
      </c>
      <c r="B245">
        <v>280</v>
      </c>
      <c r="C245">
        <v>257</v>
      </c>
      <c r="D245" s="1">
        <v>0.91790000000000005</v>
      </c>
      <c r="E245">
        <v>23</v>
      </c>
      <c r="F245" s="2">
        <v>3.5879629629629629E-4</v>
      </c>
      <c r="G245" s="2">
        <v>1.7708333333333332E-3</v>
      </c>
      <c r="H245" s="2">
        <v>5.4976851851851853E-3</v>
      </c>
      <c r="I245" s="1">
        <v>0.63870000000000005</v>
      </c>
    </row>
    <row r="246" spans="1:9" x14ac:dyDescent="0.3">
      <c r="A246">
        <v>245</v>
      </c>
      <c r="B246">
        <v>199</v>
      </c>
      <c r="C246">
        <v>192</v>
      </c>
      <c r="D246" s="1">
        <v>0.96479999999999999</v>
      </c>
      <c r="E246">
        <v>7</v>
      </c>
      <c r="F246" s="2">
        <v>2.5462962962962961E-4</v>
      </c>
      <c r="G246" s="2">
        <v>1.9212962962962964E-3</v>
      </c>
      <c r="H246" s="2">
        <v>1.9444444444444444E-3</v>
      </c>
      <c r="I246" s="1">
        <v>0.73870000000000002</v>
      </c>
    </row>
    <row r="247" spans="1:9" x14ac:dyDescent="0.3">
      <c r="A247">
        <v>246</v>
      </c>
      <c r="B247">
        <v>252</v>
      </c>
      <c r="C247">
        <v>239</v>
      </c>
      <c r="D247" s="1">
        <v>0.94840000000000002</v>
      </c>
      <c r="E247">
        <v>13</v>
      </c>
      <c r="F247" s="2">
        <v>3.3564814814814812E-4</v>
      </c>
      <c r="G247" s="2">
        <v>1.724537037037037E-3</v>
      </c>
      <c r="H247" s="2">
        <v>2.5000000000000001E-3</v>
      </c>
      <c r="I247" s="1">
        <v>0.6492</v>
      </c>
    </row>
    <row r="248" spans="1:9" x14ac:dyDescent="0.3">
      <c r="A248">
        <v>247</v>
      </c>
      <c r="B248">
        <v>220</v>
      </c>
      <c r="C248">
        <v>208</v>
      </c>
      <c r="D248" s="1">
        <v>0.94550000000000001</v>
      </c>
      <c r="E248">
        <v>12</v>
      </c>
      <c r="F248" s="2">
        <v>2.3148148148148149E-4</v>
      </c>
      <c r="G248" s="2">
        <v>1.8055555555555555E-3</v>
      </c>
      <c r="H248" s="2">
        <v>1.9097222222222222E-3</v>
      </c>
      <c r="I248" s="1">
        <v>0.75590000000000002</v>
      </c>
    </row>
    <row r="249" spans="1:9" x14ac:dyDescent="0.3">
      <c r="A249">
        <v>248</v>
      </c>
      <c r="B249">
        <v>206</v>
      </c>
      <c r="C249">
        <v>193</v>
      </c>
      <c r="D249" s="1">
        <v>0.93689999999999996</v>
      </c>
      <c r="E249">
        <v>13</v>
      </c>
      <c r="F249" s="2">
        <v>2.7777777777777778E-4</v>
      </c>
      <c r="G249" s="2">
        <v>1.7013888888888888E-3</v>
      </c>
      <c r="H249" s="2">
        <v>2.5115740740740741E-3</v>
      </c>
      <c r="I249" s="1">
        <v>0.75490000000000002</v>
      </c>
    </row>
    <row r="250" spans="1:9" x14ac:dyDescent="0.3">
      <c r="A250">
        <v>249</v>
      </c>
      <c r="B250">
        <v>217</v>
      </c>
      <c r="C250">
        <v>206</v>
      </c>
      <c r="D250" s="1">
        <v>0.94930000000000003</v>
      </c>
      <c r="E250">
        <v>11</v>
      </c>
      <c r="F250" s="2">
        <v>2.5462962962962961E-4</v>
      </c>
      <c r="G250" s="2">
        <v>1.6898148148148148E-3</v>
      </c>
      <c r="H250" s="2">
        <v>1.4120370370370369E-3</v>
      </c>
      <c r="I250" s="1">
        <v>0.71030000000000004</v>
      </c>
    </row>
    <row r="251" spans="1:9" x14ac:dyDescent="0.3">
      <c r="A251">
        <v>250</v>
      </c>
      <c r="B251">
        <v>24</v>
      </c>
      <c r="C251">
        <v>24</v>
      </c>
      <c r="D251" s="1">
        <v>1</v>
      </c>
      <c r="E251">
        <v>0</v>
      </c>
      <c r="F251" s="2">
        <v>2.199074074074074E-4</v>
      </c>
      <c r="G251" s="2">
        <v>1.9675925925925924E-3</v>
      </c>
      <c r="H251" s="2">
        <v>7.7546296296296293E-4</v>
      </c>
      <c r="I251" s="1">
        <v>0.79169999999999996</v>
      </c>
    </row>
    <row r="252" spans="1:9" x14ac:dyDescent="0.3">
      <c r="A252">
        <v>251</v>
      </c>
      <c r="B252">
        <v>248</v>
      </c>
      <c r="C252">
        <v>238</v>
      </c>
      <c r="D252" s="1">
        <v>0.9597</v>
      </c>
      <c r="E252">
        <v>10</v>
      </c>
      <c r="F252" s="2">
        <v>1.5046296296296297E-4</v>
      </c>
      <c r="G252" s="2">
        <v>1.7013888888888888E-3</v>
      </c>
      <c r="H252" s="2">
        <v>1.2731481481481483E-3</v>
      </c>
      <c r="I252" s="1">
        <v>0.85250000000000004</v>
      </c>
    </row>
    <row r="253" spans="1:9" x14ac:dyDescent="0.3">
      <c r="A253">
        <v>252</v>
      </c>
      <c r="B253">
        <v>222</v>
      </c>
      <c r="C253">
        <v>212</v>
      </c>
      <c r="D253" s="1">
        <v>0.95499999999999996</v>
      </c>
      <c r="E253">
        <v>10</v>
      </c>
      <c r="F253" s="2">
        <v>2.3148148148148149E-4</v>
      </c>
      <c r="G253" s="2">
        <v>1.6782407407407408E-3</v>
      </c>
      <c r="H253" s="2">
        <v>2.5578703703703705E-3</v>
      </c>
      <c r="I253" s="1">
        <v>0.77729999999999999</v>
      </c>
    </row>
    <row r="254" spans="1:9" x14ac:dyDescent="0.3">
      <c r="A254">
        <v>253</v>
      </c>
      <c r="B254">
        <v>190</v>
      </c>
      <c r="C254">
        <v>178</v>
      </c>
      <c r="D254" s="1">
        <v>0.93679999999999997</v>
      </c>
      <c r="E254">
        <v>12</v>
      </c>
      <c r="F254" s="2">
        <v>3.7037037037037035E-4</v>
      </c>
      <c r="G254" s="2">
        <v>1.7013888888888888E-3</v>
      </c>
      <c r="H254" s="2">
        <v>1.9097222222222222E-3</v>
      </c>
      <c r="I254" s="1">
        <v>0.55079999999999996</v>
      </c>
    </row>
    <row r="255" spans="1:9" x14ac:dyDescent="0.3">
      <c r="A255">
        <v>254</v>
      </c>
      <c r="B255">
        <v>238</v>
      </c>
      <c r="C255">
        <v>231</v>
      </c>
      <c r="D255" s="1">
        <v>0.97060000000000002</v>
      </c>
      <c r="E255">
        <v>7</v>
      </c>
      <c r="F255" s="2">
        <v>2.3148148148148149E-4</v>
      </c>
      <c r="G255" s="2">
        <v>1.7013888888888888E-3</v>
      </c>
      <c r="H255" s="2">
        <v>1.4236111111111112E-3</v>
      </c>
      <c r="I255" s="1">
        <v>0.79659999999999997</v>
      </c>
    </row>
    <row r="256" spans="1:9" x14ac:dyDescent="0.3">
      <c r="A256">
        <v>255</v>
      </c>
      <c r="B256">
        <v>214</v>
      </c>
      <c r="C256">
        <v>205</v>
      </c>
      <c r="D256" s="1">
        <v>0.95789999999999997</v>
      </c>
      <c r="E256">
        <v>9</v>
      </c>
      <c r="F256" s="2">
        <v>2.3148148148148149E-4</v>
      </c>
      <c r="G256" s="2">
        <v>1.7824074074074075E-3</v>
      </c>
      <c r="H256" s="2">
        <v>1.7824074074074075E-3</v>
      </c>
      <c r="I256" s="1">
        <v>0.79049999999999998</v>
      </c>
    </row>
    <row r="257" spans="1:9" x14ac:dyDescent="0.3">
      <c r="A257">
        <v>256</v>
      </c>
      <c r="B257">
        <v>186</v>
      </c>
      <c r="C257">
        <v>176</v>
      </c>
      <c r="D257" s="1">
        <v>0.94620000000000004</v>
      </c>
      <c r="E257">
        <v>10</v>
      </c>
      <c r="F257" s="2">
        <v>2.6620370370370372E-4</v>
      </c>
      <c r="G257" s="2">
        <v>1.5625000000000001E-3</v>
      </c>
      <c r="H257" s="2">
        <v>3.5069444444444445E-3</v>
      </c>
      <c r="I257" s="1">
        <v>0.70879999999999999</v>
      </c>
    </row>
    <row r="258" spans="1:9" x14ac:dyDescent="0.3">
      <c r="A258">
        <v>257</v>
      </c>
      <c r="B258">
        <v>21</v>
      </c>
      <c r="C258">
        <v>20</v>
      </c>
      <c r="D258" s="1">
        <v>0.95240000000000002</v>
      </c>
      <c r="E258">
        <v>1</v>
      </c>
      <c r="F258" s="2">
        <v>1.6203703703703703E-4</v>
      </c>
      <c r="G258" s="2">
        <v>1.6782407407407408E-3</v>
      </c>
      <c r="H258" s="2">
        <v>6.2500000000000001E-4</v>
      </c>
      <c r="I258" s="1">
        <v>0.85</v>
      </c>
    </row>
    <row r="259" spans="1:9" x14ac:dyDescent="0.3">
      <c r="A259">
        <v>258</v>
      </c>
      <c r="B259">
        <v>169</v>
      </c>
      <c r="C259">
        <v>157</v>
      </c>
      <c r="D259" s="1">
        <v>0.92900000000000005</v>
      </c>
      <c r="E259">
        <v>12</v>
      </c>
      <c r="F259" s="2">
        <v>2.4305555555555555E-4</v>
      </c>
      <c r="G259" s="2">
        <v>1.724537037037037E-3</v>
      </c>
      <c r="H259" s="2">
        <v>3.1250000000000002E-3</v>
      </c>
      <c r="I259" s="1">
        <v>0.77710000000000001</v>
      </c>
    </row>
    <row r="260" spans="1:9" x14ac:dyDescent="0.3">
      <c r="A260">
        <v>259</v>
      </c>
      <c r="B260">
        <v>149</v>
      </c>
      <c r="C260">
        <v>141</v>
      </c>
      <c r="D260" s="1">
        <v>0.94630000000000003</v>
      </c>
      <c r="E260">
        <v>8</v>
      </c>
      <c r="F260" s="2">
        <v>1.8518518518518518E-4</v>
      </c>
      <c r="G260" s="2">
        <v>1.8287037037037037E-3</v>
      </c>
      <c r="H260" s="2">
        <v>1.8171296296296297E-3</v>
      </c>
      <c r="I260" s="1">
        <v>0.79049999999999998</v>
      </c>
    </row>
    <row r="261" spans="1:9" x14ac:dyDescent="0.3">
      <c r="A261">
        <v>260</v>
      </c>
      <c r="B261">
        <v>171</v>
      </c>
      <c r="C261">
        <v>164</v>
      </c>
      <c r="D261" s="1">
        <v>0.95909999999999995</v>
      </c>
      <c r="E261">
        <v>7</v>
      </c>
      <c r="F261" s="2">
        <v>2.199074074074074E-4</v>
      </c>
      <c r="G261" s="2">
        <v>1.6435185185185185E-3</v>
      </c>
      <c r="H261" s="2">
        <v>2.650462962962963E-3</v>
      </c>
      <c r="I261" s="1">
        <v>0.77190000000000003</v>
      </c>
    </row>
    <row r="262" spans="1:9" x14ac:dyDescent="0.3">
      <c r="A262">
        <v>261</v>
      </c>
      <c r="B262">
        <v>127</v>
      </c>
      <c r="C262">
        <v>122</v>
      </c>
      <c r="D262" s="1">
        <v>0.96060000000000001</v>
      </c>
      <c r="E262">
        <v>5</v>
      </c>
      <c r="F262" s="2">
        <v>1.5046296296296297E-4</v>
      </c>
      <c r="G262" s="2">
        <v>1.6435185185185185E-3</v>
      </c>
      <c r="H262" s="2">
        <v>9.837962962962962E-4</v>
      </c>
      <c r="I262" s="1">
        <v>0.878</v>
      </c>
    </row>
    <row r="263" spans="1:9" x14ac:dyDescent="0.3">
      <c r="A263">
        <v>262</v>
      </c>
      <c r="B263">
        <v>21</v>
      </c>
      <c r="C263">
        <v>21</v>
      </c>
      <c r="D263" s="1">
        <v>1</v>
      </c>
      <c r="E263">
        <v>0</v>
      </c>
      <c r="F263" s="2">
        <v>9.2592592592592588E-5</v>
      </c>
      <c r="G263" s="2">
        <v>2.1180555555555558E-3</v>
      </c>
      <c r="H263" s="2">
        <v>6.7129629629629625E-4</v>
      </c>
      <c r="I263" s="1">
        <v>0.90480000000000005</v>
      </c>
    </row>
    <row r="264" spans="1:9" x14ac:dyDescent="0.3">
      <c r="A264">
        <v>263</v>
      </c>
      <c r="B264">
        <v>5</v>
      </c>
      <c r="C264">
        <v>5</v>
      </c>
      <c r="D264" s="1">
        <v>1</v>
      </c>
      <c r="E264">
        <v>0</v>
      </c>
      <c r="F264" s="2">
        <v>1.6203703703703703E-4</v>
      </c>
      <c r="G264" s="2">
        <v>1.8171296296296297E-3</v>
      </c>
      <c r="H264" s="2">
        <v>6.8287037037037036E-4</v>
      </c>
      <c r="I264" s="1">
        <v>0.8</v>
      </c>
    </row>
    <row r="265" spans="1:9" x14ac:dyDescent="0.3">
      <c r="A265">
        <v>264</v>
      </c>
      <c r="B265">
        <v>33</v>
      </c>
      <c r="C265">
        <v>32</v>
      </c>
      <c r="D265" s="1">
        <v>0.96970000000000001</v>
      </c>
      <c r="E265">
        <v>1</v>
      </c>
      <c r="F265" s="2">
        <v>3.0092592592592595E-4</v>
      </c>
      <c r="G265" s="2">
        <v>1.4351851851851852E-3</v>
      </c>
      <c r="H265" s="2">
        <v>1.2152777777777778E-3</v>
      </c>
      <c r="I265" s="1">
        <v>0.66669999999999996</v>
      </c>
    </row>
    <row r="266" spans="1:9" x14ac:dyDescent="0.3">
      <c r="A266">
        <v>265</v>
      </c>
      <c r="B266">
        <v>145</v>
      </c>
      <c r="C266">
        <v>139</v>
      </c>
      <c r="D266" s="1">
        <v>0.95860000000000001</v>
      </c>
      <c r="E266">
        <v>6</v>
      </c>
      <c r="F266" s="2">
        <v>2.3148148148148149E-4</v>
      </c>
      <c r="G266" s="2">
        <v>1.712962962962963E-3</v>
      </c>
      <c r="H266" s="2">
        <v>2.5578703703703705E-3</v>
      </c>
      <c r="I266" s="1">
        <v>0.79020000000000001</v>
      </c>
    </row>
    <row r="267" spans="1:9" x14ac:dyDescent="0.3">
      <c r="A267">
        <v>266</v>
      </c>
      <c r="B267">
        <v>129</v>
      </c>
      <c r="C267">
        <v>127</v>
      </c>
      <c r="D267" s="1">
        <v>0.98450000000000004</v>
      </c>
      <c r="E267">
        <v>2</v>
      </c>
      <c r="F267" s="2">
        <v>2.199074074074074E-4</v>
      </c>
      <c r="G267" s="2">
        <v>1.5393518518518519E-3</v>
      </c>
      <c r="H267" s="2">
        <v>1.261574074074074E-3</v>
      </c>
      <c r="I267" s="1">
        <v>0.75590000000000002</v>
      </c>
    </row>
    <row r="268" spans="1:9" x14ac:dyDescent="0.3">
      <c r="A268">
        <v>267</v>
      </c>
      <c r="B268">
        <v>194</v>
      </c>
      <c r="C268">
        <v>178</v>
      </c>
      <c r="D268" s="1">
        <v>0.91749999999999998</v>
      </c>
      <c r="E268">
        <v>16</v>
      </c>
      <c r="F268" s="2">
        <v>3.0092592592592595E-4</v>
      </c>
      <c r="G268" s="2">
        <v>1.8055555555555555E-3</v>
      </c>
      <c r="H268" s="2">
        <v>3.7037037037037038E-3</v>
      </c>
      <c r="I268" s="1">
        <v>0.67190000000000005</v>
      </c>
    </row>
    <row r="269" spans="1:9" x14ac:dyDescent="0.3">
      <c r="A269">
        <v>268</v>
      </c>
      <c r="B269">
        <v>194</v>
      </c>
      <c r="C269">
        <v>187</v>
      </c>
      <c r="D269" s="1">
        <v>0.96389999999999998</v>
      </c>
      <c r="E269">
        <v>7</v>
      </c>
      <c r="F269" s="2">
        <v>2.7777777777777778E-4</v>
      </c>
      <c r="G269" s="2">
        <v>1.6782407407407408E-3</v>
      </c>
      <c r="H269" s="2">
        <v>2.5925925925925925E-3</v>
      </c>
      <c r="I269" s="1">
        <v>0.77249999999999996</v>
      </c>
    </row>
    <row r="270" spans="1:9" x14ac:dyDescent="0.3">
      <c r="A270">
        <v>269</v>
      </c>
      <c r="B270">
        <v>202</v>
      </c>
      <c r="C270">
        <v>195</v>
      </c>
      <c r="D270" s="1">
        <v>0.96530000000000005</v>
      </c>
      <c r="E270">
        <v>7</v>
      </c>
      <c r="F270" s="2">
        <v>2.4305555555555555E-4</v>
      </c>
      <c r="G270" s="2">
        <v>1.6319444444444445E-3</v>
      </c>
      <c r="H270" s="2">
        <v>2.0717592592592593E-3</v>
      </c>
      <c r="I270" s="1">
        <v>0.74750000000000005</v>
      </c>
    </row>
    <row r="271" spans="1:9" x14ac:dyDescent="0.3">
      <c r="A271">
        <v>270</v>
      </c>
      <c r="B271">
        <v>214</v>
      </c>
      <c r="C271">
        <v>208</v>
      </c>
      <c r="D271" s="1">
        <v>0.97199999999999998</v>
      </c>
      <c r="E271">
        <v>6</v>
      </c>
      <c r="F271" s="2">
        <v>1.5046296296296297E-4</v>
      </c>
      <c r="G271" s="2">
        <v>1.6087962962962963E-3</v>
      </c>
      <c r="H271" s="2">
        <v>6.5972222222222224E-4</v>
      </c>
      <c r="I271" s="1">
        <v>0.88149999999999995</v>
      </c>
    </row>
    <row r="272" spans="1:9" x14ac:dyDescent="0.3">
      <c r="A272">
        <v>271</v>
      </c>
      <c r="B272">
        <v>28</v>
      </c>
      <c r="C272">
        <v>28</v>
      </c>
      <c r="D272" s="1">
        <v>1</v>
      </c>
      <c r="E272">
        <v>0</v>
      </c>
      <c r="F272" s="2">
        <v>1.5046296296296297E-4</v>
      </c>
      <c r="G272" s="2">
        <v>1.5393518518518519E-3</v>
      </c>
      <c r="H272" s="2">
        <v>9.0277777777777774E-4</v>
      </c>
      <c r="I272" s="1">
        <v>0.89290000000000003</v>
      </c>
    </row>
    <row r="273" spans="1:9" x14ac:dyDescent="0.3">
      <c r="A273">
        <v>272</v>
      </c>
      <c r="B273">
        <v>191</v>
      </c>
      <c r="C273">
        <v>187</v>
      </c>
      <c r="D273" s="1">
        <v>0.97909999999999997</v>
      </c>
      <c r="E273">
        <v>4</v>
      </c>
      <c r="F273" s="2">
        <v>1.7361111111111112E-4</v>
      </c>
      <c r="G273" s="2">
        <v>1.6550925925925926E-3</v>
      </c>
      <c r="H273" s="2">
        <v>1.1574074074074073E-3</v>
      </c>
      <c r="I273" s="1">
        <v>0.82540000000000002</v>
      </c>
    </row>
    <row r="274" spans="1:9" x14ac:dyDescent="0.3">
      <c r="A274">
        <v>273</v>
      </c>
      <c r="B274">
        <v>205</v>
      </c>
      <c r="C274">
        <v>197</v>
      </c>
      <c r="D274" s="1">
        <v>0.96099999999999997</v>
      </c>
      <c r="E274">
        <v>8</v>
      </c>
      <c r="F274" s="2">
        <v>2.4305555555555555E-4</v>
      </c>
      <c r="G274" s="2">
        <v>1.7013888888888888E-3</v>
      </c>
      <c r="H274" s="2">
        <v>1.6550925925925926E-3</v>
      </c>
      <c r="I274" s="1">
        <v>0.74380000000000002</v>
      </c>
    </row>
    <row r="275" spans="1:9" x14ac:dyDescent="0.3">
      <c r="A275">
        <v>274</v>
      </c>
      <c r="B275">
        <v>198</v>
      </c>
      <c r="C275">
        <v>196</v>
      </c>
      <c r="D275" s="1">
        <v>0.9899</v>
      </c>
      <c r="E275">
        <v>2</v>
      </c>
      <c r="F275" s="2">
        <v>2.6620370370370372E-4</v>
      </c>
      <c r="G275" s="2">
        <v>1.712962962962963E-3</v>
      </c>
      <c r="H275" s="2">
        <v>1.4236111111111112E-3</v>
      </c>
      <c r="I275" s="1">
        <v>0.73599999999999999</v>
      </c>
    </row>
    <row r="276" spans="1:9" x14ac:dyDescent="0.3">
      <c r="A276">
        <v>275</v>
      </c>
      <c r="B276">
        <v>184</v>
      </c>
      <c r="C276">
        <v>177</v>
      </c>
      <c r="D276" s="1">
        <v>0.96199999999999997</v>
      </c>
      <c r="E276">
        <v>7</v>
      </c>
      <c r="F276" s="2">
        <v>2.3148148148148149E-4</v>
      </c>
      <c r="G276" s="2">
        <v>1.8634259259259259E-3</v>
      </c>
      <c r="H276" s="2">
        <v>1.2731481481481483E-3</v>
      </c>
      <c r="I276" s="1">
        <v>0.78569999999999995</v>
      </c>
    </row>
    <row r="277" spans="1:9" x14ac:dyDescent="0.3">
      <c r="A277">
        <v>276</v>
      </c>
      <c r="B277">
        <v>184</v>
      </c>
      <c r="C277">
        <v>174</v>
      </c>
      <c r="D277" s="1">
        <v>0.94569999999999999</v>
      </c>
      <c r="E277">
        <v>10</v>
      </c>
      <c r="F277" s="2">
        <v>2.8935185185185184E-4</v>
      </c>
      <c r="G277" s="2">
        <v>1.7013888888888888E-3</v>
      </c>
      <c r="H277" s="2">
        <v>1.9328703703703704E-3</v>
      </c>
      <c r="I277" s="1">
        <v>0.7</v>
      </c>
    </row>
    <row r="278" spans="1:9" x14ac:dyDescent="0.3">
      <c r="A278">
        <v>277</v>
      </c>
      <c r="B278">
        <v>168</v>
      </c>
      <c r="C278">
        <v>160</v>
      </c>
      <c r="D278" s="1">
        <v>0.95240000000000002</v>
      </c>
      <c r="E278">
        <v>8</v>
      </c>
      <c r="F278" s="2">
        <v>3.0092592592592595E-4</v>
      </c>
      <c r="G278" s="2">
        <v>1.6782407407407408E-3</v>
      </c>
      <c r="H278" s="2">
        <v>1.4351851851851852E-3</v>
      </c>
      <c r="I278" s="1">
        <v>0.68259999999999998</v>
      </c>
    </row>
    <row r="279" spans="1:9" x14ac:dyDescent="0.3">
      <c r="A279">
        <v>278</v>
      </c>
      <c r="B279">
        <v>39</v>
      </c>
      <c r="C279">
        <v>37</v>
      </c>
      <c r="D279" s="1">
        <v>0.94869999999999999</v>
      </c>
      <c r="E279">
        <v>2</v>
      </c>
      <c r="F279" s="2">
        <v>1.6203703703703703E-4</v>
      </c>
      <c r="G279" s="2">
        <v>1.4814814814814814E-3</v>
      </c>
      <c r="H279" s="2">
        <v>7.291666666666667E-4</v>
      </c>
      <c r="I279" s="1">
        <v>0.81079999999999997</v>
      </c>
    </row>
    <row r="280" spans="1:9" x14ac:dyDescent="0.3">
      <c r="A280">
        <v>279</v>
      </c>
      <c r="B280">
        <v>225</v>
      </c>
      <c r="C280">
        <v>210</v>
      </c>
      <c r="D280" s="1">
        <v>0.93330000000000002</v>
      </c>
      <c r="E280">
        <v>15</v>
      </c>
      <c r="F280" s="2">
        <v>3.2407407407407406E-4</v>
      </c>
      <c r="G280" s="2">
        <v>1.5393518518518519E-3</v>
      </c>
      <c r="H280" s="2">
        <v>1.7708333333333332E-3</v>
      </c>
      <c r="I280" s="1">
        <v>0.66969999999999996</v>
      </c>
    </row>
    <row r="281" spans="1:9" x14ac:dyDescent="0.3">
      <c r="A281">
        <v>280</v>
      </c>
      <c r="B281">
        <v>182</v>
      </c>
      <c r="C281">
        <v>174</v>
      </c>
      <c r="D281" s="1">
        <v>0.95599999999999996</v>
      </c>
      <c r="E281">
        <v>8</v>
      </c>
      <c r="F281" s="2">
        <v>3.7037037037037035E-4</v>
      </c>
      <c r="G281" s="2">
        <v>1.5740740740740741E-3</v>
      </c>
      <c r="H281" s="2">
        <v>2.7314814814814814E-3</v>
      </c>
      <c r="I281" s="1">
        <v>0.60219999999999996</v>
      </c>
    </row>
    <row r="282" spans="1:9" x14ac:dyDescent="0.3">
      <c r="A282">
        <v>281</v>
      </c>
      <c r="B282">
        <v>346</v>
      </c>
      <c r="C282">
        <v>305</v>
      </c>
      <c r="D282" s="1">
        <v>0.88149999999999995</v>
      </c>
      <c r="E282">
        <v>41</v>
      </c>
      <c r="F282" s="2">
        <v>5.2083333333333333E-4</v>
      </c>
      <c r="G282" s="2">
        <v>1.3541666666666667E-3</v>
      </c>
      <c r="H282" s="2">
        <v>3.5532407407407409E-3</v>
      </c>
      <c r="I282" s="1">
        <v>0.45029999999999998</v>
      </c>
    </row>
    <row r="283" spans="1:9" x14ac:dyDescent="0.3">
      <c r="A283">
        <v>282</v>
      </c>
      <c r="B283">
        <v>450</v>
      </c>
      <c r="C283">
        <v>441</v>
      </c>
      <c r="D283" s="1">
        <v>0.98</v>
      </c>
      <c r="E283">
        <v>9</v>
      </c>
      <c r="F283" s="2">
        <v>2.199074074074074E-4</v>
      </c>
      <c r="G283" s="2">
        <v>1.3078703703703703E-3</v>
      </c>
      <c r="H283" s="2">
        <v>1.7476851851851852E-3</v>
      </c>
      <c r="I283" s="1">
        <v>0.78300000000000003</v>
      </c>
    </row>
    <row r="284" spans="1:9" x14ac:dyDescent="0.3">
      <c r="A284">
        <v>283</v>
      </c>
      <c r="B284">
        <v>259</v>
      </c>
      <c r="C284">
        <v>248</v>
      </c>
      <c r="D284" s="1">
        <v>0.95750000000000002</v>
      </c>
      <c r="E284">
        <v>11</v>
      </c>
      <c r="F284" s="2">
        <v>2.3148148148148149E-4</v>
      </c>
      <c r="G284" s="2">
        <v>1.4583333333333334E-3</v>
      </c>
      <c r="H284" s="2">
        <v>1.2847222222222223E-3</v>
      </c>
      <c r="I284" s="1">
        <v>0.75390000000000001</v>
      </c>
    </row>
    <row r="285" spans="1:9" x14ac:dyDescent="0.3">
      <c r="A285">
        <v>284</v>
      </c>
      <c r="B285">
        <v>231</v>
      </c>
      <c r="C285">
        <v>214</v>
      </c>
      <c r="D285" s="1">
        <v>0.9264</v>
      </c>
      <c r="E285">
        <v>17</v>
      </c>
      <c r="F285" s="2">
        <v>2.0833333333333335E-4</v>
      </c>
      <c r="G285" s="2">
        <v>1.4583333333333334E-3</v>
      </c>
      <c r="H285" s="2">
        <v>1.7476851851851852E-3</v>
      </c>
      <c r="I285" s="1">
        <v>0.79559999999999997</v>
      </c>
    </row>
    <row r="286" spans="1:9" x14ac:dyDescent="0.3">
      <c r="A286">
        <v>285</v>
      </c>
      <c r="B286">
        <v>48</v>
      </c>
      <c r="C286">
        <v>47</v>
      </c>
      <c r="D286" s="1">
        <v>0.97919999999999996</v>
      </c>
      <c r="E286">
        <v>1</v>
      </c>
      <c r="F286" s="2">
        <v>1.5046296296296297E-4</v>
      </c>
      <c r="G286" s="2">
        <v>1.4236111111111112E-3</v>
      </c>
      <c r="H286" s="2">
        <v>1.2268518518518518E-3</v>
      </c>
      <c r="I286" s="1">
        <v>0.89580000000000004</v>
      </c>
    </row>
    <row r="287" spans="1:9" x14ac:dyDescent="0.3">
      <c r="A287">
        <v>286</v>
      </c>
      <c r="B287">
        <v>246</v>
      </c>
      <c r="C287">
        <v>236</v>
      </c>
      <c r="D287" s="1">
        <v>0.95930000000000004</v>
      </c>
      <c r="E287">
        <v>10</v>
      </c>
      <c r="F287" s="2">
        <v>2.3148148148148149E-4</v>
      </c>
      <c r="G287" s="2">
        <v>1.5162037037037036E-3</v>
      </c>
      <c r="H287" s="2">
        <v>3.1944444444444446E-3</v>
      </c>
      <c r="I287" s="1">
        <v>0.79179999999999995</v>
      </c>
    </row>
    <row r="288" spans="1:9" x14ac:dyDescent="0.3">
      <c r="A288">
        <v>287</v>
      </c>
      <c r="B288">
        <v>202</v>
      </c>
      <c r="C288">
        <v>195</v>
      </c>
      <c r="D288" s="1">
        <v>0.96530000000000005</v>
      </c>
      <c r="E288">
        <v>7</v>
      </c>
      <c r="F288" s="2">
        <v>2.8935185185185184E-4</v>
      </c>
      <c r="G288" s="2">
        <v>1.5625000000000001E-3</v>
      </c>
      <c r="H288" s="2">
        <v>3.8541666666666668E-3</v>
      </c>
      <c r="I288" s="1">
        <v>0.745</v>
      </c>
    </row>
    <row r="289" spans="1:9" x14ac:dyDescent="0.3">
      <c r="A289">
        <v>288</v>
      </c>
      <c r="B289">
        <v>153</v>
      </c>
      <c r="C289">
        <v>150</v>
      </c>
      <c r="D289" s="1">
        <v>0.98040000000000005</v>
      </c>
      <c r="E289">
        <v>3</v>
      </c>
      <c r="F289" s="2">
        <v>1.7361111111111112E-4</v>
      </c>
      <c r="G289" s="2">
        <v>1.5625000000000001E-3</v>
      </c>
      <c r="H289" s="2">
        <v>1.5277777777777779E-3</v>
      </c>
      <c r="I289" s="1">
        <v>0.82240000000000002</v>
      </c>
    </row>
    <row r="290" spans="1:9" x14ac:dyDescent="0.3">
      <c r="A290">
        <v>289</v>
      </c>
      <c r="B290">
        <v>178</v>
      </c>
      <c r="C290">
        <v>172</v>
      </c>
      <c r="D290" s="1">
        <v>0.96630000000000005</v>
      </c>
      <c r="E290">
        <v>6</v>
      </c>
      <c r="F290" s="2">
        <v>2.199074074074074E-4</v>
      </c>
      <c r="G290" s="2">
        <v>1.5625000000000001E-3</v>
      </c>
      <c r="H290" s="2">
        <v>3.1828703703703702E-3</v>
      </c>
      <c r="I290" s="1">
        <v>0.78290000000000004</v>
      </c>
    </row>
    <row r="291" spans="1:9" x14ac:dyDescent="0.3">
      <c r="A291">
        <v>290</v>
      </c>
      <c r="B291">
        <v>172</v>
      </c>
      <c r="C291">
        <v>165</v>
      </c>
      <c r="D291" s="1">
        <v>0.95930000000000004</v>
      </c>
      <c r="E291">
        <v>7</v>
      </c>
      <c r="F291" s="2">
        <v>2.199074074074074E-4</v>
      </c>
      <c r="G291" s="2">
        <v>1.6666666666666668E-3</v>
      </c>
      <c r="H291" s="2">
        <v>2.3611111111111111E-3</v>
      </c>
      <c r="I291" s="1">
        <v>0.79290000000000005</v>
      </c>
    </row>
    <row r="292" spans="1:9" x14ac:dyDescent="0.3">
      <c r="A292">
        <v>291</v>
      </c>
      <c r="B292">
        <v>208</v>
      </c>
      <c r="C292">
        <v>200</v>
      </c>
      <c r="D292" s="1">
        <v>0.96150000000000002</v>
      </c>
      <c r="E292">
        <v>8</v>
      </c>
      <c r="F292" s="2">
        <v>3.0092592592592595E-4</v>
      </c>
      <c r="G292" s="2">
        <v>1.6550925925925926E-3</v>
      </c>
      <c r="H292" s="2">
        <v>2.2569444444444442E-3</v>
      </c>
      <c r="I292" s="1">
        <v>0.68779999999999997</v>
      </c>
    </row>
    <row r="293" spans="1:9" x14ac:dyDescent="0.3">
      <c r="A293">
        <v>292</v>
      </c>
      <c r="B293">
        <v>77</v>
      </c>
      <c r="C293">
        <v>76</v>
      </c>
      <c r="D293" s="1">
        <v>0.98699999999999999</v>
      </c>
      <c r="E293">
        <v>1</v>
      </c>
      <c r="F293" s="2">
        <v>3.3564814814814812E-4</v>
      </c>
      <c r="G293" s="2">
        <v>1.5740740740740741E-3</v>
      </c>
      <c r="H293" s="2">
        <v>1.3194444444444445E-3</v>
      </c>
      <c r="I293" s="1">
        <v>0.58440000000000003</v>
      </c>
    </row>
    <row r="294" spans="1:9" x14ac:dyDescent="0.3">
      <c r="A294">
        <v>293</v>
      </c>
      <c r="B294">
        <v>291</v>
      </c>
      <c r="C294">
        <v>250</v>
      </c>
      <c r="D294" s="1">
        <v>0.85909999999999997</v>
      </c>
      <c r="E294">
        <v>41</v>
      </c>
      <c r="F294" s="2">
        <v>4.7453703703703704E-4</v>
      </c>
      <c r="G294" s="2">
        <v>1.6203703703703703E-3</v>
      </c>
      <c r="H294" s="2">
        <v>4.9768518518518521E-3</v>
      </c>
      <c r="I294" s="1">
        <v>0.5544</v>
      </c>
    </row>
    <row r="295" spans="1:9" x14ac:dyDescent="0.3">
      <c r="A295">
        <v>294</v>
      </c>
      <c r="B295">
        <v>219</v>
      </c>
      <c r="C295">
        <v>212</v>
      </c>
      <c r="D295" s="1">
        <v>0.96799999999999997</v>
      </c>
      <c r="E295">
        <v>7</v>
      </c>
      <c r="F295" s="2">
        <v>2.4305555555555555E-4</v>
      </c>
      <c r="G295" s="2">
        <v>1.6087962962962963E-3</v>
      </c>
      <c r="H295" s="2">
        <v>1.2731481481481483E-3</v>
      </c>
      <c r="I295" s="1">
        <v>0.76849999999999996</v>
      </c>
    </row>
    <row r="296" spans="1:9" x14ac:dyDescent="0.3">
      <c r="A296">
        <v>295</v>
      </c>
      <c r="B296">
        <v>173</v>
      </c>
      <c r="C296">
        <v>169</v>
      </c>
      <c r="D296" s="1">
        <v>0.97689999999999999</v>
      </c>
      <c r="E296">
        <v>4</v>
      </c>
      <c r="F296" s="2">
        <v>2.0833333333333335E-4</v>
      </c>
      <c r="G296" s="2">
        <v>1.5393518518518519E-3</v>
      </c>
      <c r="H296" s="2">
        <v>1.5509259259259259E-3</v>
      </c>
      <c r="I296" s="1">
        <v>0.81399999999999995</v>
      </c>
    </row>
    <row r="297" spans="1:9" x14ac:dyDescent="0.3">
      <c r="A297">
        <v>296</v>
      </c>
      <c r="B297">
        <v>204</v>
      </c>
      <c r="C297">
        <v>197</v>
      </c>
      <c r="D297" s="1">
        <v>0.9657</v>
      </c>
      <c r="E297">
        <v>7</v>
      </c>
      <c r="F297" s="2">
        <v>1.9675925925925926E-4</v>
      </c>
      <c r="G297" s="2">
        <v>1.6550925925925926E-3</v>
      </c>
      <c r="H297" s="2">
        <v>1.3541666666666667E-3</v>
      </c>
      <c r="I297" s="1">
        <v>0.8</v>
      </c>
    </row>
    <row r="298" spans="1:9" x14ac:dyDescent="0.3">
      <c r="A298">
        <v>297</v>
      </c>
      <c r="B298">
        <v>216</v>
      </c>
      <c r="C298">
        <v>185</v>
      </c>
      <c r="D298" s="1">
        <v>0.85650000000000004</v>
      </c>
      <c r="E298">
        <v>31</v>
      </c>
      <c r="F298" s="2">
        <v>3.4722222222222224E-4</v>
      </c>
      <c r="G298" s="2">
        <v>1.5856481481481481E-3</v>
      </c>
      <c r="H298" s="2">
        <v>4.4675925925925924E-3</v>
      </c>
      <c r="I298" s="1">
        <v>0.61429999999999996</v>
      </c>
    </row>
    <row r="299" spans="1:9" x14ac:dyDescent="0.3">
      <c r="A299">
        <v>298</v>
      </c>
      <c r="B299">
        <v>461</v>
      </c>
      <c r="C299">
        <v>441</v>
      </c>
      <c r="D299" s="1">
        <v>0.95660000000000001</v>
      </c>
      <c r="E299">
        <v>20</v>
      </c>
      <c r="F299" s="2">
        <v>3.4722222222222224E-4</v>
      </c>
      <c r="G299" s="2">
        <v>1.5972222222222223E-3</v>
      </c>
      <c r="H299" s="2">
        <v>2.5462962962962965E-3</v>
      </c>
      <c r="I299" s="1">
        <v>0.6149</v>
      </c>
    </row>
    <row r="300" spans="1:9" x14ac:dyDescent="0.3">
      <c r="A300">
        <v>299</v>
      </c>
      <c r="B300">
        <v>56</v>
      </c>
      <c r="C300">
        <v>55</v>
      </c>
      <c r="D300" s="1">
        <v>0.98209999999999997</v>
      </c>
      <c r="E300">
        <v>1</v>
      </c>
      <c r="F300" s="2">
        <v>3.0092592592592595E-4</v>
      </c>
      <c r="G300" s="2">
        <v>1.5162037037037036E-3</v>
      </c>
      <c r="H300" s="2">
        <v>1.3078703703703703E-3</v>
      </c>
      <c r="I300" s="1">
        <v>0.66069999999999995</v>
      </c>
    </row>
    <row r="301" spans="1:9" x14ac:dyDescent="0.3">
      <c r="A301">
        <v>300</v>
      </c>
      <c r="B301">
        <v>192</v>
      </c>
      <c r="C301">
        <v>176</v>
      </c>
      <c r="D301" s="1">
        <v>0.91669999999999996</v>
      </c>
      <c r="E301">
        <v>16</v>
      </c>
      <c r="F301" s="2">
        <v>2.6620370370370372E-4</v>
      </c>
      <c r="G301" s="2">
        <v>1.4467592592592592E-3</v>
      </c>
      <c r="H301" s="2">
        <v>1.9328703703703704E-3</v>
      </c>
      <c r="I301" s="1">
        <v>0.68279999999999996</v>
      </c>
    </row>
    <row r="302" spans="1:9" x14ac:dyDescent="0.3">
      <c r="A302">
        <v>301</v>
      </c>
      <c r="B302">
        <v>382</v>
      </c>
      <c r="C302">
        <v>365</v>
      </c>
      <c r="D302" s="1">
        <v>0.95550000000000002</v>
      </c>
      <c r="E302">
        <v>17</v>
      </c>
      <c r="F302" s="2">
        <v>2.3148148148148149E-4</v>
      </c>
      <c r="G302" s="2">
        <v>1.0995370370370371E-3</v>
      </c>
      <c r="H302" s="2">
        <v>2.0023148148148148E-3</v>
      </c>
      <c r="I302" s="1">
        <v>0.73140000000000005</v>
      </c>
    </row>
    <row r="303" spans="1:9" x14ac:dyDescent="0.3">
      <c r="A303">
        <v>302</v>
      </c>
      <c r="B303">
        <v>246</v>
      </c>
      <c r="C303">
        <v>223</v>
      </c>
      <c r="D303" s="1">
        <v>0.90649999999999997</v>
      </c>
      <c r="E303">
        <v>23</v>
      </c>
      <c r="F303" s="2">
        <v>2.8935185185185184E-4</v>
      </c>
      <c r="G303" s="2">
        <v>1.5509259259259259E-3</v>
      </c>
      <c r="H303" s="2">
        <v>3.7499999999999999E-3</v>
      </c>
      <c r="I303" s="1">
        <v>0.7167</v>
      </c>
    </row>
    <row r="304" spans="1:9" x14ac:dyDescent="0.3">
      <c r="A304">
        <v>303</v>
      </c>
      <c r="B304">
        <v>48</v>
      </c>
      <c r="C304">
        <v>46</v>
      </c>
      <c r="D304" s="1">
        <v>0.95830000000000004</v>
      </c>
      <c r="E304">
        <v>2</v>
      </c>
      <c r="F304" s="2">
        <v>3.0092592592592595E-4</v>
      </c>
      <c r="G304" s="2">
        <v>1.5509259259259259E-3</v>
      </c>
      <c r="H304" s="2">
        <v>9.837962962962962E-4</v>
      </c>
      <c r="I304" s="1">
        <v>0.72340000000000004</v>
      </c>
    </row>
    <row r="305" spans="1:9" x14ac:dyDescent="0.3">
      <c r="A305">
        <v>304</v>
      </c>
      <c r="B305">
        <v>221</v>
      </c>
      <c r="C305">
        <v>205</v>
      </c>
      <c r="D305" s="1">
        <v>0.92759999999999998</v>
      </c>
      <c r="E305">
        <v>16</v>
      </c>
      <c r="F305" s="2">
        <v>3.0092592592592595E-4</v>
      </c>
      <c r="G305" s="2">
        <v>1.5625000000000001E-3</v>
      </c>
      <c r="H305" s="2">
        <v>2.2569444444444442E-3</v>
      </c>
      <c r="I305" s="1">
        <v>0.63080000000000003</v>
      </c>
    </row>
    <row r="306" spans="1:9" x14ac:dyDescent="0.3">
      <c r="A306">
        <v>305</v>
      </c>
      <c r="B306">
        <v>275</v>
      </c>
      <c r="C306">
        <v>261</v>
      </c>
      <c r="D306" s="1">
        <v>0.94910000000000005</v>
      </c>
      <c r="E306">
        <v>14</v>
      </c>
      <c r="F306" s="2">
        <v>3.8194444444444446E-4</v>
      </c>
      <c r="G306" s="2">
        <v>1.6087962962962963E-3</v>
      </c>
      <c r="H306" s="2">
        <v>2.0601851851851853E-3</v>
      </c>
      <c r="I306" s="1">
        <v>0.58520000000000005</v>
      </c>
    </row>
    <row r="307" spans="1:9" x14ac:dyDescent="0.3">
      <c r="A307">
        <v>306</v>
      </c>
      <c r="B307">
        <v>39</v>
      </c>
      <c r="C307">
        <v>36</v>
      </c>
      <c r="D307" s="1">
        <v>0.92310000000000003</v>
      </c>
      <c r="E307">
        <v>3</v>
      </c>
      <c r="F307" s="2">
        <v>2.199074074074074E-4</v>
      </c>
      <c r="G307" s="2">
        <v>1.3078703703703703E-3</v>
      </c>
      <c r="H307" s="2">
        <v>1.2962962962962963E-3</v>
      </c>
      <c r="I307" s="1">
        <v>0.77780000000000005</v>
      </c>
    </row>
    <row r="308" spans="1:9" x14ac:dyDescent="0.3">
      <c r="A308">
        <v>307</v>
      </c>
      <c r="B308">
        <v>250</v>
      </c>
      <c r="C308">
        <v>236</v>
      </c>
      <c r="D308" s="1">
        <v>0.94399999999999995</v>
      </c>
      <c r="E308">
        <v>14</v>
      </c>
      <c r="F308" s="2">
        <v>3.3564814814814812E-4</v>
      </c>
      <c r="G308" s="2">
        <v>1.4814814814814814E-3</v>
      </c>
      <c r="H308" s="2">
        <v>2.8587962962962963E-3</v>
      </c>
      <c r="I308" s="1">
        <v>0.59040000000000004</v>
      </c>
    </row>
    <row r="309" spans="1:9" x14ac:dyDescent="0.3">
      <c r="A309">
        <v>308</v>
      </c>
      <c r="B309">
        <v>197</v>
      </c>
      <c r="C309">
        <v>184</v>
      </c>
      <c r="D309" s="1">
        <v>0.93400000000000005</v>
      </c>
      <c r="E309">
        <v>13</v>
      </c>
      <c r="F309" s="2">
        <v>3.3564814814814812E-4</v>
      </c>
      <c r="G309" s="2">
        <v>1.6550925925925926E-3</v>
      </c>
      <c r="H309" s="2">
        <v>2.5578703703703705E-3</v>
      </c>
      <c r="I309" s="1">
        <v>0.55610000000000004</v>
      </c>
    </row>
    <row r="310" spans="1:9" x14ac:dyDescent="0.3">
      <c r="A310">
        <v>309</v>
      </c>
      <c r="B310">
        <v>223</v>
      </c>
      <c r="C310">
        <v>208</v>
      </c>
      <c r="D310" s="1">
        <v>0.93269999999999997</v>
      </c>
      <c r="E310">
        <v>15</v>
      </c>
      <c r="F310" s="2">
        <v>3.2407407407407406E-4</v>
      </c>
      <c r="G310" s="2">
        <v>1.6319444444444445E-3</v>
      </c>
      <c r="H310" s="2">
        <v>4.7569444444444447E-3</v>
      </c>
      <c r="I310" s="1">
        <v>0.72270000000000001</v>
      </c>
    </row>
    <row r="311" spans="1:9" x14ac:dyDescent="0.3">
      <c r="A311">
        <v>310</v>
      </c>
      <c r="B311">
        <v>240</v>
      </c>
      <c r="C311">
        <v>236</v>
      </c>
      <c r="D311" s="1">
        <v>0.98329999999999995</v>
      </c>
      <c r="E311">
        <v>4</v>
      </c>
      <c r="F311" s="2">
        <v>2.0833333333333335E-4</v>
      </c>
      <c r="G311" s="2">
        <v>1.5509259259259259E-3</v>
      </c>
      <c r="H311" s="2">
        <v>1.4814814814814814E-3</v>
      </c>
      <c r="I311" s="1">
        <v>0.7792</v>
      </c>
    </row>
    <row r="312" spans="1:9" x14ac:dyDescent="0.3">
      <c r="A312">
        <v>311</v>
      </c>
      <c r="B312">
        <v>55</v>
      </c>
      <c r="C312">
        <v>52</v>
      </c>
      <c r="D312" s="1">
        <v>0.94550000000000001</v>
      </c>
      <c r="E312">
        <v>3</v>
      </c>
      <c r="F312" s="2">
        <v>1.8518518518518518E-4</v>
      </c>
      <c r="G312" s="2">
        <v>1.6087962962962963E-3</v>
      </c>
      <c r="H312" s="2">
        <v>1.1805555555555556E-3</v>
      </c>
      <c r="I312" s="1">
        <v>0.78180000000000005</v>
      </c>
    </row>
    <row r="313" spans="1:9" x14ac:dyDescent="0.3">
      <c r="A313">
        <v>312</v>
      </c>
      <c r="B313">
        <v>59</v>
      </c>
      <c r="C313">
        <v>54</v>
      </c>
      <c r="D313" s="1">
        <v>0.9153</v>
      </c>
      <c r="E313">
        <v>5</v>
      </c>
      <c r="F313" s="2">
        <v>9.2592592592592588E-5</v>
      </c>
      <c r="G313" s="2">
        <v>1.4583333333333334E-3</v>
      </c>
      <c r="H313" s="2">
        <v>1.4004629629629629E-3</v>
      </c>
      <c r="I313" s="1">
        <v>0.84750000000000003</v>
      </c>
    </row>
    <row r="314" spans="1:9" x14ac:dyDescent="0.3">
      <c r="A314">
        <v>313</v>
      </c>
      <c r="B314">
        <v>36</v>
      </c>
      <c r="C314">
        <v>31</v>
      </c>
      <c r="D314" s="1">
        <v>0.86109999999999998</v>
      </c>
      <c r="E314">
        <v>5</v>
      </c>
      <c r="F314" s="2">
        <v>1.273148148148148E-4</v>
      </c>
      <c r="G314" s="2">
        <v>1.6435185185185185E-3</v>
      </c>
      <c r="H314" s="2">
        <v>1.3425925925925925E-3</v>
      </c>
      <c r="I314" s="1">
        <v>0.72219999999999995</v>
      </c>
    </row>
    <row r="315" spans="1:9" x14ac:dyDescent="0.3">
      <c r="A315">
        <v>314</v>
      </c>
      <c r="B315">
        <v>229</v>
      </c>
      <c r="C315">
        <v>219</v>
      </c>
      <c r="D315" s="1">
        <v>0.95630000000000004</v>
      </c>
      <c r="E315">
        <v>10</v>
      </c>
      <c r="F315" s="2">
        <v>1.5046296296296297E-4</v>
      </c>
      <c r="G315" s="2">
        <v>1.4699074074074074E-3</v>
      </c>
      <c r="H315" s="2">
        <v>1.7939814814814815E-3</v>
      </c>
      <c r="I315" s="1">
        <v>0.84889999999999999</v>
      </c>
    </row>
    <row r="316" spans="1:9" x14ac:dyDescent="0.3">
      <c r="A316">
        <v>315</v>
      </c>
      <c r="B316">
        <v>206</v>
      </c>
      <c r="C316">
        <v>189</v>
      </c>
      <c r="D316" s="1">
        <v>0.91749999999999998</v>
      </c>
      <c r="E316">
        <v>17</v>
      </c>
      <c r="F316" s="2">
        <v>1.7361111111111112E-4</v>
      </c>
      <c r="G316" s="2">
        <v>1.6087962962962963E-3</v>
      </c>
      <c r="H316" s="2">
        <v>2.638888888888889E-3</v>
      </c>
      <c r="I316" s="1">
        <v>0.82830000000000004</v>
      </c>
    </row>
    <row r="317" spans="1:9" x14ac:dyDescent="0.3">
      <c r="A317">
        <v>316</v>
      </c>
      <c r="B317">
        <v>225</v>
      </c>
      <c r="C317">
        <v>200</v>
      </c>
      <c r="D317" s="1">
        <v>0.88890000000000002</v>
      </c>
      <c r="E317">
        <v>25</v>
      </c>
      <c r="F317" s="2">
        <v>2.4305555555555555E-4</v>
      </c>
      <c r="G317" s="2">
        <v>1.6319444444444445E-3</v>
      </c>
      <c r="H317" s="2">
        <v>3.2638888888888891E-3</v>
      </c>
      <c r="I317" s="1">
        <v>0.73109999999999997</v>
      </c>
    </row>
    <row r="318" spans="1:9" x14ac:dyDescent="0.3">
      <c r="A318">
        <v>317</v>
      </c>
      <c r="B318">
        <v>200</v>
      </c>
      <c r="C318">
        <v>193</v>
      </c>
      <c r="D318" s="1">
        <v>0.96499999999999997</v>
      </c>
      <c r="E318">
        <v>7</v>
      </c>
      <c r="F318" s="2">
        <v>1.9675925925925926E-4</v>
      </c>
      <c r="G318" s="2">
        <v>1.6550925925925926E-3</v>
      </c>
      <c r="H318" s="2">
        <v>2.5462962962962965E-3</v>
      </c>
      <c r="I318" s="1">
        <v>0.79290000000000005</v>
      </c>
    </row>
    <row r="319" spans="1:9" x14ac:dyDescent="0.3">
      <c r="A319">
        <v>318</v>
      </c>
      <c r="B319">
        <v>189</v>
      </c>
      <c r="C319">
        <v>179</v>
      </c>
      <c r="D319" s="1">
        <v>0.94710000000000005</v>
      </c>
      <c r="E319">
        <v>10</v>
      </c>
      <c r="F319" s="2">
        <v>2.5462962962962961E-4</v>
      </c>
      <c r="G319" s="2">
        <v>1.5046296296296296E-3</v>
      </c>
      <c r="H319" s="2">
        <v>4.6412037037037038E-3</v>
      </c>
      <c r="I319" s="1">
        <v>0.78069999999999995</v>
      </c>
    </row>
    <row r="320" spans="1:9" x14ac:dyDescent="0.3">
      <c r="A320">
        <v>319</v>
      </c>
      <c r="B320">
        <v>169</v>
      </c>
      <c r="C320">
        <v>159</v>
      </c>
      <c r="D320" s="1">
        <v>0.94079999999999997</v>
      </c>
      <c r="E320">
        <v>10</v>
      </c>
      <c r="F320" s="2">
        <v>2.5462962962962961E-4</v>
      </c>
      <c r="G320" s="2">
        <v>1.6550925925925926E-3</v>
      </c>
      <c r="H320" s="2">
        <v>2.3842592592592591E-3</v>
      </c>
      <c r="I320" s="1">
        <v>0.73650000000000004</v>
      </c>
    </row>
    <row r="321" spans="1:9" x14ac:dyDescent="0.3">
      <c r="A321">
        <v>320</v>
      </c>
      <c r="B321">
        <v>41</v>
      </c>
      <c r="C321">
        <v>40</v>
      </c>
      <c r="D321" s="1">
        <v>0.97560000000000002</v>
      </c>
      <c r="E321">
        <v>1</v>
      </c>
      <c r="F321" s="2">
        <v>2.8935185185185184E-4</v>
      </c>
      <c r="G321" s="2">
        <v>1.7592592592592592E-3</v>
      </c>
      <c r="H321" s="2">
        <v>1.4467592592592592E-3</v>
      </c>
      <c r="I321" s="1">
        <v>0.68289999999999995</v>
      </c>
    </row>
    <row r="322" spans="1:9" x14ac:dyDescent="0.3">
      <c r="A322">
        <v>321</v>
      </c>
      <c r="B322">
        <v>218</v>
      </c>
      <c r="C322">
        <v>187</v>
      </c>
      <c r="D322" s="1">
        <v>0.85780000000000001</v>
      </c>
      <c r="E322">
        <v>31</v>
      </c>
      <c r="F322" s="2">
        <v>5.5555555555555556E-4</v>
      </c>
      <c r="G322" s="2">
        <v>1.5625000000000001E-3</v>
      </c>
      <c r="H322" s="2">
        <v>3.6226851851851854E-3</v>
      </c>
      <c r="I322" s="1">
        <v>0.52110000000000001</v>
      </c>
    </row>
    <row r="323" spans="1:9" x14ac:dyDescent="0.3">
      <c r="A323">
        <v>322</v>
      </c>
      <c r="B323">
        <v>194</v>
      </c>
      <c r="C323">
        <v>185</v>
      </c>
      <c r="D323" s="1">
        <v>0.9536</v>
      </c>
      <c r="E323">
        <v>9</v>
      </c>
      <c r="F323" s="2">
        <v>2.4305555555555555E-4</v>
      </c>
      <c r="G323" s="2">
        <v>1.5046296296296296E-3</v>
      </c>
      <c r="H323" s="2">
        <v>1.9097222222222222E-3</v>
      </c>
      <c r="I323" s="1">
        <v>0.71579999999999999</v>
      </c>
    </row>
    <row r="324" spans="1:9" x14ac:dyDescent="0.3">
      <c r="A324">
        <v>323</v>
      </c>
      <c r="B324">
        <v>176</v>
      </c>
      <c r="C324">
        <v>172</v>
      </c>
      <c r="D324" s="1">
        <v>0.97729999999999995</v>
      </c>
      <c r="E324">
        <v>4</v>
      </c>
      <c r="F324" s="2">
        <v>1.8518518518518518E-4</v>
      </c>
      <c r="G324" s="2">
        <v>1.6203703703703703E-3</v>
      </c>
      <c r="H324" s="2">
        <v>1.5625000000000001E-3</v>
      </c>
      <c r="I324" s="1">
        <v>0.82079999999999997</v>
      </c>
    </row>
    <row r="325" spans="1:9" x14ac:dyDescent="0.3">
      <c r="A325">
        <v>324</v>
      </c>
      <c r="B325">
        <v>181</v>
      </c>
      <c r="C325">
        <v>179</v>
      </c>
      <c r="D325" s="1">
        <v>0.98899999999999999</v>
      </c>
      <c r="E325">
        <v>2</v>
      </c>
      <c r="F325" s="2">
        <v>2.0833333333333335E-4</v>
      </c>
      <c r="G325" s="2">
        <v>1.6319444444444445E-3</v>
      </c>
      <c r="H325" s="2">
        <v>1.5856481481481481E-3</v>
      </c>
      <c r="I325" s="1">
        <v>0.80559999999999998</v>
      </c>
    </row>
    <row r="326" spans="1:9" x14ac:dyDescent="0.3">
      <c r="A326">
        <v>325</v>
      </c>
      <c r="B326">
        <v>159</v>
      </c>
      <c r="C326">
        <v>151</v>
      </c>
      <c r="D326" s="1">
        <v>0.94969999999999999</v>
      </c>
      <c r="E326">
        <v>8</v>
      </c>
      <c r="F326" s="2">
        <v>3.3564814814814812E-4</v>
      </c>
      <c r="G326" s="2">
        <v>1.3773148148148147E-3</v>
      </c>
      <c r="H326" s="2">
        <v>2.5578703703703705E-3</v>
      </c>
      <c r="I326" s="1">
        <v>0.61009999999999998</v>
      </c>
    </row>
    <row r="327" spans="1:9" x14ac:dyDescent="0.3">
      <c r="A327">
        <v>326</v>
      </c>
      <c r="B327">
        <v>144</v>
      </c>
      <c r="C327">
        <v>135</v>
      </c>
      <c r="D327" s="1">
        <v>0.9375</v>
      </c>
      <c r="E327">
        <v>9</v>
      </c>
      <c r="F327" s="2">
        <v>2.7777777777777778E-4</v>
      </c>
      <c r="G327" s="2">
        <v>1.5277777777777779E-3</v>
      </c>
      <c r="H327" s="2">
        <v>4.4560185185185189E-3</v>
      </c>
      <c r="I327" s="1">
        <v>0.70630000000000004</v>
      </c>
    </row>
    <row r="328" spans="1:9" x14ac:dyDescent="0.3">
      <c r="A328">
        <v>327</v>
      </c>
      <c r="B328">
        <v>30</v>
      </c>
      <c r="C328">
        <v>29</v>
      </c>
      <c r="D328" s="1">
        <v>0.9667</v>
      </c>
      <c r="E328">
        <v>1</v>
      </c>
      <c r="F328" s="2">
        <v>3.8194444444444446E-4</v>
      </c>
      <c r="G328" s="2">
        <v>2.0601851851851853E-3</v>
      </c>
      <c r="H328" s="2">
        <v>1.5740740740740741E-3</v>
      </c>
      <c r="I328" s="1">
        <v>0.6</v>
      </c>
    </row>
    <row r="329" spans="1:9" x14ac:dyDescent="0.3">
      <c r="A329">
        <v>328</v>
      </c>
      <c r="B329">
        <v>197</v>
      </c>
      <c r="C329">
        <v>185</v>
      </c>
      <c r="D329" s="1">
        <v>0.93910000000000005</v>
      </c>
      <c r="E329">
        <v>12</v>
      </c>
      <c r="F329" s="2">
        <v>2.7777777777777778E-4</v>
      </c>
      <c r="G329" s="2">
        <v>1.5972222222222223E-3</v>
      </c>
      <c r="H329" s="2">
        <v>1.6203703703703703E-3</v>
      </c>
      <c r="I329" s="1">
        <v>0.68230000000000002</v>
      </c>
    </row>
    <row r="330" spans="1:9" x14ac:dyDescent="0.3">
      <c r="A330">
        <v>329</v>
      </c>
      <c r="B330">
        <v>56</v>
      </c>
      <c r="C330">
        <v>47</v>
      </c>
      <c r="D330" s="1">
        <v>0.83930000000000005</v>
      </c>
      <c r="E330">
        <v>9</v>
      </c>
      <c r="F330" s="2">
        <v>2.7777777777777778E-4</v>
      </c>
      <c r="G330" s="2">
        <v>1.6435185185185185E-3</v>
      </c>
      <c r="H330" s="2">
        <v>1.9444444444444444E-3</v>
      </c>
      <c r="I330" s="1">
        <v>0.58930000000000005</v>
      </c>
    </row>
    <row r="331" spans="1:9" x14ac:dyDescent="0.3">
      <c r="A331">
        <v>330</v>
      </c>
      <c r="B331">
        <v>182</v>
      </c>
      <c r="C331">
        <v>153</v>
      </c>
      <c r="D331" s="1">
        <v>0.8407</v>
      </c>
      <c r="E331">
        <v>29</v>
      </c>
      <c r="F331" s="2">
        <v>4.3981481481481481E-4</v>
      </c>
      <c r="G331" s="2">
        <v>1.5856481481481481E-3</v>
      </c>
      <c r="H331" s="2">
        <v>7.4189814814814813E-3</v>
      </c>
      <c r="I331" s="1">
        <v>0.53890000000000005</v>
      </c>
    </row>
    <row r="332" spans="1:9" x14ac:dyDescent="0.3">
      <c r="A332">
        <v>331</v>
      </c>
      <c r="B332">
        <v>178</v>
      </c>
      <c r="C332">
        <v>166</v>
      </c>
      <c r="D332" s="1">
        <v>0.93259999999999998</v>
      </c>
      <c r="E332">
        <v>12</v>
      </c>
      <c r="F332" s="2">
        <v>3.4722222222222224E-4</v>
      </c>
      <c r="G332" s="2">
        <v>1.6666666666666668E-3</v>
      </c>
      <c r="H332" s="2">
        <v>3.6111111111111109E-3</v>
      </c>
      <c r="I332" s="1">
        <v>0.62070000000000003</v>
      </c>
    </row>
    <row r="333" spans="1:9" x14ac:dyDescent="0.3">
      <c r="A333">
        <v>332</v>
      </c>
      <c r="B333">
        <v>183</v>
      </c>
      <c r="C333">
        <v>164</v>
      </c>
      <c r="D333" s="1">
        <v>0.8962</v>
      </c>
      <c r="E333">
        <v>19</v>
      </c>
      <c r="F333" s="2">
        <v>2.8935185185185184E-4</v>
      </c>
      <c r="G333" s="2">
        <v>1.4351851851851852E-3</v>
      </c>
      <c r="H333" s="2">
        <v>2.5462962962962965E-3</v>
      </c>
      <c r="I333" s="1">
        <v>0.65910000000000002</v>
      </c>
    </row>
    <row r="334" spans="1:9" x14ac:dyDescent="0.3">
      <c r="A334">
        <v>333</v>
      </c>
      <c r="B334">
        <v>197</v>
      </c>
      <c r="C334">
        <v>182</v>
      </c>
      <c r="D334" s="1">
        <v>0.92390000000000005</v>
      </c>
      <c r="E334">
        <v>15</v>
      </c>
      <c r="F334" s="2">
        <v>3.2407407407407406E-4</v>
      </c>
      <c r="G334" s="2">
        <v>1.6782407407407408E-3</v>
      </c>
      <c r="H334" s="2">
        <v>3.0092592592592593E-3</v>
      </c>
      <c r="I334" s="1">
        <v>0.64800000000000002</v>
      </c>
    </row>
    <row r="335" spans="1:9" x14ac:dyDescent="0.3">
      <c r="A335">
        <v>334</v>
      </c>
      <c r="B335">
        <v>60</v>
      </c>
      <c r="C335">
        <v>58</v>
      </c>
      <c r="D335" s="1">
        <v>0.9667</v>
      </c>
      <c r="E335">
        <v>2</v>
      </c>
      <c r="F335" s="2">
        <v>4.2824074074074075E-4</v>
      </c>
      <c r="G335" s="2">
        <v>1.8055555555555555E-3</v>
      </c>
      <c r="H335" s="2">
        <v>2.1990740740740742E-3</v>
      </c>
      <c r="I335" s="1">
        <v>0.54239999999999999</v>
      </c>
    </row>
    <row r="336" spans="1:9" x14ac:dyDescent="0.3">
      <c r="A336">
        <v>335</v>
      </c>
      <c r="B336">
        <v>241</v>
      </c>
      <c r="C336">
        <v>224</v>
      </c>
      <c r="D336" s="1">
        <v>0.92949999999999999</v>
      </c>
      <c r="E336">
        <v>17</v>
      </c>
      <c r="F336" s="2">
        <v>2.6620370370370372E-4</v>
      </c>
      <c r="G336" s="2">
        <v>1.6782407407407408E-3</v>
      </c>
      <c r="H336" s="2">
        <v>1.9097222222222222E-3</v>
      </c>
      <c r="I336" s="1">
        <v>0.7046</v>
      </c>
    </row>
    <row r="337" spans="1:9" x14ac:dyDescent="0.3">
      <c r="A337">
        <v>336</v>
      </c>
      <c r="B337">
        <v>307</v>
      </c>
      <c r="C337">
        <v>295</v>
      </c>
      <c r="D337" s="1">
        <v>0.96089999999999998</v>
      </c>
      <c r="E337">
        <v>12</v>
      </c>
      <c r="F337" s="2">
        <v>3.3564814814814812E-4</v>
      </c>
      <c r="G337" s="2">
        <v>1.5740740740740741E-3</v>
      </c>
      <c r="H337" s="2">
        <v>1.9097222222222222E-3</v>
      </c>
      <c r="I337" s="1">
        <v>0.60460000000000003</v>
      </c>
    </row>
    <row r="338" spans="1:9" x14ac:dyDescent="0.3">
      <c r="A338">
        <v>337</v>
      </c>
      <c r="B338">
        <v>295</v>
      </c>
      <c r="C338">
        <v>289</v>
      </c>
      <c r="D338" s="1">
        <v>0.97970000000000002</v>
      </c>
      <c r="E338">
        <v>6</v>
      </c>
      <c r="F338" s="2">
        <v>3.0092592592592595E-4</v>
      </c>
      <c r="G338" s="2">
        <v>1.6550925925925926E-3</v>
      </c>
      <c r="H338" s="2">
        <v>2.2106481481481482E-3</v>
      </c>
      <c r="I338" s="1">
        <v>0.70689999999999997</v>
      </c>
    </row>
    <row r="339" spans="1:9" x14ac:dyDescent="0.3">
      <c r="A339">
        <v>338</v>
      </c>
      <c r="B339">
        <v>239</v>
      </c>
      <c r="C339">
        <v>230</v>
      </c>
      <c r="D339" s="1">
        <v>0.96230000000000004</v>
      </c>
      <c r="E339">
        <v>9</v>
      </c>
      <c r="F339" s="2">
        <v>3.0092592592592595E-4</v>
      </c>
      <c r="G339" s="2">
        <v>1.5509259259259259E-3</v>
      </c>
      <c r="H339" s="2">
        <v>2.2453703703703702E-3</v>
      </c>
      <c r="I339" s="1">
        <v>0.68910000000000005</v>
      </c>
    </row>
    <row r="340" spans="1:9" x14ac:dyDescent="0.3">
      <c r="A340">
        <v>339</v>
      </c>
      <c r="B340">
        <v>241</v>
      </c>
      <c r="C340">
        <v>231</v>
      </c>
      <c r="D340" s="1">
        <v>0.95850000000000002</v>
      </c>
      <c r="E340">
        <v>10</v>
      </c>
      <c r="F340" s="2">
        <v>2.6620370370370372E-4</v>
      </c>
      <c r="G340" s="2">
        <v>1.6782407407407408E-3</v>
      </c>
      <c r="H340" s="2">
        <v>1.2962962962962963E-3</v>
      </c>
      <c r="I340" s="1">
        <v>0.72460000000000002</v>
      </c>
    </row>
    <row r="341" spans="1:9" x14ac:dyDescent="0.3">
      <c r="A341">
        <v>340</v>
      </c>
      <c r="B341">
        <v>211</v>
      </c>
      <c r="C341">
        <v>195</v>
      </c>
      <c r="D341" s="1">
        <v>0.92420000000000002</v>
      </c>
      <c r="E341">
        <v>16</v>
      </c>
      <c r="F341" s="2">
        <v>3.8194444444444446E-4</v>
      </c>
      <c r="G341" s="2">
        <v>1.8749999999999999E-3</v>
      </c>
      <c r="H341" s="2">
        <v>2.2685185185185187E-3</v>
      </c>
      <c r="I341" s="1">
        <v>0.52400000000000002</v>
      </c>
    </row>
    <row r="342" spans="1:9" x14ac:dyDescent="0.3">
      <c r="A342">
        <v>341</v>
      </c>
      <c r="B342">
        <v>40</v>
      </c>
      <c r="C342">
        <v>35</v>
      </c>
      <c r="D342" s="1">
        <v>0.875</v>
      </c>
      <c r="E342">
        <v>5</v>
      </c>
      <c r="F342" s="2">
        <v>4.6296296296296298E-4</v>
      </c>
      <c r="G342" s="2">
        <v>1.7939814814814815E-3</v>
      </c>
      <c r="H342" s="2">
        <v>2.2222222222222222E-3</v>
      </c>
      <c r="I342" s="1">
        <v>0.47499999999999998</v>
      </c>
    </row>
    <row r="343" spans="1:9" x14ac:dyDescent="0.3">
      <c r="A343">
        <v>342</v>
      </c>
      <c r="B343">
        <v>192</v>
      </c>
      <c r="C343">
        <v>174</v>
      </c>
      <c r="D343" s="1">
        <v>0.90629999999999999</v>
      </c>
      <c r="E343">
        <v>18</v>
      </c>
      <c r="F343" s="2">
        <v>3.7037037037037035E-4</v>
      </c>
      <c r="G343" s="2">
        <v>1.5740740740740741E-3</v>
      </c>
      <c r="H343" s="2">
        <v>2.5462962962962965E-3</v>
      </c>
      <c r="I343" s="1">
        <v>0.55789999999999995</v>
      </c>
    </row>
    <row r="344" spans="1:9" x14ac:dyDescent="0.3">
      <c r="A344">
        <v>343</v>
      </c>
      <c r="B344">
        <v>201</v>
      </c>
      <c r="C344">
        <v>179</v>
      </c>
      <c r="D344" s="1">
        <v>0.89049999999999996</v>
      </c>
      <c r="E344">
        <v>22</v>
      </c>
      <c r="F344" s="2">
        <v>4.0509259259259258E-4</v>
      </c>
      <c r="G344" s="2">
        <v>1.5972222222222223E-3</v>
      </c>
      <c r="H344" s="2">
        <v>2.5462962962962965E-3</v>
      </c>
      <c r="I344" s="1">
        <v>0.57289999999999996</v>
      </c>
    </row>
    <row r="345" spans="1:9" x14ac:dyDescent="0.3">
      <c r="A345">
        <v>344</v>
      </c>
      <c r="B345">
        <v>274</v>
      </c>
      <c r="C345">
        <v>247</v>
      </c>
      <c r="D345" s="1">
        <v>0.90149999999999997</v>
      </c>
      <c r="E345">
        <v>27</v>
      </c>
      <c r="F345" s="2">
        <v>3.2407407407407406E-4</v>
      </c>
      <c r="G345" s="2">
        <v>1.5046296296296296E-3</v>
      </c>
      <c r="H345" s="2">
        <v>2.8240740740740739E-3</v>
      </c>
      <c r="I345" s="1">
        <v>0.63939999999999997</v>
      </c>
    </row>
    <row r="346" spans="1:9" x14ac:dyDescent="0.3">
      <c r="A346">
        <v>345</v>
      </c>
      <c r="B346">
        <v>205</v>
      </c>
      <c r="C346">
        <v>176</v>
      </c>
      <c r="D346" s="1">
        <v>0.85850000000000004</v>
      </c>
      <c r="E346">
        <v>29</v>
      </c>
      <c r="F346" s="2">
        <v>4.7453703703703704E-4</v>
      </c>
      <c r="G346" s="2">
        <v>1.5740740740740741E-3</v>
      </c>
      <c r="H346" s="2">
        <v>3.5995370370370369E-3</v>
      </c>
      <c r="I346" s="1">
        <v>0.46229999999999999</v>
      </c>
    </row>
    <row r="347" spans="1:9" x14ac:dyDescent="0.3">
      <c r="A347">
        <v>346</v>
      </c>
      <c r="B347">
        <v>177</v>
      </c>
      <c r="C347">
        <v>160</v>
      </c>
      <c r="D347" s="1">
        <v>0.90400000000000003</v>
      </c>
      <c r="E347">
        <v>17</v>
      </c>
      <c r="F347" s="2">
        <v>3.2407407407407406E-4</v>
      </c>
      <c r="G347" s="2">
        <v>1.6203703703703703E-3</v>
      </c>
      <c r="H347" s="2">
        <v>2.7662037037037039E-3</v>
      </c>
      <c r="I347" s="1">
        <v>0.59199999999999997</v>
      </c>
    </row>
    <row r="348" spans="1:9" x14ac:dyDescent="0.3">
      <c r="A348">
        <v>347</v>
      </c>
      <c r="B348">
        <v>159</v>
      </c>
      <c r="C348">
        <v>151</v>
      </c>
      <c r="D348" s="1">
        <v>0.94969999999999999</v>
      </c>
      <c r="E348">
        <v>8</v>
      </c>
      <c r="F348" s="2">
        <v>2.5462962962962961E-4</v>
      </c>
      <c r="G348" s="2">
        <v>1.4814814814814814E-3</v>
      </c>
      <c r="H348" s="2">
        <v>5.115740740740741E-3</v>
      </c>
      <c r="I348" s="1">
        <v>0.73250000000000004</v>
      </c>
    </row>
    <row r="349" spans="1:9" x14ac:dyDescent="0.3">
      <c r="A349">
        <v>348</v>
      </c>
      <c r="B349">
        <v>33</v>
      </c>
      <c r="C349">
        <v>28</v>
      </c>
      <c r="D349" s="1">
        <v>0.84850000000000003</v>
      </c>
      <c r="E349">
        <v>5</v>
      </c>
      <c r="F349" s="2">
        <v>1.5046296296296297E-4</v>
      </c>
      <c r="G349" s="2">
        <v>1.736111111111111E-3</v>
      </c>
      <c r="H349" s="2">
        <v>7.1759259259259259E-4</v>
      </c>
      <c r="I349" s="1">
        <v>0.66669999999999996</v>
      </c>
    </row>
    <row r="350" spans="1:9" x14ac:dyDescent="0.3">
      <c r="A350">
        <v>349</v>
      </c>
      <c r="B350">
        <v>228</v>
      </c>
      <c r="C350">
        <v>210</v>
      </c>
      <c r="D350" s="1">
        <v>0.92110000000000003</v>
      </c>
      <c r="E350">
        <v>18</v>
      </c>
      <c r="F350" s="2">
        <v>2.6620370370370372E-4</v>
      </c>
      <c r="G350" s="2">
        <v>1.4814814814814814E-3</v>
      </c>
      <c r="H350" s="2">
        <v>2.1875000000000002E-3</v>
      </c>
      <c r="I350" s="1">
        <v>0.66669999999999996</v>
      </c>
    </row>
    <row r="351" spans="1:9" x14ac:dyDescent="0.3">
      <c r="A351">
        <v>350</v>
      </c>
      <c r="B351">
        <v>177</v>
      </c>
      <c r="C351">
        <v>172</v>
      </c>
      <c r="D351" s="1">
        <v>0.9718</v>
      </c>
      <c r="E351">
        <v>5</v>
      </c>
      <c r="F351" s="2">
        <v>2.8935185185185184E-4</v>
      </c>
      <c r="G351" s="2">
        <v>1.5625000000000001E-3</v>
      </c>
      <c r="H351" s="2">
        <v>1.9907407407407408E-3</v>
      </c>
      <c r="I351" s="1">
        <v>0.69140000000000001</v>
      </c>
    </row>
    <row r="352" spans="1:9" x14ac:dyDescent="0.3">
      <c r="A352">
        <v>351</v>
      </c>
      <c r="B352">
        <v>197</v>
      </c>
      <c r="C352">
        <v>169</v>
      </c>
      <c r="D352" s="1">
        <v>0.8579</v>
      </c>
      <c r="E352">
        <v>28</v>
      </c>
      <c r="F352" s="2">
        <v>3.9351851851851852E-4</v>
      </c>
      <c r="G352" s="2">
        <v>1.736111111111111E-3</v>
      </c>
      <c r="H352" s="2">
        <v>5.3356481481481484E-3</v>
      </c>
      <c r="I352" s="1">
        <v>0.55669999999999997</v>
      </c>
    </row>
    <row r="353" spans="1:9" x14ac:dyDescent="0.3">
      <c r="A353">
        <v>352</v>
      </c>
      <c r="B353">
        <v>721</v>
      </c>
      <c r="C353">
        <v>616</v>
      </c>
      <c r="D353" s="1">
        <v>0.85440000000000005</v>
      </c>
      <c r="E353">
        <v>105</v>
      </c>
      <c r="F353" s="2">
        <v>6.5972222222222224E-4</v>
      </c>
      <c r="G353" s="2">
        <v>1.3310185185185185E-3</v>
      </c>
      <c r="H353" s="2">
        <v>4.0277777777777777E-3</v>
      </c>
      <c r="I353" s="1">
        <v>0.28310000000000002</v>
      </c>
    </row>
    <row r="354" spans="1:9" x14ac:dyDescent="0.3">
      <c r="A354">
        <v>353</v>
      </c>
      <c r="B354">
        <v>301</v>
      </c>
      <c r="C354">
        <v>270</v>
      </c>
      <c r="D354" s="1">
        <v>0.89700000000000002</v>
      </c>
      <c r="E354">
        <v>31</v>
      </c>
      <c r="F354" s="2">
        <v>4.861111111111111E-4</v>
      </c>
      <c r="G354" s="2">
        <v>1.4467592592592592E-3</v>
      </c>
      <c r="H354" s="2">
        <v>7.013888888888889E-3</v>
      </c>
      <c r="I354" s="1">
        <v>0.42470000000000002</v>
      </c>
    </row>
    <row r="355" spans="1:9" x14ac:dyDescent="0.3">
      <c r="A355">
        <v>354</v>
      </c>
      <c r="B355">
        <v>179</v>
      </c>
      <c r="C355">
        <v>175</v>
      </c>
      <c r="D355" s="1">
        <v>0.97770000000000001</v>
      </c>
      <c r="E355">
        <v>4</v>
      </c>
      <c r="F355" s="2">
        <v>2.7777777777777778E-4</v>
      </c>
      <c r="G355" s="2">
        <v>1.6319444444444445E-3</v>
      </c>
      <c r="H355" s="2">
        <v>2.2222222222222222E-3</v>
      </c>
      <c r="I355" s="1">
        <v>0.71350000000000002</v>
      </c>
    </row>
    <row r="356" spans="1:9" x14ac:dyDescent="0.3">
      <c r="A356">
        <v>355</v>
      </c>
      <c r="B356">
        <v>45</v>
      </c>
      <c r="C356">
        <v>45</v>
      </c>
      <c r="D356" s="1">
        <v>1</v>
      </c>
      <c r="E356">
        <v>0</v>
      </c>
      <c r="F356" s="2">
        <v>1.8518518518518518E-4</v>
      </c>
      <c r="G356" s="2">
        <v>1.5162037037037036E-3</v>
      </c>
      <c r="H356" s="2">
        <v>2.3263888888888887E-3</v>
      </c>
      <c r="I356" s="1">
        <v>0.86670000000000003</v>
      </c>
    </row>
    <row r="357" spans="1:9" x14ac:dyDescent="0.3">
      <c r="A357">
        <v>356</v>
      </c>
      <c r="B357">
        <v>180</v>
      </c>
      <c r="C357">
        <v>164</v>
      </c>
      <c r="D357" s="1">
        <v>0.91110000000000002</v>
      </c>
      <c r="E357">
        <v>16</v>
      </c>
      <c r="F357" s="2">
        <v>2.8935185185185184E-4</v>
      </c>
      <c r="G357" s="2">
        <v>1.6435185185185185E-3</v>
      </c>
      <c r="H357" s="2">
        <v>1.2731481481481483E-3</v>
      </c>
      <c r="I357" s="1">
        <v>0.61799999999999999</v>
      </c>
    </row>
    <row r="358" spans="1:9" x14ac:dyDescent="0.3">
      <c r="A358">
        <v>357</v>
      </c>
      <c r="B358">
        <v>206</v>
      </c>
      <c r="C358">
        <v>200</v>
      </c>
      <c r="D358" s="1">
        <v>0.97089999999999999</v>
      </c>
      <c r="E358">
        <v>6</v>
      </c>
      <c r="F358" s="2">
        <v>2.5462962962962961E-4</v>
      </c>
      <c r="G358" s="2">
        <v>1.6087962962962963E-3</v>
      </c>
      <c r="H358" s="2">
        <v>1.4699074074074074E-3</v>
      </c>
      <c r="I358" s="1">
        <v>0.74629999999999996</v>
      </c>
    </row>
    <row r="359" spans="1:9" x14ac:dyDescent="0.3">
      <c r="A359">
        <v>358</v>
      </c>
      <c r="B359">
        <v>187</v>
      </c>
      <c r="C359">
        <v>181</v>
      </c>
      <c r="D359" s="1">
        <v>0.96789999999999998</v>
      </c>
      <c r="E359">
        <v>6</v>
      </c>
      <c r="F359" s="2">
        <v>3.7037037037037035E-4</v>
      </c>
      <c r="G359" s="2">
        <v>1.736111111111111E-3</v>
      </c>
      <c r="H359" s="2">
        <v>2.7083333333333334E-3</v>
      </c>
      <c r="I359" s="1">
        <v>0.627</v>
      </c>
    </row>
    <row r="360" spans="1:9" x14ac:dyDescent="0.3">
      <c r="A360">
        <v>359</v>
      </c>
      <c r="B360">
        <v>186</v>
      </c>
      <c r="C360">
        <v>177</v>
      </c>
      <c r="D360" s="1">
        <v>0.9516</v>
      </c>
      <c r="E360">
        <v>9</v>
      </c>
      <c r="F360" s="2">
        <v>3.2407407407407406E-4</v>
      </c>
      <c r="G360" s="2">
        <v>1.6435185185185185E-3</v>
      </c>
      <c r="H360" s="2">
        <v>3.8194444444444443E-3</v>
      </c>
      <c r="I360" s="1">
        <v>0.67930000000000001</v>
      </c>
    </row>
    <row r="361" spans="1:9" x14ac:dyDescent="0.3">
      <c r="A361">
        <v>360</v>
      </c>
      <c r="B361">
        <v>189</v>
      </c>
      <c r="C361">
        <v>180</v>
      </c>
      <c r="D361" s="1">
        <v>0.95240000000000002</v>
      </c>
      <c r="E361">
        <v>9</v>
      </c>
      <c r="F361" s="2">
        <v>4.0509259259259258E-4</v>
      </c>
      <c r="G361" s="2">
        <v>1.5625000000000001E-3</v>
      </c>
      <c r="H361" s="2">
        <v>2.3611111111111111E-3</v>
      </c>
      <c r="I361" s="1">
        <v>0.5645</v>
      </c>
    </row>
    <row r="362" spans="1:9" x14ac:dyDescent="0.3">
      <c r="A362">
        <v>361</v>
      </c>
      <c r="B362">
        <v>127</v>
      </c>
      <c r="C362">
        <v>116</v>
      </c>
      <c r="D362" s="1">
        <v>0.91339999999999999</v>
      </c>
      <c r="E362">
        <v>11</v>
      </c>
      <c r="F362" s="2">
        <v>3.9351851851851852E-4</v>
      </c>
      <c r="G362" s="2">
        <v>1.6782407407407408E-3</v>
      </c>
      <c r="H362" s="2">
        <v>1.9212962962962964E-3</v>
      </c>
      <c r="I362" s="1">
        <v>0.5645</v>
      </c>
    </row>
    <row r="363" spans="1:9" x14ac:dyDescent="0.3">
      <c r="A363">
        <v>362</v>
      </c>
      <c r="B363">
        <v>93</v>
      </c>
      <c r="C363">
        <v>90</v>
      </c>
      <c r="D363" s="1">
        <v>0.9677</v>
      </c>
      <c r="E363">
        <v>3</v>
      </c>
      <c r="F363" s="2">
        <v>3.0092592592592595E-4</v>
      </c>
      <c r="G363" s="2">
        <v>1.3541666666666667E-3</v>
      </c>
      <c r="H363" s="2">
        <v>2.0486111111111113E-3</v>
      </c>
      <c r="I363" s="1">
        <v>0.63439999999999996</v>
      </c>
    </row>
    <row r="364" spans="1:9" x14ac:dyDescent="0.3">
      <c r="A364">
        <v>363</v>
      </c>
      <c r="B364">
        <v>328</v>
      </c>
      <c r="C364">
        <v>292</v>
      </c>
      <c r="D364" s="1">
        <v>0.89019999999999999</v>
      </c>
      <c r="E364">
        <v>36</v>
      </c>
      <c r="F364" s="2">
        <v>4.2824074074074075E-4</v>
      </c>
      <c r="G364" s="2">
        <v>1.5856481481481481E-3</v>
      </c>
      <c r="H364" s="2">
        <v>4.4560185185185189E-3</v>
      </c>
      <c r="I364" s="1">
        <v>0.49680000000000002</v>
      </c>
    </row>
    <row r="365" spans="1:9" x14ac:dyDescent="0.3">
      <c r="A365">
        <v>364</v>
      </c>
      <c r="B365">
        <v>238</v>
      </c>
      <c r="C365">
        <v>223</v>
      </c>
      <c r="D365" s="1">
        <v>0.93700000000000006</v>
      </c>
      <c r="E365">
        <v>15</v>
      </c>
      <c r="F365" s="2">
        <v>3.8194444444444446E-4</v>
      </c>
      <c r="G365" s="2">
        <v>1.6550925925925926E-3</v>
      </c>
      <c r="H365" s="2">
        <v>2.5462962962962965E-3</v>
      </c>
      <c r="I365" s="1">
        <v>0.59230000000000005</v>
      </c>
    </row>
    <row r="366" spans="1:9" x14ac:dyDescent="0.3">
      <c r="A366">
        <v>365</v>
      </c>
      <c r="B366">
        <v>237</v>
      </c>
      <c r="C366">
        <v>222</v>
      </c>
      <c r="D366" s="1">
        <v>0.93669999999999998</v>
      </c>
      <c r="E366">
        <v>15</v>
      </c>
      <c r="F366" s="2">
        <v>3.9351851851851852E-4</v>
      </c>
      <c r="G366" s="2">
        <v>1.6666666666666668E-3</v>
      </c>
      <c r="H366" s="2">
        <v>1.9907407407407408E-3</v>
      </c>
      <c r="I366" s="1">
        <v>0.53849999999999998</v>
      </c>
    </row>
    <row r="367" spans="1:9" x14ac:dyDescent="0.3">
      <c r="A367">
        <v>366</v>
      </c>
      <c r="B367">
        <v>257</v>
      </c>
      <c r="C367">
        <v>235</v>
      </c>
      <c r="D367" s="1">
        <v>0.91439999999999999</v>
      </c>
      <c r="E367">
        <v>22</v>
      </c>
      <c r="F367" s="2">
        <v>5.2083333333333333E-4</v>
      </c>
      <c r="G367" s="2">
        <v>1.7476851851851852E-3</v>
      </c>
      <c r="H367" s="2">
        <v>3.0555555555555557E-3</v>
      </c>
      <c r="I367" s="1">
        <v>0.4466</v>
      </c>
    </row>
    <row r="368" spans="1:9" x14ac:dyDescent="0.3">
      <c r="A368">
        <v>367</v>
      </c>
      <c r="B368">
        <v>238</v>
      </c>
      <c r="C368">
        <v>223</v>
      </c>
      <c r="D368" s="1">
        <v>0.93700000000000006</v>
      </c>
      <c r="E368">
        <v>15</v>
      </c>
      <c r="F368" s="2">
        <v>3.7037037037037035E-4</v>
      </c>
      <c r="G368" s="2">
        <v>1.5856481481481481E-3</v>
      </c>
      <c r="H368" s="2">
        <v>2.3379629629629631E-3</v>
      </c>
      <c r="I368" s="1">
        <v>0.54700000000000004</v>
      </c>
    </row>
    <row r="369" spans="1:9" x14ac:dyDescent="0.3">
      <c r="A369">
        <v>368</v>
      </c>
      <c r="B369">
        <v>199</v>
      </c>
      <c r="C369">
        <v>164</v>
      </c>
      <c r="D369" s="1">
        <v>0.82410000000000005</v>
      </c>
      <c r="E369">
        <v>35</v>
      </c>
      <c r="F369" s="2">
        <v>3.7037037037037035E-4</v>
      </c>
      <c r="G369" s="2">
        <v>1.5393518518518519E-3</v>
      </c>
      <c r="H369" s="2">
        <v>4.8148148148148152E-3</v>
      </c>
      <c r="I369" s="1">
        <v>0.59179999999999999</v>
      </c>
    </row>
    <row r="370" spans="1:9" x14ac:dyDescent="0.3">
      <c r="A370">
        <v>369</v>
      </c>
      <c r="B370">
        <v>30</v>
      </c>
      <c r="C370">
        <v>27</v>
      </c>
      <c r="D370" s="1">
        <v>0.9</v>
      </c>
      <c r="E370">
        <v>3</v>
      </c>
      <c r="F370" s="2">
        <v>3.7037037037037035E-4</v>
      </c>
      <c r="G370" s="2">
        <v>1.7824074074074075E-3</v>
      </c>
      <c r="H370" s="2">
        <v>1.8171296296296297E-3</v>
      </c>
      <c r="I370" s="1">
        <v>0.60709999999999997</v>
      </c>
    </row>
    <row r="371" spans="1:9" x14ac:dyDescent="0.3">
      <c r="A371">
        <v>370</v>
      </c>
      <c r="B371">
        <v>176</v>
      </c>
      <c r="C371">
        <v>163</v>
      </c>
      <c r="D371" s="1">
        <v>0.92610000000000003</v>
      </c>
      <c r="E371">
        <v>13</v>
      </c>
      <c r="F371" s="2">
        <v>4.3981481481481481E-4</v>
      </c>
      <c r="G371" s="2">
        <v>1.4467592592592592E-3</v>
      </c>
      <c r="H371" s="2">
        <v>3.8194444444444443E-3</v>
      </c>
      <c r="I371" s="1">
        <v>0.54290000000000005</v>
      </c>
    </row>
    <row r="372" spans="1:9" x14ac:dyDescent="0.3">
      <c r="A372">
        <v>371</v>
      </c>
      <c r="B372">
        <v>162</v>
      </c>
      <c r="C372">
        <v>144</v>
      </c>
      <c r="D372" s="1">
        <v>0.88890000000000002</v>
      </c>
      <c r="E372">
        <v>18</v>
      </c>
      <c r="F372" s="2">
        <v>4.7453703703703704E-4</v>
      </c>
      <c r="G372" s="2">
        <v>1.6782407407407408E-3</v>
      </c>
      <c r="H372" s="2">
        <v>2.5462962962962965E-3</v>
      </c>
      <c r="I372" s="1">
        <v>0.50309999999999999</v>
      </c>
    </row>
    <row r="373" spans="1:9" x14ac:dyDescent="0.3">
      <c r="A373">
        <v>372</v>
      </c>
      <c r="B373">
        <v>169</v>
      </c>
      <c r="C373">
        <v>157</v>
      </c>
      <c r="D373" s="1">
        <v>0.92900000000000005</v>
      </c>
      <c r="E373">
        <v>12</v>
      </c>
      <c r="F373" s="2">
        <v>3.3564814814814812E-4</v>
      </c>
      <c r="G373" s="2">
        <v>1.724537037037037E-3</v>
      </c>
      <c r="H373" s="2">
        <v>1.3425925925925925E-3</v>
      </c>
      <c r="I373" s="1">
        <v>0.53890000000000005</v>
      </c>
    </row>
    <row r="374" spans="1:9" x14ac:dyDescent="0.3">
      <c r="A374">
        <v>373</v>
      </c>
      <c r="B374">
        <v>155</v>
      </c>
      <c r="C374">
        <v>146</v>
      </c>
      <c r="D374" s="1">
        <v>0.94189999999999996</v>
      </c>
      <c r="E374">
        <v>9</v>
      </c>
      <c r="F374" s="2">
        <v>3.4722222222222224E-4</v>
      </c>
      <c r="G374" s="2">
        <v>1.5972222222222223E-3</v>
      </c>
      <c r="H374" s="2">
        <v>2.1990740740740742E-3</v>
      </c>
      <c r="I374" s="1">
        <v>0.50980000000000003</v>
      </c>
    </row>
    <row r="375" spans="1:9" x14ac:dyDescent="0.3">
      <c r="A375">
        <v>374</v>
      </c>
      <c r="B375">
        <v>247</v>
      </c>
      <c r="C375">
        <v>205</v>
      </c>
      <c r="D375" s="1">
        <v>0.83</v>
      </c>
      <c r="E375">
        <v>42</v>
      </c>
      <c r="F375" s="2">
        <v>5.6712962962962967E-4</v>
      </c>
      <c r="G375" s="2">
        <v>1.6898148148148148E-3</v>
      </c>
      <c r="H375" s="2">
        <v>5.2777777777777779E-3</v>
      </c>
      <c r="I375" s="1">
        <v>0.38490000000000002</v>
      </c>
    </row>
    <row r="376" spans="1:9" x14ac:dyDescent="0.3">
      <c r="A376">
        <v>375</v>
      </c>
      <c r="B376">
        <v>191</v>
      </c>
      <c r="C376">
        <v>186</v>
      </c>
      <c r="D376" s="1">
        <v>0.9738</v>
      </c>
      <c r="E376">
        <v>5</v>
      </c>
      <c r="F376" s="2">
        <v>2.7777777777777778E-4</v>
      </c>
      <c r="G376" s="2">
        <v>1.5509259259259259E-3</v>
      </c>
      <c r="H376" s="2">
        <v>1.3194444444444445E-3</v>
      </c>
      <c r="I376" s="1">
        <v>0.70530000000000004</v>
      </c>
    </row>
    <row r="377" spans="1:9" x14ac:dyDescent="0.3">
      <c r="A377">
        <v>376</v>
      </c>
      <c r="B377">
        <v>30</v>
      </c>
      <c r="C377">
        <v>29</v>
      </c>
      <c r="D377" s="1">
        <v>0.9667</v>
      </c>
      <c r="E377">
        <v>1</v>
      </c>
      <c r="F377" s="2">
        <v>6.9444444444444444E-5</v>
      </c>
      <c r="G377" s="2">
        <v>1.5625000000000001E-3</v>
      </c>
      <c r="H377" s="2">
        <v>5.3240740740740744E-4</v>
      </c>
      <c r="I377" s="1">
        <v>0.93330000000000002</v>
      </c>
    </row>
    <row r="378" spans="1:9" x14ac:dyDescent="0.3">
      <c r="A378">
        <v>377</v>
      </c>
      <c r="B378">
        <v>316</v>
      </c>
      <c r="C378">
        <v>290</v>
      </c>
      <c r="D378" s="1">
        <v>0.91769999999999996</v>
      </c>
      <c r="E378">
        <v>26</v>
      </c>
      <c r="F378" s="2">
        <v>3.5879629629629629E-4</v>
      </c>
      <c r="G378" s="2">
        <v>1.6319444444444445E-3</v>
      </c>
      <c r="H378" s="2">
        <v>2.8009259259259259E-3</v>
      </c>
      <c r="I378" s="1">
        <v>0.59160000000000001</v>
      </c>
    </row>
    <row r="379" spans="1:9" x14ac:dyDescent="0.3">
      <c r="A379">
        <v>378</v>
      </c>
      <c r="B379">
        <v>211</v>
      </c>
      <c r="C379">
        <v>195</v>
      </c>
      <c r="D379" s="1">
        <v>0.92420000000000002</v>
      </c>
      <c r="E379">
        <v>16</v>
      </c>
      <c r="F379" s="2">
        <v>3.9351851851851852E-4</v>
      </c>
      <c r="G379" s="2">
        <v>1.6319444444444445E-3</v>
      </c>
      <c r="H379" s="2">
        <v>4.4560185185185189E-3</v>
      </c>
      <c r="I379" s="1">
        <v>0.55769999999999997</v>
      </c>
    </row>
    <row r="380" spans="1:9" x14ac:dyDescent="0.3">
      <c r="A380">
        <v>379</v>
      </c>
      <c r="B380">
        <v>208</v>
      </c>
      <c r="C380">
        <v>169</v>
      </c>
      <c r="D380" s="1">
        <v>0.8125</v>
      </c>
      <c r="E380">
        <v>39</v>
      </c>
      <c r="F380" s="2">
        <v>5.2083333333333333E-4</v>
      </c>
      <c r="G380" s="2">
        <v>1.5972222222222223E-3</v>
      </c>
      <c r="H380" s="2">
        <v>5.0347222222222225E-3</v>
      </c>
      <c r="I380" s="1">
        <v>0.45850000000000002</v>
      </c>
    </row>
    <row r="381" spans="1:9" x14ac:dyDescent="0.3">
      <c r="A381">
        <v>380</v>
      </c>
      <c r="B381">
        <v>130</v>
      </c>
      <c r="C381">
        <v>124</v>
      </c>
      <c r="D381" s="1">
        <v>0.95379999999999998</v>
      </c>
      <c r="E381">
        <v>6</v>
      </c>
      <c r="F381" s="2">
        <v>2.5462962962962961E-4</v>
      </c>
      <c r="G381" s="2">
        <v>1.5856481481481481E-3</v>
      </c>
      <c r="H381" s="2">
        <v>1.5625000000000001E-3</v>
      </c>
      <c r="I381" s="1">
        <v>0.68989999999999996</v>
      </c>
    </row>
    <row r="382" spans="1:9" x14ac:dyDescent="0.3">
      <c r="A382">
        <v>381</v>
      </c>
      <c r="B382">
        <v>134</v>
      </c>
      <c r="C382">
        <v>129</v>
      </c>
      <c r="D382" s="1">
        <v>0.9627</v>
      </c>
      <c r="E382">
        <v>5</v>
      </c>
      <c r="F382" s="2">
        <v>2.7777777777777778E-4</v>
      </c>
      <c r="G382" s="2">
        <v>1.5277777777777779E-3</v>
      </c>
      <c r="H382" s="2">
        <v>2.4074074074074076E-3</v>
      </c>
      <c r="I382" s="1">
        <v>0.70899999999999996</v>
      </c>
    </row>
    <row r="383" spans="1:9" x14ac:dyDescent="0.3">
      <c r="A383">
        <v>382</v>
      </c>
      <c r="B383">
        <v>124</v>
      </c>
      <c r="C383">
        <v>121</v>
      </c>
      <c r="D383" s="1">
        <v>0.9758</v>
      </c>
      <c r="E383">
        <v>3</v>
      </c>
      <c r="F383" s="2">
        <v>3.1250000000000001E-4</v>
      </c>
      <c r="G383" s="2">
        <v>1.6087962962962963E-3</v>
      </c>
      <c r="H383" s="2">
        <v>2.3032407407407407E-3</v>
      </c>
      <c r="I383" s="1">
        <v>0.70730000000000004</v>
      </c>
    </row>
    <row r="384" spans="1:9" x14ac:dyDescent="0.3">
      <c r="A384">
        <v>383</v>
      </c>
      <c r="B384">
        <v>47</v>
      </c>
      <c r="C384">
        <v>43</v>
      </c>
      <c r="D384" s="1">
        <v>0.91490000000000005</v>
      </c>
      <c r="E384">
        <v>4</v>
      </c>
      <c r="F384" s="2">
        <v>4.2824074074074075E-4</v>
      </c>
      <c r="G384" s="2">
        <v>1.5972222222222223E-3</v>
      </c>
      <c r="H384" s="2">
        <v>2.2685185185185187E-3</v>
      </c>
      <c r="I384" s="1">
        <v>0.54349999999999998</v>
      </c>
    </row>
    <row r="385" spans="1:9" x14ac:dyDescent="0.3">
      <c r="A385">
        <v>384</v>
      </c>
      <c r="B385">
        <v>197</v>
      </c>
      <c r="C385">
        <v>186</v>
      </c>
      <c r="D385" s="1">
        <v>0.94420000000000004</v>
      </c>
      <c r="E385">
        <v>11</v>
      </c>
      <c r="F385" s="2">
        <v>3.2407407407407406E-4</v>
      </c>
      <c r="G385" s="2">
        <v>1.5972222222222223E-3</v>
      </c>
      <c r="H385" s="2">
        <v>1.7013888888888888E-3</v>
      </c>
      <c r="I385" s="1">
        <v>0.63829999999999998</v>
      </c>
    </row>
    <row r="386" spans="1:9" x14ac:dyDescent="0.3">
      <c r="A386">
        <v>385</v>
      </c>
      <c r="B386">
        <v>158</v>
      </c>
      <c r="C386">
        <v>146</v>
      </c>
      <c r="D386" s="1">
        <v>0.92410000000000003</v>
      </c>
      <c r="E386">
        <v>12</v>
      </c>
      <c r="F386" s="2">
        <v>3.5879629629629629E-4</v>
      </c>
      <c r="G386" s="2">
        <v>1.6666666666666668E-3</v>
      </c>
      <c r="H386" s="2">
        <v>2.5462962962962965E-3</v>
      </c>
      <c r="I386" s="1">
        <v>0.5696</v>
      </c>
    </row>
    <row r="387" spans="1:9" x14ac:dyDescent="0.3">
      <c r="A387">
        <v>386</v>
      </c>
      <c r="B387">
        <v>163</v>
      </c>
      <c r="C387">
        <v>151</v>
      </c>
      <c r="D387" s="1">
        <v>0.9264</v>
      </c>
      <c r="E387">
        <v>12</v>
      </c>
      <c r="F387" s="2">
        <v>3.2407407407407406E-4</v>
      </c>
      <c r="G387" s="2">
        <v>1.5393518518518519E-3</v>
      </c>
      <c r="H387" s="2">
        <v>3.3912037037037036E-3</v>
      </c>
      <c r="I387" s="1">
        <v>0.63749999999999996</v>
      </c>
    </row>
    <row r="388" spans="1:9" x14ac:dyDescent="0.3">
      <c r="A388">
        <v>387</v>
      </c>
      <c r="B388">
        <v>178</v>
      </c>
      <c r="C388">
        <v>160</v>
      </c>
      <c r="D388" s="1">
        <v>0.89890000000000003</v>
      </c>
      <c r="E388">
        <v>18</v>
      </c>
      <c r="F388" s="2">
        <v>4.0509259259259258E-4</v>
      </c>
      <c r="G388" s="2">
        <v>1.8402777777777777E-3</v>
      </c>
      <c r="H388" s="2">
        <v>3.2523148148148147E-3</v>
      </c>
      <c r="I388" s="1">
        <v>0.54490000000000005</v>
      </c>
    </row>
    <row r="389" spans="1:9" x14ac:dyDescent="0.3">
      <c r="A389">
        <v>388</v>
      </c>
      <c r="B389">
        <v>151</v>
      </c>
      <c r="C389">
        <v>128</v>
      </c>
      <c r="D389" s="1">
        <v>0.84770000000000001</v>
      </c>
      <c r="E389">
        <v>23</v>
      </c>
      <c r="F389" s="2">
        <v>4.0509259259259258E-4</v>
      </c>
      <c r="G389" s="2">
        <v>1.6550925925925926E-3</v>
      </c>
      <c r="H389" s="2">
        <v>3.9120370370370368E-3</v>
      </c>
      <c r="I389" s="1">
        <v>0.53380000000000005</v>
      </c>
    </row>
    <row r="390" spans="1:9" x14ac:dyDescent="0.3">
      <c r="A390">
        <v>389</v>
      </c>
      <c r="B390">
        <v>118</v>
      </c>
      <c r="C390">
        <v>106</v>
      </c>
      <c r="D390" s="1">
        <v>0.89829999999999999</v>
      </c>
      <c r="E390">
        <v>12</v>
      </c>
      <c r="F390" s="2">
        <v>3.8194444444444446E-4</v>
      </c>
      <c r="G390" s="2">
        <v>1.6782407407407408E-3</v>
      </c>
      <c r="H390" s="2">
        <v>3.1481481481481482E-3</v>
      </c>
      <c r="I390" s="1">
        <v>0.55169999999999997</v>
      </c>
    </row>
    <row r="391" spans="1:9" x14ac:dyDescent="0.3">
      <c r="A391">
        <v>390</v>
      </c>
      <c r="B391">
        <v>31</v>
      </c>
      <c r="C391">
        <v>28</v>
      </c>
      <c r="D391" s="1">
        <v>0.9032</v>
      </c>
      <c r="E391">
        <v>3</v>
      </c>
      <c r="F391" s="2">
        <v>4.6296296296296298E-4</v>
      </c>
      <c r="G391" s="2">
        <v>1.8518518518518519E-3</v>
      </c>
      <c r="H391" s="2">
        <v>2.2222222222222222E-3</v>
      </c>
      <c r="I391" s="1">
        <v>0.43330000000000002</v>
      </c>
    </row>
    <row r="392" spans="1:9" x14ac:dyDescent="0.3">
      <c r="A392">
        <v>391</v>
      </c>
      <c r="B392">
        <v>139</v>
      </c>
      <c r="C392">
        <v>134</v>
      </c>
      <c r="D392" s="1">
        <v>0.96399999999999997</v>
      </c>
      <c r="E392">
        <v>5</v>
      </c>
      <c r="F392" s="2">
        <v>3.5879629629629629E-4</v>
      </c>
      <c r="G392" s="2">
        <v>1.6550925925925926E-3</v>
      </c>
      <c r="H392" s="2">
        <v>1.9675925925925924E-3</v>
      </c>
      <c r="I392" s="1">
        <v>0.59419999999999995</v>
      </c>
    </row>
    <row r="393" spans="1:9" x14ac:dyDescent="0.3">
      <c r="A393">
        <v>392</v>
      </c>
      <c r="B393">
        <v>171</v>
      </c>
      <c r="C393">
        <v>154</v>
      </c>
      <c r="D393" s="1">
        <v>0.90059999999999996</v>
      </c>
      <c r="E393">
        <v>17</v>
      </c>
      <c r="F393" s="2">
        <v>3.1250000000000001E-4</v>
      </c>
      <c r="G393" s="2">
        <v>1.6666666666666668E-3</v>
      </c>
      <c r="H393" s="2">
        <v>4.4907407407407405E-3</v>
      </c>
      <c r="I393" s="1">
        <v>0.65659999999999996</v>
      </c>
    </row>
    <row r="394" spans="1:9" x14ac:dyDescent="0.3">
      <c r="A394">
        <v>393</v>
      </c>
      <c r="B394">
        <v>160</v>
      </c>
      <c r="C394">
        <v>156</v>
      </c>
      <c r="D394" s="1">
        <v>0.97499999999999998</v>
      </c>
      <c r="E394">
        <v>4</v>
      </c>
      <c r="F394" s="2">
        <v>3.1250000000000001E-4</v>
      </c>
      <c r="G394" s="2">
        <v>1.5625000000000001E-3</v>
      </c>
      <c r="H394" s="2">
        <v>1.238425925925926E-3</v>
      </c>
      <c r="I394" s="1">
        <v>0.64559999999999995</v>
      </c>
    </row>
    <row r="395" spans="1:9" x14ac:dyDescent="0.3">
      <c r="A395">
        <v>394</v>
      </c>
      <c r="B395">
        <v>177</v>
      </c>
      <c r="C395">
        <v>169</v>
      </c>
      <c r="D395" s="1">
        <v>0.95479999999999998</v>
      </c>
      <c r="E395">
        <v>8</v>
      </c>
      <c r="F395" s="2">
        <v>3.3564814814814812E-4</v>
      </c>
      <c r="G395" s="2">
        <v>1.7476851851851852E-3</v>
      </c>
      <c r="H395" s="2">
        <v>2.5462962962962965E-3</v>
      </c>
      <c r="I395" s="1">
        <v>0.64370000000000005</v>
      </c>
    </row>
    <row r="396" spans="1:9" x14ac:dyDescent="0.3">
      <c r="A396">
        <v>395</v>
      </c>
      <c r="B396">
        <v>187</v>
      </c>
      <c r="C396">
        <v>180</v>
      </c>
      <c r="D396" s="1">
        <v>0.96260000000000001</v>
      </c>
      <c r="E396">
        <v>7</v>
      </c>
      <c r="F396" s="2">
        <v>3.0092592592592595E-4</v>
      </c>
      <c r="G396" s="2">
        <v>1.6435185185185185E-3</v>
      </c>
      <c r="H396" s="2">
        <v>4.1203703703703706E-3</v>
      </c>
      <c r="I396" s="1">
        <v>0.65590000000000004</v>
      </c>
    </row>
    <row r="397" spans="1:9" x14ac:dyDescent="0.3">
      <c r="A397">
        <v>396</v>
      </c>
      <c r="B397">
        <v>147</v>
      </c>
      <c r="C397">
        <v>138</v>
      </c>
      <c r="D397" s="1">
        <v>0.93879999999999997</v>
      </c>
      <c r="E397">
        <v>9</v>
      </c>
      <c r="F397" s="2">
        <v>3.0092592592592595E-4</v>
      </c>
      <c r="G397" s="2">
        <v>1.6666666666666668E-3</v>
      </c>
      <c r="H397" s="2">
        <v>3.6921296296296298E-3</v>
      </c>
      <c r="I397" s="1">
        <v>0.61380000000000001</v>
      </c>
    </row>
    <row r="398" spans="1:9" x14ac:dyDescent="0.3">
      <c r="A398">
        <v>397</v>
      </c>
      <c r="B398">
        <v>35</v>
      </c>
      <c r="C398">
        <v>35</v>
      </c>
      <c r="D398" s="1">
        <v>1</v>
      </c>
      <c r="E398">
        <v>0</v>
      </c>
      <c r="F398" s="2">
        <v>9.2592592592592588E-5</v>
      </c>
      <c r="G398" s="2">
        <v>1.5046296296296296E-3</v>
      </c>
      <c r="H398" s="2">
        <v>5.4398148148148144E-4</v>
      </c>
      <c r="I398" s="1">
        <v>0.88570000000000004</v>
      </c>
    </row>
    <row r="399" spans="1:9" x14ac:dyDescent="0.3">
      <c r="A399">
        <v>398</v>
      </c>
      <c r="B399">
        <v>208</v>
      </c>
      <c r="C399">
        <v>194</v>
      </c>
      <c r="D399" s="1">
        <v>0.93269999999999997</v>
      </c>
      <c r="E399">
        <v>14</v>
      </c>
      <c r="F399" s="2">
        <v>4.0509259259259258E-4</v>
      </c>
      <c r="G399" s="2">
        <v>1.6898148148148148E-3</v>
      </c>
      <c r="H399" s="2">
        <v>3.0787037037037037E-3</v>
      </c>
      <c r="I399" s="1">
        <v>0.56930000000000003</v>
      </c>
    </row>
    <row r="400" spans="1:9" x14ac:dyDescent="0.3">
      <c r="A400">
        <v>399</v>
      </c>
      <c r="B400">
        <v>162</v>
      </c>
      <c r="C400">
        <v>155</v>
      </c>
      <c r="D400" s="1">
        <v>0.95679999999999998</v>
      </c>
      <c r="E400">
        <v>7</v>
      </c>
      <c r="F400" s="2">
        <v>2.199074074074074E-4</v>
      </c>
      <c r="G400" s="2">
        <v>1.5856481481481481E-3</v>
      </c>
      <c r="H400" s="2">
        <v>2.5810185185185185E-3</v>
      </c>
      <c r="I400" s="1">
        <v>0.77990000000000004</v>
      </c>
    </row>
    <row r="401" spans="1:9" x14ac:dyDescent="0.3">
      <c r="A401">
        <v>400</v>
      </c>
      <c r="B401">
        <v>152</v>
      </c>
      <c r="C401">
        <v>143</v>
      </c>
      <c r="D401" s="1">
        <v>0.94079999999999997</v>
      </c>
      <c r="E401">
        <v>9</v>
      </c>
      <c r="F401" s="2">
        <v>2.5462962962962961E-4</v>
      </c>
      <c r="G401" s="2">
        <v>1.712962962962963E-3</v>
      </c>
      <c r="H401" s="2">
        <v>2.5578703703703705E-3</v>
      </c>
      <c r="I401" s="1">
        <v>0.7</v>
      </c>
    </row>
    <row r="402" spans="1:9" x14ac:dyDescent="0.3">
      <c r="A402">
        <v>401</v>
      </c>
      <c r="B402">
        <v>132</v>
      </c>
      <c r="C402">
        <v>125</v>
      </c>
      <c r="D402" s="1">
        <v>0.94699999999999995</v>
      </c>
      <c r="E402">
        <v>7</v>
      </c>
      <c r="F402" s="2">
        <v>3.0092592592592595E-4</v>
      </c>
      <c r="G402" s="2">
        <v>1.4699074074074074E-3</v>
      </c>
      <c r="H402" s="2">
        <v>2.685185185185185E-3</v>
      </c>
      <c r="I402" s="1">
        <v>0.68940000000000001</v>
      </c>
    </row>
    <row r="403" spans="1:9" x14ac:dyDescent="0.3">
      <c r="A403">
        <v>402</v>
      </c>
      <c r="B403">
        <v>133</v>
      </c>
      <c r="C403">
        <v>131</v>
      </c>
      <c r="D403" s="1">
        <v>0.98499999999999999</v>
      </c>
      <c r="E403">
        <v>2</v>
      </c>
      <c r="F403" s="2">
        <v>1.3888888888888889E-4</v>
      </c>
      <c r="G403" s="2">
        <v>1.6087962962962963E-3</v>
      </c>
      <c r="H403" s="2">
        <v>9.1435185185185185E-4</v>
      </c>
      <c r="I403" s="1">
        <v>0.87119999999999997</v>
      </c>
    </row>
    <row r="404" spans="1:9" x14ac:dyDescent="0.3">
      <c r="A404">
        <v>403</v>
      </c>
      <c r="B404">
        <v>129</v>
      </c>
      <c r="C404">
        <v>121</v>
      </c>
      <c r="D404" s="1">
        <v>0.93799999999999994</v>
      </c>
      <c r="E404">
        <v>8</v>
      </c>
      <c r="F404" s="2">
        <v>3.8194444444444446E-4</v>
      </c>
      <c r="G404" s="2">
        <v>1.8171296296296297E-3</v>
      </c>
      <c r="H404" s="2">
        <v>2.7893518518518519E-3</v>
      </c>
      <c r="I404" s="1">
        <v>0.61419999999999997</v>
      </c>
    </row>
    <row r="405" spans="1:9" x14ac:dyDescent="0.3">
      <c r="A405">
        <v>404</v>
      </c>
      <c r="B405">
        <v>37</v>
      </c>
      <c r="C405">
        <v>35</v>
      </c>
      <c r="D405" s="1">
        <v>0.94589999999999996</v>
      </c>
      <c r="E405">
        <v>2</v>
      </c>
      <c r="F405" s="2">
        <v>2.199074074074074E-4</v>
      </c>
      <c r="G405" s="2">
        <v>1.6319444444444445E-3</v>
      </c>
      <c r="H405" s="2">
        <v>1.0648148148148149E-3</v>
      </c>
      <c r="I405" s="1">
        <v>0.75680000000000003</v>
      </c>
    </row>
    <row r="406" spans="1:9" x14ac:dyDescent="0.3">
      <c r="A406">
        <v>405</v>
      </c>
      <c r="B406">
        <v>56</v>
      </c>
      <c r="C406">
        <v>54</v>
      </c>
      <c r="D406" s="1">
        <v>0.96430000000000005</v>
      </c>
      <c r="E406">
        <v>2</v>
      </c>
      <c r="F406" s="2">
        <v>1.5046296296296297E-4</v>
      </c>
      <c r="G406" s="2">
        <v>1.7708333333333332E-3</v>
      </c>
      <c r="H406" s="2">
        <v>1.5393518518518519E-3</v>
      </c>
      <c r="I406" s="1">
        <v>0.87270000000000003</v>
      </c>
    </row>
    <row r="407" spans="1:9" x14ac:dyDescent="0.3">
      <c r="A407">
        <v>406</v>
      </c>
      <c r="B407">
        <v>215</v>
      </c>
      <c r="C407">
        <v>210</v>
      </c>
      <c r="D407" s="1">
        <v>0.97670000000000001</v>
      </c>
      <c r="E407">
        <v>5</v>
      </c>
      <c r="F407" s="2">
        <v>1.3888888888888889E-4</v>
      </c>
      <c r="G407" s="2">
        <v>1.0879629629629629E-3</v>
      </c>
      <c r="H407" s="2">
        <v>1.1805555555555556E-3</v>
      </c>
      <c r="I407" s="1">
        <v>0.87739999999999996</v>
      </c>
    </row>
    <row r="408" spans="1:9" x14ac:dyDescent="0.3">
      <c r="A408">
        <v>407</v>
      </c>
      <c r="B408">
        <v>50</v>
      </c>
      <c r="C408">
        <v>46</v>
      </c>
      <c r="D408" s="1">
        <v>0.92</v>
      </c>
      <c r="E408">
        <v>4</v>
      </c>
      <c r="F408" s="2">
        <v>1.6203703703703703E-4</v>
      </c>
      <c r="G408" s="2">
        <v>1.8749999999999999E-3</v>
      </c>
      <c r="H408" s="2">
        <v>8.4490740740740739E-4</v>
      </c>
      <c r="I408" s="1">
        <v>0.72</v>
      </c>
    </row>
    <row r="409" spans="1:9" x14ac:dyDescent="0.3">
      <c r="A409">
        <v>408</v>
      </c>
      <c r="B409">
        <v>136</v>
      </c>
      <c r="C409">
        <v>129</v>
      </c>
      <c r="D409" s="1">
        <v>0.94850000000000001</v>
      </c>
      <c r="E409">
        <v>7</v>
      </c>
      <c r="F409" s="2">
        <v>2.5462962962962961E-4</v>
      </c>
      <c r="G409" s="2">
        <v>1.6898148148148148E-3</v>
      </c>
      <c r="H409" s="2">
        <v>1.736111111111111E-3</v>
      </c>
      <c r="I409" s="1">
        <v>0.66420000000000001</v>
      </c>
    </row>
    <row r="410" spans="1:9" x14ac:dyDescent="0.3">
      <c r="A410">
        <v>409</v>
      </c>
      <c r="B410">
        <v>160</v>
      </c>
      <c r="C410">
        <v>142</v>
      </c>
      <c r="D410" s="1">
        <v>0.88749999999999996</v>
      </c>
      <c r="E410">
        <v>18</v>
      </c>
      <c r="F410" s="2">
        <v>4.0509259259259258E-4</v>
      </c>
      <c r="G410" s="2">
        <v>1.7824074074074075E-3</v>
      </c>
      <c r="H410" s="2">
        <v>2.1990740740740742E-3</v>
      </c>
      <c r="I410" s="1">
        <v>0.55920000000000003</v>
      </c>
    </row>
    <row r="411" spans="1:9" x14ac:dyDescent="0.3">
      <c r="A411">
        <v>410</v>
      </c>
      <c r="B411">
        <v>132</v>
      </c>
      <c r="C411">
        <v>115</v>
      </c>
      <c r="D411" s="1">
        <v>0.87119999999999997</v>
      </c>
      <c r="E411">
        <v>17</v>
      </c>
      <c r="F411" s="2">
        <v>4.1666666666666669E-4</v>
      </c>
      <c r="G411" s="2">
        <v>1.7013888888888888E-3</v>
      </c>
      <c r="H411" s="2">
        <v>3.1828703703703702E-3</v>
      </c>
      <c r="I411" s="1">
        <v>0.4884</v>
      </c>
    </row>
    <row r="412" spans="1:9" x14ac:dyDescent="0.3">
      <c r="A412">
        <v>411</v>
      </c>
      <c r="B412">
        <v>30</v>
      </c>
      <c r="C412">
        <v>28</v>
      </c>
      <c r="D412" s="1">
        <v>0.93330000000000002</v>
      </c>
      <c r="E412">
        <v>2</v>
      </c>
      <c r="F412" s="2">
        <v>5.4398148148148144E-4</v>
      </c>
      <c r="G412" s="2">
        <v>1.8055555555555555E-3</v>
      </c>
      <c r="H412" s="2">
        <v>1.6435185185185185E-3</v>
      </c>
      <c r="I412" s="1">
        <v>0.4</v>
      </c>
    </row>
    <row r="413" spans="1:9" x14ac:dyDescent="0.3">
      <c r="A413">
        <v>412</v>
      </c>
      <c r="B413">
        <v>150</v>
      </c>
      <c r="C413">
        <v>140</v>
      </c>
      <c r="D413" s="1">
        <v>0.93330000000000002</v>
      </c>
      <c r="E413">
        <v>10</v>
      </c>
      <c r="F413" s="2">
        <v>3.3564814814814812E-4</v>
      </c>
      <c r="G413" s="2">
        <v>1.7592592592592592E-3</v>
      </c>
      <c r="H413" s="2">
        <v>1.5162037037037036E-3</v>
      </c>
      <c r="I413" s="1">
        <v>0.63090000000000002</v>
      </c>
    </row>
    <row r="414" spans="1:9" x14ac:dyDescent="0.3">
      <c r="A414">
        <v>413</v>
      </c>
      <c r="B414">
        <v>160</v>
      </c>
      <c r="C414">
        <v>144</v>
      </c>
      <c r="D414" s="1">
        <v>0.9</v>
      </c>
      <c r="E414">
        <v>16</v>
      </c>
      <c r="F414" s="2">
        <v>5.3240740740740744E-4</v>
      </c>
      <c r="G414" s="2">
        <v>1.8402777777777777E-3</v>
      </c>
      <c r="H414" s="2">
        <v>3.0671296296296297E-3</v>
      </c>
      <c r="I414" s="1">
        <v>0.49680000000000002</v>
      </c>
    </row>
    <row r="415" spans="1:9" x14ac:dyDescent="0.3">
      <c r="A415">
        <v>414</v>
      </c>
      <c r="B415">
        <v>132</v>
      </c>
      <c r="C415">
        <v>122</v>
      </c>
      <c r="D415" s="1">
        <v>0.92420000000000002</v>
      </c>
      <c r="E415">
        <v>10</v>
      </c>
      <c r="F415" s="2">
        <v>4.2824074074074075E-4</v>
      </c>
      <c r="G415" s="2">
        <v>1.8287037037037037E-3</v>
      </c>
      <c r="H415" s="2">
        <v>2.673611111111111E-3</v>
      </c>
      <c r="I415" s="1">
        <v>0.5</v>
      </c>
    </row>
    <row r="416" spans="1:9" x14ac:dyDescent="0.3">
      <c r="A416">
        <v>415</v>
      </c>
      <c r="B416">
        <v>161</v>
      </c>
      <c r="C416">
        <v>151</v>
      </c>
      <c r="D416" s="1">
        <v>0.93789999999999996</v>
      </c>
      <c r="E416">
        <v>10</v>
      </c>
      <c r="F416" s="2">
        <v>3.2407407407407406E-4</v>
      </c>
      <c r="G416" s="2">
        <v>1.4699074074074074E-3</v>
      </c>
      <c r="H416" s="2">
        <v>1.9675925925925924E-3</v>
      </c>
      <c r="I416" s="1">
        <v>0.6139</v>
      </c>
    </row>
    <row r="417" spans="1:9" x14ac:dyDescent="0.3">
      <c r="A417">
        <v>416</v>
      </c>
      <c r="B417">
        <v>156</v>
      </c>
      <c r="C417">
        <v>149</v>
      </c>
      <c r="D417" s="1">
        <v>0.95509999999999995</v>
      </c>
      <c r="E417">
        <v>7</v>
      </c>
      <c r="F417" s="2">
        <v>2.5462962962962961E-4</v>
      </c>
      <c r="G417" s="2">
        <v>1.712962962962963E-3</v>
      </c>
      <c r="H417" s="2">
        <v>2.9050925925925928E-3</v>
      </c>
      <c r="I417" s="1">
        <v>0.70320000000000005</v>
      </c>
    </row>
    <row r="418" spans="1:9" x14ac:dyDescent="0.3">
      <c r="A418">
        <v>417</v>
      </c>
      <c r="B418">
        <v>137</v>
      </c>
      <c r="C418">
        <v>128</v>
      </c>
      <c r="D418" s="1">
        <v>0.93430000000000002</v>
      </c>
      <c r="E418">
        <v>9</v>
      </c>
      <c r="F418" s="2">
        <v>3.5879629629629629E-4</v>
      </c>
      <c r="G418" s="2">
        <v>1.736111111111111E-3</v>
      </c>
      <c r="H418" s="2">
        <v>3.5185185185185185E-3</v>
      </c>
      <c r="I418" s="1">
        <v>0.62690000000000001</v>
      </c>
    </row>
    <row r="419" spans="1:9" x14ac:dyDescent="0.3">
      <c r="A419">
        <v>418</v>
      </c>
      <c r="B419">
        <v>28</v>
      </c>
      <c r="C419">
        <v>25</v>
      </c>
      <c r="D419" s="1">
        <v>0.89290000000000003</v>
      </c>
      <c r="E419">
        <v>3</v>
      </c>
      <c r="F419" s="2">
        <v>6.9444444444444447E-4</v>
      </c>
      <c r="G419" s="2">
        <v>1.9328703703703704E-3</v>
      </c>
      <c r="H419" s="2">
        <v>3.3101851851851851E-3</v>
      </c>
      <c r="I419" s="1">
        <v>0.32140000000000002</v>
      </c>
    </row>
    <row r="420" spans="1:9" x14ac:dyDescent="0.3">
      <c r="A420">
        <v>419</v>
      </c>
      <c r="B420">
        <v>141</v>
      </c>
      <c r="C420">
        <v>133</v>
      </c>
      <c r="D420" s="1">
        <v>0.94330000000000003</v>
      </c>
      <c r="E420">
        <v>8</v>
      </c>
      <c r="F420" s="2">
        <v>3.8194444444444446E-4</v>
      </c>
      <c r="G420" s="2">
        <v>1.8749999999999999E-3</v>
      </c>
      <c r="H420" s="2">
        <v>3.2175925925925926E-3</v>
      </c>
      <c r="I420" s="1">
        <v>0.6331</v>
      </c>
    </row>
    <row r="421" spans="1:9" x14ac:dyDescent="0.3">
      <c r="A421">
        <v>420</v>
      </c>
      <c r="B421">
        <v>130</v>
      </c>
      <c r="C421">
        <v>123</v>
      </c>
      <c r="D421" s="1">
        <v>0.94620000000000004</v>
      </c>
      <c r="E421">
        <v>7</v>
      </c>
      <c r="F421" s="2">
        <v>3.7037037037037035E-4</v>
      </c>
      <c r="G421" s="2">
        <v>1.8518518518518519E-3</v>
      </c>
      <c r="H421" s="2">
        <v>1.6203703703703703E-3</v>
      </c>
      <c r="I421" s="1">
        <v>0.53490000000000004</v>
      </c>
    </row>
    <row r="422" spans="1:9" x14ac:dyDescent="0.3">
      <c r="A422">
        <v>421</v>
      </c>
      <c r="B422">
        <v>161</v>
      </c>
      <c r="C422">
        <v>155</v>
      </c>
      <c r="D422" s="1">
        <v>0.9627</v>
      </c>
      <c r="E422">
        <v>6</v>
      </c>
      <c r="F422" s="2">
        <v>3.1250000000000001E-4</v>
      </c>
      <c r="G422" s="2">
        <v>1.8865740740740742E-3</v>
      </c>
      <c r="H422" s="2">
        <v>1.8865740740740742E-3</v>
      </c>
      <c r="I422" s="1">
        <v>0.73580000000000001</v>
      </c>
    </row>
    <row r="423" spans="1:9" x14ac:dyDescent="0.3">
      <c r="A423">
        <v>422</v>
      </c>
      <c r="B423">
        <v>139</v>
      </c>
      <c r="C423">
        <v>132</v>
      </c>
      <c r="D423" s="1">
        <v>0.9496</v>
      </c>
      <c r="E423">
        <v>7</v>
      </c>
      <c r="F423" s="2">
        <v>3.2407407407407406E-4</v>
      </c>
      <c r="G423" s="2">
        <v>1.8518518518518519E-3</v>
      </c>
      <c r="H423" s="2">
        <v>1.2847222222222223E-3</v>
      </c>
      <c r="I423" s="1">
        <v>0.6331</v>
      </c>
    </row>
    <row r="424" spans="1:9" x14ac:dyDescent="0.3">
      <c r="A424">
        <v>423</v>
      </c>
      <c r="B424">
        <v>167</v>
      </c>
      <c r="C424">
        <v>130</v>
      </c>
      <c r="D424" s="1">
        <v>0.77839999999999998</v>
      </c>
      <c r="E424">
        <v>37</v>
      </c>
      <c r="F424" s="2">
        <v>3.3564814814814812E-4</v>
      </c>
      <c r="G424" s="2">
        <v>1.7824074074074075E-3</v>
      </c>
      <c r="H424" s="2">
        <v>8.2870370370370372E-3</v>
      </c>
      <c r="I424" s="1">
        <v>0.54600000000000004</v>
      </c>
    </row>
    <row r="425" spans="1:9" x14ac:dyDescent="0.3">
      <c r="A425">
        <v>424</v>
      </c>
      <c r="B425">
        <v>138</v>
      </c>
      <c r="C425">
        <v>122</v>
      </c>
      <c r="D425" s="1">
        <v>0.8841</v>
      </c>
      <c r="E425">
        <v>16</v>
      </c>
      <c r="F425" s="2">
        <v>4.0509259259259258E-4</v>
      </c>
      <c r="G425" s="2">
        <v>1.9560185185185184E-3</v>
      </c>
      <c r="H425" s="2">
        <v>3.8194444444444443E-3</v>
      </c>
      <c r="I425" s="1">
        <v>0.57779999999999998</v>
      </c>
    </row>
    <row r="426" spans="1:9" x14ac:dyDescent="0.3">
      <c r="A426">
        <v>425</v>
      </c>
      <c r="B426">
        <v>47</v>
      </c>
      <c r="C426">
        <v>44</v>
      </c>
      <c r="D426" s="1">
        <v>0.93620000000000003</v>
      </c>
      <c r="E426">
        <v>3</v>
      </c>
      <c r="F426" s="2">
        <v>3.0092592592592595E-4</v>
      </c>
      <c r="G426" s="2">
        <v>2.2106481481481482E-3</v>
      </c>
      <c r="H426" s="2">
        <v>2.4189814814814816E-3</v>
      </c>
      <c r="I426" s="1">
        <v>0.63039999999999996</v>
      </c>
    </row>
    <row r="427" spans="1:9" x14ac:dyDescent="0.3">
      <c r="A427">
        <v>426</v>
      </c>
      <c r="B427">
        <v>230</v>
      </c>
      <c r="C427">
        <v>206</v>
      </c>
      <c r="D427" s="1">
        <v>0.89570000000000005</v>
      </c>
      <c r="E427">
        <v>24</v>
      </c>
      <c r="F427" s="2">
        <v>4.3981481481481481E-4</v>
      </c>
      <c r="G427" s="2">
        <v>1.7824074074074075E-3</v>
      </c>
      <c r="H427" s="2">
        <v>3.1828703703703702E-3</v>
      </c>
      <c r="I427" s="1">
        <v>0.4672</v>
      </c>
    </row>
    <row r="428" spans="1:9" x14ac:dyDescent="0.3">
      <c r="A428">
        <v>427</v>
      </c>
      <c r="B428">
        <v>177</v>
      </c>
      <c r="C428">
        <v>153</v>
      </c>
      <c r="D428" s="1">
        <v>0.86439999999999995</v>
      </c>
      <c r="E428">
        <v>24</v>
      </c>
      <c r="F428" s="2">
        <v>3.4722222222222224E-4</v>
      </c>
      <c r="G428" s="2">
        <v>2.0023148148148148E-3</v>
      </c>
      <c r="H428" s="2">
        <v>3.1018518518518517E-3</v>
      </c>
      <c r="I428" s="1">
        <v>0.55489999999999995</v>
      </c>
    </row>
    <row r="429" spans="1:9" x14ac:dyDescent="0.3">
      <c r="A429">
        <v>428</v>
      </c>
      <c r="B429">
        <v>159</v>
      </c>
      <c r="C429">
        <v>149</v>
      </c>
      <c r="D429" s="1">
        <v>0.93710000000000004</v>
      </c>
      <c r="E429">
        <v>10</v>
      </c>
      <c r="F429" s="2">
        <v>3.8194444444444446E-4</v>
      </c>
      <c r="G429" s="2">
        <v>1.8518518518518519E-3</v>
      </c>
      <c r="H429" s="2">
        <v>3.1481481481481482E-3</v>
      </c>
      <c r="I429" s="1">
        <v>0.61040000000000005</v>
      </c>
    </row>
    <row r="430" spans="1:9" x14ac:dyDescent="0.3">
      <c r="A430">
        <v>429</v>
      </c>
      <c r="B430">
        <v>151</v>
      </c>
      <c r="C430">
        <v>135</v>
      </c>
      <c r="D430" s="1">
        <v>0.89400000000000002</v>
      </c>
      <c r="E430">
        <v>16</v>
      </c>
      <c r="F430" s="2">
        <v>4.1666666666666669E-4</v>
      </c>
      <c r="G430" s="2">
        <v>1.7592592592592592E-3</v>
      </c>
      <c r="H430" s="2">
        <v>3.2523148148148147E-3</v>
      </c>
      <c r="I430" s="1">
        <v>0.52739999999999998</v>
      </c>
    </row>
    <row r="431" spans="1:9" x14ac:dyDescent="0.3">
      <c r="A431">
        <v>430</v>
      </c>
      <c r="B431">
        <v>138</v>
      </c>
      <c r="C431">
        <v>126</v>
      </c>
      <c r="D431" s="1">
        <v>0.91300000000000003</v>
      </c>
      <c r="E431">
        <v>12</v>
      </c>
      <c r="F431" s="2">
        <v>3.9351851851851852E-4</v>
      </c>
      <c r="G431" s="2">
        <v>1.5856481481481481E-3</v>
      </c>
      <c r="H431" s="2">
        <v>2.8935185185185184E-3</v>
      </c>
      <c r="I431" s="1">
        <v>0.59699999999999998</v>
      </c>
    </row>
    <row r="432" spans="1:9" x14ac:dyDescent="0.3">
      <c r="A432">
        <v>431</v>
      </c>
      <c r="B432">
        <v>118</v>
      </c>
      <c r="C432">
        <v>118</v>
      </c>
      <c r="D432" s="1">
        <v>1</v>
      </c>
      <c r="E432">
        <v>0</v>
      </c>
      <c r="F432" s="2">
        <v>3.0092592592592595E-4</v>
      </c>
      <c r="G432" s="2">
        <v>1.7708333333333332E-3</v>
      </c>
      <c r="H432" s="2">
        <v>1.1342592592592593E-3</v>
      </c>
      <c r="I432" s="1">
        <v>0.66100000000000003</v>
      </c>
    </row>
    <row r="433" spans="1:9" x14ac:dyDescent="0.3">
      <c r="A433">
        <v>432</v>
      </c>
      <c r="B433">
        <v>22</v>
      </c>
      <c r="C433">
        <v>21</v>
      </c>
      <c r="D433" s="1">
        <v>0.95450000000000002</v>
      </c>
      <c r="E433">
        <v>1</v>
      </c>
      <c r="F433" s="2">
        <v>4.861111111111111E-4</v>
      </c>
      <c r="G433" s="2">
        <v>1.6666666666666668E-3</v>
      </c>
      <c r="H433" s="2">
        <v>2.0370370370370369E-3</v>
      </c>
      <c r="I433" s="1">
        <v>0.52380000000000004</v>
      </c>
    </row>
    <row r="434" spans="1:9" x14ac:dyDescent="0.3">
      <c r="A434">
        <v>433</v>
      </c>
      <c r="B434">
        <v>177</v>
      </c>
      <c r="C434">
        <v>156</v>
      </c>
      <c r="D434" s="1">
        <v>0.88139999999999996</v>
      </c>
      <c r="E434">
        <v>21</v>
      </c>
      <c r="F434" s="2">
        <v>4.861111111111111E-4</v>
      </c>
      <c r="G434" s="2">
        <v>1.8402777777777777E-3</v>
      </c>
      <c r="H434" s="2">
        <v>2.2685185185185187E-3</v>
      </c>
      <c r="I434" s="1">
        <v>0.42370000000000002</v>
      </c>
    </row>
    <row r="435" spans="1:9" x14ac:dyDescent="0.3">
      <c r="A435">
        <v>434</v>
      </c>
      <c r="B435">
        <v>156</v>
      </c>
      <c r="C435">
        <v>147</v>
      </c>
      <c r="D435" s="1">
        <v>0.94230000000000003</v>
      </c>
      <c r="E435">
        <v>9</v>
      </c>
      <c r="F435" s="2">
        <v>3.3564814814814812E-4</v>
      </c>
      <c r="G435" s="2">
        <v>1.7476851851851852E-3</v>
      </c>
      <c r="H435" s="2">
        <v>2.5578703703703705E-3</v>
      </c>
      <c r="I435" s="1">
        <v>0.63639999999999997</v>
      </c>
    </row>
    <row r="436" spans="1:9" x14ac:dyDescent="0.3">
      <c r="A436">
        <v>435</v>
      </c>
      <c r="B436">
        <v>123</v>
      </c>
      <c r="C436">
        <v>121</v>
      </c>
      <c r="D436" s="1">
        <v>0.98370000000000002</v>
      </c>
      <c r="E436">
        <v>2</v>
      </c>
      <c r="F436" s="2">
        <v>3.0092592592592595E-4</v>
      </c>
      <c r="G436" s="2">
        <v>1.712962962962963E-3</v>
      </c>
      <c r="H436" s="2">
        <v>2.4189814814814816E-3</v>
      </c>
      <c r="I436" s="1">
        <v>0.64229999999999998</v>
      </c>
    </row>
    <row r="437" spans="1:9" x14ac:dyDescent="0.3">
      <c r="A437">
        <v>436</v>
      </c>
      <c r="B437">
        <v>130</v>
      </c>
      <c r="C437">
        <v>125</v>
      </c>
      <c r="D437" s="1">
        <v>0.96150000000000002</v>
      </c>
      <c r="E437">
        <v>5</v>
      </c>
      <c r="F437" s="2">
        <v>3.0092592592592595E-4</v>
      </c>
      <c r="G437" s="2">
        <v>1.724537037037037E-3</v>
      </c>
      <c r="H437" s="2">
        <v>2.4074074074074076E-3</v>
      </c>
      <c r="I437" s="1">
        <v>0.66930000000000001</v>
      </c>
    </row>
    <row r="438" spans="1:9" x14ac:dyDescent="0.3">
      <c r="A438">
        <v>437</v>
      </c>
      <c r="B438">
        <v>141</v>
      </c>
      <c r="C438">
        <v>134</v>
      </c>
      <c r="D438" s="1">
        <v>0.95040000000000002</v>
      </c>
      <c r="E438">
        <v>7</v>
      </c>
      <c r="F438" s="2">
        <v>4.5138888888888887E-4</v>
      </c>
      <c r="G438" s="2">
        <v>1.7708333333333332E-3</v>
      </c>
      <c r="H438" s="2">
        <v>2.1759259259259258E-3</v>
      </c>
      <c r="I438" s="1">
        <v>0.56430000000000002</v>
      </c>
    </row>
    <row r="439" spans="1:9" x14ac:dyDescent="0.3">
      <c r="A439">
        <v>438</v>
      </c>
      <c r="B439">
        <v>121</v>
      </c>
      <c r="C439">
        <v>113</v>
      </c>
      <c r="D439" s="1">
        <v>0.93389999999999995</v>
      </c>
      <c r="E439">
        <v>8</v>
      </c>
      <c r="F439" s="2">
        <v>4.3981481481481481E-4</v>
      </c>
      <c r="G439" s="2">
        <v>1.8287037037037037E-3</v>
      </c>
      <c r="H439" s="2">
        <v>2.9861111111111113E-3</v>
      </c>
      <c r="I439" s="1">
        <v>0.50829999999999997</v>
      </c>
    </row>
    <row r="440" spans="1:9" x14ac:dyDescent="0.3">
      <c r="A440">
        <v>439</v>
      </c>
      <c r="B440">
        <v>35</v>
      </c>
      <c r="C440">
        <v>31</v>
      </c>
      <c r="D440" s="1">
        <v>0.88570000000000004</v>
      </c>
      <c r="E440">
        <v>4</v>
      </c>
      <c r="F440" s="2">
        <v>3.9351851851851852E-4</v>
      </c>
      <c r="G440" s="2">
        <v>1.4467592592592592E-3</v>
      </c>
      <c r="H440" s="2">
        <v>3.1134259259259257E-3</v>
      </c>
      <c r="I440" s="1">
        <v>0.47060000000000002</v>
      </c>
    </row>
    <row r="441" spans="1:9" x14ac:dyDescent="0.3">
      <c r="A441">
        <v>440</v>
      </c>
      <c r="B441">
        <v>240</v>
      </c>
      <c r="C441">
        <v>226</v>
      </c>
      <c r="D441" s="1">
        <v>0.94169999999999998</v>
      </c>
      <c r="E441">
        <v>14</v>
      </c>
      <c r="F441" s="2">
        <v>4.1666666666666669E-4</v>
      </c>
      <c r="G441" s="2">
        <v>1.5625000000000001E-3</v>
      </c>
      <c r="H441" s="2">
        <v>2.8472222222222223E-3</v>
      </c>
      <c r="I441" s="1">
        <v>0.57020000000000004</v>
      </c>
    </row>
    <row r="442" spans="1:9" x14ac:dyDescent="0.3">
      <c r="A442">
        <v>441</v>
      </c>
      <c r="B442">
        <v>130</v>
      </c>
      <c r="C442">
        <v>118</v>
      </c>
      <c r="D442" s="1">
        <v>0.90769999999999995</v>
      </c>
      <c r="E442">
        <v>12</v>
      </c>
      <c r="F442" s="2">
        <v>3.7037037037037035E-4</v>
      </c>
      <c r="G442" s="2">
        <v>1.6550925925925926E-3</v>
      </c>
      <c r="H442" s="2">
        <v>2.5462962962962965E-3</v>
      </c>
      <c r="I442" s="1">
        <v>0.57809999999999995</v>
      </c>
    </row>
    <row r="443" spans="1:9" x14ac:dyDescent="0.3">
      <c r="A443">
        <v>442</v>
      </c>
      <c r="B443">
        <v>140</v>
      </c>
      <c r="C443">
        <v>130</v>
      </c>
      <c r="D443" s="1">
        <v>0.92859999999999998</v>
      </c>
      <c r="E443">
        <v>10</v>
      </c>
      <c r="F443" s="2">
        <v>3.3564814814814812E-4</v>
      </c>
      <c r="G443" s="2">
        <v>1.7476851851851852E-3</v>
      </c>
      <c r="H443" s="2">
        <v>5.2662037037037035E-3</v>
      </c>
      <c r="I443" s="1">
        <v>0.62319999999999998</v>
      </c>
    </row>
    <row r="444" spans="1:9" x14ac:dyDescent="0.3">
      <c r="A444">
        <v>443</v>
      </c>
      <c r="B444">
        <v>131</v>
      </c>
      <c r="C444">
        <v>111</v>
      </c>
      <c r="D444" s="1">
        <v>0.84730000000000005</v>
      </c>
      <c r="E444">
        <v>20</v>
      </c>
      <c r="F444" s="2">
        <v>4.3981481481481481E-4</v>
      </c>
      <c r="G444" s="2">
        <v>2.2685185185185187E-3</v>
      </c>
      <c r="H444" s="2">
        <v>6.9328703703703705E-3</v>
      </c>
      <c r="I444" s="1">
        <v>0.59689999999999999</v>
      </c>
    </row>
    <row r="445" spans="1:9" x14ac:dyDescent="0.3">
      <c r="A445">
        <v>444</v>
      </c>
      <c r="B445">
        <v>74</v>
      </c>
      <c r="C445">
        <v>74</v>
      </c>
      <c r="D445" s="1">
        <v>1</v>
      </c>
      <c r="E445">
        <v>0</v>
      </c>
      <c r="F445" s="2">
        <v>1.5046296296296297E-4</v>
      </c>
      <c r="G445" s="2">
        <v>2.0254629629629629E-3</v>
      </c>
      <c r="H445" s="2">
        <v>1.3078703703703703E-3</v>
      </c>
      <c r="I445" s="1">
        <v>0.89190000000000003</v>
      </c>
    </row>
    <row r="446" spans="1:9" x14ac:dyDescent="0.3">
      <c r="A446">
        <v>445</v>
      </c>
      <c r="B446">
        <v>24</v>
      </c>
      <c r="C446">
        <v>24</v>
      </c>
      <c r="D446" s="1">
        <v>1</v>
      </c>
      <c r="E446">
        <v>0</v>
      </c>
      <c r="F446" s="2">
        <v>1.3888888888888889E-4</v>
      </c>
      <c r="G446" s="2">
        <v>1.9328703703703704E-3</v>
      </c>
      <c r="H446" s="2">
        <v>6.5972222222222224E-4</v>
      </c>
      <c r="I446" s="1">
        <v>0.83330000000000004</v>
      </c>
    </row>
    <row r="447" spans="1:9" x14ac:dyDescent="0.3">
      <c r="A447">
        <v>446</v>
      </c>
      <c r="B447">
        <v>11</v>
      </c>
      <c r="C447">
        <v>10</v>
      </c>
      <c r="D447" s="1">
        <v>0.90910000000000002</v>
      </c>
      <c r="E447">
        <v>1</v>
      </c>
      <c r="F447" s="2">
        <v>1.5046296296296297E-4</v>
      </c>
      <c r="G447" s="2">
        <v>1.6666666666666668E-3</v>
      </c>
      <c r="H447" s="2">
        <v>6.3657407407407413E-4</v>
      </c>
      <c r="I447" s="1">
        <v>0.81820000000000004</v>
      </c>
    </row>
    <row r="448" spans="1:9" x14ac:dyDescent="0.3">
      <c r="A448">
        <v>447</v>
      </c>
      <c r="B448">
        <v>28</v>
      </c>
      <c r="C448">
        <v>26</v>
      </c>
      <c r="D448" s="1">
        <v>0.92859999999999998</v>
      </c>
      <c r="E448">
        <v>2</v>
      </c>
      <c r="F448" s="2">
        <v>1.1574074074074075E-4</v>
      </c>
      <c r="G448" s="2">
        <v>1.736111111111111E-3</v>
      </c>
      <c r="H448" s="2">
        <v>9.9537037037037042E-4</v>
      </c>
      <c r="I448" s="1">
        <v>0.81479999999999997</v>
      </c>
    </row>
    <row r="449" spans="1:9" x14ac:dyDescent="0.3">
      <c r="A449">
        <v>448</v>
      </c>
      <c r="B449">
        <v>43</v>
      </c>
      <c r="C449">
        <v>43</v>
      </c>
      <c r="D449" s="1">
        <v>1</v>
      </c>
      <c r="E449">
        <v>0</v>
      </c>
      <c r="F449" s="2">
        <v>9.2592592592592588E-5</v>
      </c>
      <c r="G449" s="2">
        <v>1.6550925925925926E-3</v>
      </c>
      <c r="H449" s="2">
        <v>6.018518518518519E-4</v>
      </c>
      <c r="I449" s="1">
        <v>0.88370000000000004</v>
      </c>
    </row>
    <row r="450" spans="1:9" x14ac:dyDescent="0.3">
      <c r="A450">
        <v>449</v>
      </c>
      <c r="B450">
        <v>62</v>
      </c>
      <c r="C450">
        <v>62</v>
      </c>
      <c r="D450" s="1">
        <v>1</v>
      </c>
      <c r="E450">
        <v>0</v>
      </c>
      <c r="F450" s="2">
        <v>1.9675925925925926E-4</v>
      </c>
      <c r="G450" s="2">
        <v>1.5277777777777779E-3</v>
      </c>
      <c r="H450" s="2">
        <v>9.9537037037037042E-4</v>
      </c>
      <c r="I450" s="1">
        <v>0.8226</v>
      </c>
    </row>
    <row r="451" spans="1:9" x14ac:dyDescent="0.3">
      <c r="A451">
        <v>450</v>
      </c>
      <c r="B451">
        <v>70</v>
      </c>
      <c r="C451">
        <v>69</v>
      </c>
      <c r="D451" s="1">
        <v>0.98570000000000002</v>
      </c>
      <c r="E451">
        <v>1</v>
      </c>
      <c r="F451" s="2">
        <v>2.5462962962962961E-4</v>
      </c>
      <c r="G451" s="2">
        <v>1.4583333333333334E-3</v>
      </c>
      <c r="H451" s="2">
        <v>6.0185185185185185E-3</v>
      </c>
      <c r="I451" s="1">
        <v>0.81430000000000002</v>
      </c>
    </row>
    <row r="452" spans="1:9" x14ac:dyDescent="0.3">
      <c r="A452">
        <v>451</v>
      </c>
      <c r="B452">
        <v>107</v>
      </c>
      <c r="C452">
        <v>97</v>
      </c>
      <c r="D452" s="1">
        <v>0.90649999999999997</v>
      </c>
      <c r="E452">
        <v>10</v>
      </c>
      <c r="F452" s="2">
        <v>2.4305555555555555E-4</v>
      </c>
      <c r="G452" s="2">
        <v>1.6898148148148148E-3</v>
      </c>
      <c r="H452" s="2">
        <v>1.8518518518518519E-3</v>
      </c>
      <c r="I452" s="1">
        <v>0.68869999999999998</v>
      </c>
    </row>
    <row r="453" spans="1:9" x14ac:dyDescent="0.3">
      <c r="A453">
        <v>452</v>
      </c>
      <c r="B453">
        <v>91</v>
      </c>
      <c r="C453">
        <v>85</v>
      </c>
      <c r="D453" s="1">
        <v>0.93410000000000004</v>
      </c>
      <c r="E453">
        <v>6</v>
      </c>
      <c r="F453" s="2">
        <v>3.4722222222222224E-4</v>
      </c>
      <c r="G453" s="2">
        <v>1.7013888888888888E-3</v>
      </c>
      <c r="H453" s="2">
        <v>4.0393518518518521E-3</v>
      </c>
      <c r="I453" s="1">
        <v>0.62639999999999996</v>
      </c>
    </row>
    <row r="454" spans="1:9" x14ac:dyDescent="0.3">
      <c r="A454">
        <v>453</v>
      </c>
      <c r="B454">
        <v>25</v>
      </c>
      <c r="C454">
        <v>25</v>
      </c>
      <c r="D454" s="1">
        <v>1</v>
      </c>
      <c r="E454">
        <v>0</v>
      </c>
      <c r="F454" s="2">
        <v>1.273148148148148E-4</v>
      </c>
      <c r="G454" s="2">
        <v>1.8518518518518519E-3</v>
      </c>
      <c r="H454" s="2">
        <v>6.3657407407407413E-4</v>
      </c>
      <c r="I454" s="1">
        <v>0.84</v>
      </c>
    </row>
    <row r="455" spans="1:9" x14ac:dyDescent="0.3">
      <c r="A455">
        <v>454</v>
      </c>
      <c r="B455">
        <v>85</v>
      </c>
      <c r="C455">
        <v>79</v>
      </c>
      <c r="D455" s="1">
        <v>0.9294</v>
      </c>
      <c r="E455">
        <v>6</v>
      </c>
      <c r="F455" s="2">
        <v>2.7777777777777778E-4</v>
      </c>
      <c r="G455" s="2">
        <v>1.7476851851851852E-3</v>
      </c>
      <c r="H455" s="2">
        <v>2.1643518518518518E-3</v>
      </c>
      <c r="I455" s="1">
        <v>0.72289999999999999</v>
      </c>
    </row>
    <row r="456" spans="1:9" x14ac:dyDescent="0.3">
      <c r="A456">
        <v>455</v>
      </c>
      <c r="B456">
        <v>91</v>
      </c>
      <c r="C456">
        <v>83</v>
      </c>
      <c r="D456" s="1">
        <v>0.91210000000000002</v>
      </c>
      <c r="E456">
        <v>8</v>
      </c>
      <c r="F456" s="2">
        <v>3.0092592592592595E-4</v>
      </c>
      <c r="G456" s="2">
        <v>1.8171296296296297E-3</v>
      </c>
      <c r="H456" s="2">
        <v>2.5462962962962965E-3</v>
      </c>
      <c r="I456" s="1">
        <v>0.62639999999999996</v>
      </c>
    </row>
    <row r="457" spans="1:9" x14ac:dyDescent="0.3">
      <c r="A457">
        <v>456</v>
      </c>
      <c r="B457">
        <v>48</v>
      </c>
      <c r="C457">
        <v>46</v>
      </c>
      <c r="D457" s="1">
        <v>0.95830000000000004</v>
      </c>
      <c r="E457">
        <v>2</v>
      </c>
      <c r="F457" s="2">
        <v>1.273148148148148E-4</v>
      </c>
      <c r="G457" s="2">
        <v>1.5393518518518519E-3</v>
      </c>
      <c r="H457" s="2">
        <v>9.4907407407407408E-4</v>
      </c>
      <c r="I457" s="1">
        <v>0.82979999999999998</v>
      </c>
    </row>
    <row r="458" spans="1:9" x14ac:dyDescent="0.3">
      <c r="A458">
        <v>457</v>
      </c>
      <c r="B458">
        <v>14</v>
      </c>
      <c r="C458">
        <v>11</v>
      </c>
      <c r="D458" s="1">
        <v>0.78569999999999995</v>
      </c>
      <c r="E458">
        <v>3</v>
      </c>
      <c r="F458" s="2">
        <v>2.0833333333333335E-4</v>
      </c>
      <c r="G458" s="2">
        <v>1.7013888888888888E-3</v>
      </c>
      <c r="H458" s="2">
        <v>1.9097222222222222E-3</v>
      </c>
      <c r="I458" s="1">
        <v>0.61539999999999995</v>
      </c>
    </row>
    <row r="459" spans="1:9" x14ac:dyDescent="0.3">
      <c r="A459">
        <v>458</v>
      </c>
      <c r="B459">
        <v>43</v>
      </c>
      <c r="C459">
        <v>42</v>
      </c>
      <c r="D459" s="1">
        <v>0.97670000000000001</v>
      </c>
      <c r="E459">
        <v>1</v>
      </c>
      <c r="F459" s="2">
        <v>2.5462962962962961E-4</v>
      </c>
      <c r="G459" s="2">
        <v>1.9328703703703704E-3</v>
      </c>
      <c r="H459" s="2">
        <v>2.2569444444444442E-3</v>
      </c>
      <c r="I459" s="1">
        <v>0.73809999999999998</v>
      </c>
    </row>
    <row r="460" spans="1:9" x14ac:dyDescent="0.3">
      <c r="A460">
        <v>459</v>
      </c>
      <c r="B460">
        <v>74</v>
      </c>
      <c r="C460">
        <v>69</v>
      </c>
      <c r="D460" s="1">
        <v>0.93240000000000001</v>
      </c>
      <c r="E460">
        <v>5</v>
      </c>
      <c r="F460" s="2">
        <v>2.6620370370370372E-4</v>
      </c>
      <c r="G460" s="2">
        <v>1.7476851851851852E-3</v>
      </c>
      <c r="H460" s="2">
        <v>3.3333333333333335E-3</v>
      </c>
      <c r="I460" s="1">
        <v>0.7671</v>
      </c>
    </row>
    <row r="461" spans="1:9" x14ac:dyDescent="0.3">
      <c r="A461">
        <v>460</v>
      </c>
      <c r="B461">
        <v>33</v>
      </c>
      <c r="C461">
        <v>33</v>
      </c>
      <c r="D461" s="1">
        <v>1</v>
      </c>
      <c r="E461">
        <v>0</v>
      </c>
      <c r="F461" s="2">
        <v>1.6203703703703703E-4</v>
      </c>
      <c r="G461" s="2">
        <v>1.6782407407407408E-3</v>
      </c>
      <c r="H461" s="2">
        <v>1.0300925925925926E-3</v>
      </c>
      <c r="I461" s="1">
        <v>0.81820000000000004</v>
      </c>
    </row>
    <row r="462" spans="1:9" x14ac:dyDescent="0.3">
      <c r="A462">
        <v>461</v>
      </c>
      <c r="B462">
        <v>124</v>
      </c>
      <c r="C462">
        <v>112</v>
      </c>
      <c r="D462" s="1">
        <v>0.9032</v>
      </c>
      <c r="E462">
        <v>12</v>
      </c>
      <c r="F462" s="2">
        <v>3.0092592592592595E-4</v>
      </c>
      <c r="G462" s="2">
        <v>1.8055555555555555E-3</v>
      </c>
      <c r="H462" s="2">
        <v>3.8194444444444443E-3</v>
      </c>
      <c r="I462" s="1">
        <v>0.64749999999999996</v>
      </c>
    </row>
    <row r="463" spans="1:9" x14ac:dyDescent="0.3">
      <c r="A463">
        <v>462</v>
      </c>
      <c r="B463">
        <v>130</v>
      </c>
      <c r="C463">
        <v>126</v>
      </c>
      <c r="D463" s="1">
        <v>0.96919999999999995</v>
      </c>
      <c r="E463">
        <v>4</v>
      </c>
      <c r="F463" s="2">
        <v>2.8935185185185184E-4</v>
      </c>
      <c r="G463" s="2">
        <v>1.736111111111111E-3</v>
      </c>
      <c r="H463" s="2">
        <v>2.0601851851851853E-3</v>
      </c>
      <c r="I463" s="1">
        <v>0.65890000000000004</v>
      </c>
    </row>
    <row r="464" spans="1:9" x14ac:dyDescent="0.3">
      <c r="A464">
        <v>463</v>
      </c>
      <c r="B464">
        <v>139</v>
      </c>
      <c r="C464">
        <v>139</v>
      </c>
      <c r="D464" s="1">
        <v>1</v>
      </c>
      <c r="E464">
        <v>0</v>
      </c>
      <c r="F464" s="2">
        <v>2.0833333333333335E-4</v>
      </c>
      <c r="G464" s="2">
        <v>1.8518518518518519E-3</v>
      </c>
      <c r="H464" s="2">
        <v>2.1180555555555558E-3</v>
      </c>
      <c r="I464" s="1">
        <v>0.77539999999999998</v>
      </c>
    </row>
    <row r="465" spans="1:9" x14ac:dyDescent="0.3">
      <c r="A465">
        <v>464</v>
      </c>
      <c r="B465">
        <v>138</v>
      </c>
      <c r="C465">
        <v>130</v>
      </c>
      <c r="D465" s="1">
        <v>0.94199999999999995</v>
      </c>
      <c r="E465">
        <v>8</v>
      </c>
      <c r="F465" s="2">
        <v>3.0092592592592595E-4</v>
      </c>
      <c r="G465" s="2">
        <v>1.7013888888888888E-3</v>
      </c>
      <c r="H465" s="2">
        <v>1.2962962962962963E-3</v>
      </c>
      <c r="I465" s="1">
        <v>0.61480000000000001</v>
      </c>
    </row>
    <row r="466" spans="1:9" x14ac:dyDescent="0.3">
      <c r="A466">
        <v>465</v>
      </c>
      <c r="B466">
        <v>125</v>
      </c>
      <c r="C466">
        <v>119</v>
      </c>
      <c r="D466" s="1">
        <v>0.95199999999999996</v>
      </c>
      <c r="E466">
        <v>6</v>
      </c>
      <c r="F466" s="2">
        <v>2.5462962962962961E-4</v>
      </c>
      <c r="G466" s="2">
        <v>1.724537037037037E-3</v>
      </c>
      <c r="H466" s="2">
        <v>2.5462962962962965E-3</v>
      </c>
      <c r="I466" s="1">
        <v>0.68</v>
      </c>
    </row>
    <row r="467" spans="1:9" x14ac:dyDescent="0.3">
      <c r="A467">
        <v>466</v>
      </c>
      <c r="B467">
        <v>98</v>
      </c>
      <c r="C467">
        <v>96</v>
      </c>
      <c r="D467" s="1">
        <v>0.97960000000000003</v>
      </c>
      <c r="E467">
        <v>2</v>
      </c>
      <c r="F467" s="2">
        <v>2.3148148148148149E-4</v>
      </c>
      <c r="G467" s="2">
        <v>1.8055555555555555E-3</v>
      </c>
      <c r="H467" s="2">
        <v>2.0023148148148148E-3</v>
      </c>
      <c r="I467" s="1">
        <v>0.7732</v>
      </c>
    </row>
    <row r="468" spans="1:9" x14ac:dyDescent="0.3">
      <c r="A468">
        <v>467</v>
      </c>
      <c r="B468">
        <v>12</v>
      </c>
      <c r="C468">
        <v>12</v>
      </c>
      <c r="D468" s="1">
        <v>1</v>
      </c>
      <c r="E468">
        <v>0</v>
      </c>
      <c r="F468" s="2">
        <v>2.0833333333333335E-4</v>
      </c>
      <c r="G468" s="2">
        <v>2.1643518518518518E-3</v>
      </c>
      <c r="H468" s="2">
        <v>1.1111111111111111E-3</v>
      </c>
      <c r="I468" s="1">
        <v>0.83330000000000004</v>
      </c>
    </row>
    <row r="469" spans="1:9" x14ac:dyDescent="0.3">
      <c r="A469">
        <v>468</v>
      </c>
      <c r="B469">
        <v>119</v>
      </c>
      <c r="C469">
        <v>117</v>
      </c>
      <c r="D469" s="1">
        <v>0.98319999999999996</v>
      </c>
      <c r="E469">
        <v>2</v>
      </c>
      <c r="F469" s="2">
        <v>2.0833333333333335E-4</v>
      </c>
      <c r="G469" s="2">
        <v>1.8402777777777777E-3</v>
      </c>
      <c r="H469" s="2">
        <v>1.8865740740740742E-3</v>
      </c>
      <c r="I469" s="1">
        <v>0.78149999999999997</v>
      </c>
    </row>
    <row r="470" spans="1:9" x14ac:dyDescent="0.3">
      <c r="A470">
        <v>469</v>
      </c>
      <c r="B470">
        <v>100</v>
      </c>
      <c r="C470">
        <v>96</v>
      </c>
      <c r="D470" s="1">
        <v>0.96</v>
      </c>
      <c r="E470">
        <v>4</v>
      </c>
      <c r="F470" s="2">
        <v>2.4305555555555555E-4</v>
      </c>
      <c r="G470" s="2">
        <v>1.8171296296296297E-3</v>
      </c>
      <c r="H470" s="2">
        <v>1.9097222222222222E-3</v>
      </c>
      <c r="I470" s="1">
        <v>0.76</v>
      </c>
    </row>
    <row r="471" spans="1:9" x14ac:dyDescent="0.3">
      <c r="A471">
        <v>470</v>
      </c>
      <c r="B471">
        <v>146</v>
      </c>
      <c r="C471">
        <v>133</v>
      </c>
      <c r="D471" s="1">
        <v>0.91100000000000003</v>
      </c>
      <c r="E471">
        <v>13</v>
      </c>
      <c r="F471" s="2">
        <v>3.5879629629629629E-4</v>
      </c>
      <c r="G471" s="2">
        <v>1.736111111111111E-3</v>
      </c>
      <c r="H471" s="2">
        <v>2.5462962962962965E-3</v>
      </c>
      <c r="I471" s="1">
        <v>0.57750000000000001</v>
      </c>
    </row>
    <row r="472" spans="1:9" x14ac:dyDescent="0.3">
      <c r="A472">
        <v>471</v>
      </c>
      <c r="B472">
        <v>131</v>
      </c>
      <c r="C472">
        <v>127</v>
      </c>
      <c r="D472" s="1">
        <v>0.96950000000000003</v>
      </c>
      <c r="E472">
        <v>4</v>
      </c>
      <c r="F472" s="2">
        <v>2.5462962962962961E-4</v>
      </c>
      <c r="G472" s="2">
        <v>1.6782407407407408E-3</v>
      </c>
      <c r="H472" s="2">
        <v>1.712962962962963E-3</v>
      </c>
      <c r="I472" s="1">
        <v>0.72660000000000002</v>
      </c>
    </row>
    <row r="473" spans="1:9" x14ac:dyDescent="0.3">
      <c r="A473">
        <v>472</v>
      </c>
      <c r="B473">
        <v>107</v>
      </c>
      <c r="C473">
        <v>104</v>
      </c>
      <c r="D473" s="1">
        <v>0.97199999999999998</v>
      </c>
      <c r="E473">
        <v>3</v>
      </c>
      <c r="F473" s="2">
        <v>9.2592592592592588E-5</v>
      </c>
      <c r="G473" s="2">
        <v>1.7013888888888888E-3</v>
      </c>
      <c r="H473" s="2">
        <v>1.1111111111111111E-3</v>
      </c>
      <c r="I473" s="1">
        <v>0.92449999999999999</v>
      </c>
    </row>
    <row r="474" spans="1:9" x14ac:dyDescent="0.3">
      <c r="A474">
        <v>473</v>
      </c>
      <c r="B474">
        <v>112</v>
      </c>
      <c r="C474">
        <v>105</v>
      </c>
      <c r="D474" s="1">
        <v>0.9375</v>
      </c>
      <c r="E474">
        <v>7</v>
      </c>
      <c r="F474" s="2">
        <v>2.7777777777777778E-4</v>
      </c>
      <c r="G474" s="2">
        <v>1.8287037037037037E-3</v>
      </c>
      <c r="H474" s="2">
        <v>3.1018518518518517E-3</v>
      </c>
      <c r="I474" s="1">
        <v>0.67269999999999996</v>
      </c>
    </row>
    <row r="475" spans="1:9" x14ac:dyDescent="0.3">
      <c r="A475">
        <v>474</v>
      </c>
      <c r="B475">
        <v>21</v>
      </c>
      <c r="C475">
        <v>21</v>
      </c>
      <c r="D475" s="1">
        <v>1</v>
      </c>
      <c r="E475">
        <v>0</v>
      </c>
      <c r="F475" s="2">
        <v>3.7037037037037035E-4</v>
      </c>
      <c r="G475" s="2">
        <v>1.7476851851851852E-3</v>
      </c>
      <c r="H475" s="2">
        <v>9.837962962962962E-4</v>
      </c>
      <c r="I475" s="1">
        <v>0.52380000000000004</v>
      </c>
    </row>
    <row r="476" spans="1:9" x14ac:dyDescent="0.3">
      <c r="A476">
        <v>475</v>
      </c>
      <c r="B476">
        <v>125</v>
      </c>
      <c r="C476">
        <v>104</v>
      </c>
      <c r="D476" s="1">
        <v>0.83199999999999996</v>
      </c>
      <c r="E476">
        <v>21</v>
      </c>
      <c r="F476" s="2">
        <v>4.2824074074074075E-4</v>
      </c>
      <c r="G476" s="2">
        <v>1.8981481481481482E-3</v>
      </c>
      <c r="H476" s="2">
        <v>1.9097222222222222E-3</v>
      </c>
      <c r="I476" s="1">
        <v>0.44629999999999997</v>
      </c>
    </row>
    <row r="477" spans="1:9" x14ac:dyDescent="0.3">
      <c r="A477">
        <v>476</v>
      </c>
      <c r="B477">
        <v>35</v>
      </c>
      <c r="C477">
        <v>34</v>
      </c>
      <c r="D477" s="1">
        <v>0.97140000000000004</v>
      </c>
      <c r="E477">
        <v>1</v>
      </c>
      <c r="F477" s="2">
        <v>2.7777777777777778E-4</v>
      </c>
      <c r="G477" s="2">
        <v>1.5277777777777779E-3</v>
      </c>
      <c r="H477" s="2">
        <v>1.5740740740740741E-3</v>
      </c>
      <c r="I477" s="1">
        <v>0.7429</v>
      </c>
    </row>
    <row r="478" spans="1:9" x14ac:dyDescent="0.3">
      <c r="A478">
        <v>477</v>
      </c>
      <c r="B478">
        <v>121</v>
      </c>
      <c r="C478">
        <v>109</v>
      </c>
      <c r="D478" s="1">
        <v>0.90080000000000005</v>
      </c>
      <c r="E478">
        <v>12</v>
      </c>
      <c r="F478" s="2">
        <v>4.3981481481481481E-4</v>
      </c>
      <c r="G478" s="2">
        <v>1.7592592592592592E-3</v>
      </c>
      <c r="H478" s="2">
        <v>3.7152777777777778E-3</v>
      </c>
      <c r="I478" s="1">
        <v>0.53779999999999994</v>
      </c>
    </row>
    <row r="479" spans="1:9" x14ac:dyDescent="0.3">
      <c r="A479">
        <v>478</v>
      </c>
      <c r="B479">
        <v>135</v>
      </c>
      <c r="C479">
        <v>122</v>
      </c>
      <c r="D479" s="1">
        <v>0.90369999999999995</v>
      </c>
      <c r="E479">
        <v>13</v>
      </c>
      <c r="F479" s="2">
        <v>3.7037037037037035E-4</v>
      </c>
      <c r="G479" s="2">
        <v>1.7824074074074075E-3</v>
      </c>
      <c r="H479" s="2">
        <v>2.1759259259259258E-3</v>
      </c>
      <c r="I479" s="1">
        <v>0.57579999999999998</v>
      </c>
    </row>
    <row r="480" spans="1:9" x14ac:dyDescent="0.3">
      <c r="A480">
        <v>479</v>
      </c>
      <c r="B480">
        <v>117</v>
      </c>
      <c r="C480">
        <v>114</v>
      </c>
      <c r="D480" s="1">
        <v>0.97440000000000004</v>
      </c>
      <c r="E480">
        <v>3</v>
      </c>
      <c r="F480" s="2">
        <v>2.5462962962962961E-4</v>
      </c>
      <c r="G480" s="2">
        <v>1.8287037037037037E-3</v>
      </c>
      <c r="H480" s="2">
        <v>1.7013888888888888E-3</v>
      </c>
      <c r="I480" s="1">
        <v>0.75860000000000005</v>
      </c>
    </row>
    <row r="481" spans="1:9" x14ac:dyDescent="0.3">
      <c r="A481">
        <v>480</v>
      </c>
      <c r="B481">
        <v>114</v>
      </c>
      <c r="C481">
        <v>97</v>
      </c>
      <c r="D481" s="1">
        <v>0.85089999999999999</v>
      </c>
      <c r="E481">
        <v>17</v>
      </c>
      <c r="F481" s="2">
        <v>4.5138888888888887E-4</v>
      </c>
      <c r="G481" s="2">
        <v>1.9675925925925924E-3</v>
      </c>
      <c r="H481" s="2">
        <v>5.7407407407407407E-3</v>
      </c>
      <c r="I481" s="1">
        <v>0.45129999999999998</v>
      </c>
    </row>
    <row r="482" spans="1:9" x14ac:dyDescent="0.3">
      <c r="A482">
        <v>481</v>
      </c>
      <c r="B482">
        <v>50</v>
      </c>
      <c r="C482">
        <v>49</v>
      </c>
      <c r="D482" s="1">
        <v>0.98</v>
      </c>
      <c r="E482">
        <v>1</v>
      </c>
      <c r="F482" s="2">
        <v>4.0509259259259258E-4</v>
      </c>
      <c r="G482" s="2">
        <v>2.0254629629629629E-3</v>
      </c>
      <c r="H482" s="2">
        <v>1.6435185185185185E-3</v>
      </c>
      <c r="I482" s="1">
        <v>0.52</v>
      </c>
    </row>
    <row r="483" spans="1:9" x14ac:dyDescent="0.3">
      <c r="A483">
        <v>482</v>
      </c>
      <c r="B483">
        <v>207</v>
      </c>
      <c r="C483">
        <v>198</v>
      </c>
      <c r="D483" s="1">
        <v>0.95650000000000002</v>
      </c>
      <c r="E483">
        <v>9</v>
      </c>
      <c r="F483" s="2">
        <v>1.8518518518518518E-4</v>
      </c>
      <c r="G483" s="2">
        <v>1.8865740740740742E-3</v>
      </c>
      <c r="H483" s="2">
        <v>2.673611111111111E-3</v>
      </c>
      <c r="I483" s="1">
        <v>0.80489999999999995</v>
      </c>
    </row>
    <row r="484" spans="1:9" x14ac:dyDescent="0.3">
      <c r="A484">
        <v>483</v>
      </c>
      <c r="B484">
        <v>189</v>
      </c>
      <c r="C484">
        <v>183</v>
      </c>
      <c r="D484" s="1">
        <v>0.96830000000000005</v>
      </c>
      <c r="E484">
        <v>6</v>
      </c>
      <c r="F484" s="2">
        <v>2.4305555555555555E-4</v>
      </c>
      <c r="G484" s="2">
        <v>1.7476851851851852E-3</v>
      </c>
      <c r="H484" s="2">
        <v>2.7546296296296294E-3</v>
      </c>
      <c r="I484" s="1">
        <v>0.7419</v>
      </c>
    </row>
    <row r="485" spans="1:9" x14ac:dyDescent="0.3">
      <c r="A485">
        <v>484</v>
      </c>
      <c r="B485">
        <v>162</v>
      </c>
      <c r="C485">
        <v>156</v>
      </c>
      <c r="D485" s="1">
        <v>0.96299999999999997</v>
      </c>
      <c r="E485">
        <v>6</v>
      </c>
      <c r="F485" s="2">
        <v>2.7777777777777778E-4</v>
      </c>
      <c r="G485" s="2">
        <v>1.6435185185185185E-3</v>
      </c>
      <c r="H485" s="2">
        <v>1.4814814814814814E-3</v>
      </c>
      <c r="I485" s="1">
        <v>0.66459999999999997</v>
      </c>
    </row>
    <row r="486" spans="1:9" x14ac:dyDescent="0.3">
      <c r="A486">
        <v>485</v>
      </c>
      <c r="B486">
        <v>177</v>
      </c>
      <c r="C486">
        <v>165</v>
      </c>
      <c r="D486" s="1">
        <v>0.93220000000000003</v>
      </c>
      <c r="E486">
        <v>12</v>
      </c>
      <c r="F486" s="2">
        <v>3.0092592592592595E-4</v>
      </c>
      <c r="G486" s="2">
        <v>1.7476851851851852E-3</v>
      </c>
      <c r="H486" s="2">
        <v>2.662037037037037E-3</v>
      </c>
      <c r="I486" s="1">
        <v>0.66469999999999996</v>
      </c>
    </row>
    <row r="487" spans="1:9" x14ac:dyDescent="0.3">
      <c r="A487">
        <v>486</v>
      </c>
      <c r="B487">
        <v>177</v>
      </c>
      <c r="C487">
        <v>167</v>
      </c>
      <c r="D487" s="1">
        <v>0.94350000000000001</v>
      </c>
      <c r="E487">
        <v>10</v>
      </c>
      <c r="F487" s="2">
        <v>2.6620370370370372E-4</v>
      </c>
      <c r="G487" s="2">
        <v>1.7939814814814815E-3</v>
      </c>
      <c r="H487" s="2">
        <v>1.9097222222222222E-3</v>
      </c>
      <c r="I487" s="1">
        <v>0.68969999999999998</v>
      </c>
    </row>
    <row r="488" spans="1:9" x14ac:dyDescent="0.3">
      <c r="A488">
        <v>487</v>
      </c>
      <c r="B488">
        <v>163</v>
      </c>
      <c r="C488">
        <v>134</v>
      </c>
      <c r="D488" s="1">
        <v>0.82210000000000005</v>
      </c>
      <c r="E488">
        <v>29</v>
      </c>
      <c r="F488" s="2">
        <v>4.3981481481481481E-4</v>
      </c>
      <c r="G488" s="2">
        <v>1.8749999999999999E-3</v>
      </c>
      <c r="H488" s="2">
        <v>5.0462962962962961E-3</v>
      </c>
      <c r="I488" s="1">
        <v>0.47199999999999998</v>
      </c>
    </row>
    <row r="489" spans="1:9" x14ac:dyDescent="0.3">
      <c r="A489">
        <v>488</v>
      </c>
      <c r="B489">
        <v>24</v>
      </c>
      <c r="C489">
        <v>20</v>
      </c>
      <c r="D489" s="1">
        <v>0.83330000000000004</v>
      </c>
      <c r="E489">
        <v>4</v>
      </c>
      <c r="F489" s="2">
        <v>3.0092592592592595E-4</v>
      </c>
      <c r="G489" s="2">
        <v>2.3495370370370371E-3</v>
      </c>
      <c r="H489" s="2">
        <v>1.5740740740740741E-3</v>
      </c>
      <c r="I489" s="1">
        <v>0.6522</v>
      </c>
    </row>
    <row r="490" spans="1:9" x14ac:dyDescent="0.3">
      <c r="A490">
        <v>489</v>
      </c>
      <c r="B490">
        <v>146</v>
      </c>
      <c r="C490">
        <v>139</v>
      </c>
      <c r="D490" s="1">
        <v>0.95209999999999995</v>
      </c>
      <c r="E490">
        <v>7</v>
      </c>
      <c r="F490" s="2">
        <v>2.0833333333333335E-4</v>
      </c>
      <c r="G490" s="2">
        <v>1.7824074074074075E-3</v>
      </c>
      <c r="H490" s="2">
        <v>4.409722222222222E-3</v>
      </c>
      <c r="I490" s="1">
        <v>0.75860000000000005</v>
      </c>
    </row>
    <row r="491" spans="1:9" x14ac:dyDescent="0.3">
      <c r="A491">
        <v>490</v>
      </c>
      <c r="B491">
        <v>143</v>
      </c>
      <c r="C491">
        <v>141</v>
      </c>
      <c r="D491" s="1">
        <v>0.98599999999999999</v>
      </c>
      <c r="E491">
        <v>2</v>
      </c>
      <c r="F491" s="2">
        <v>2.5462962962962961E-4</v>
      </c>
      <c r="G491" s="2">
        <v>1.9097222222222222E-3</v>
      </c>
      <c r="H491" s="2">
        <v>1.9097222222222222E-3</v>
      </c>
      <c r="I491" s="1">
        <v>0.72030000000000005</v>
      </c>
    </row>
    <row r="492" spans="1:9" x14ac:dyDescent="0.3">
      <c r="A492">
        <v>491</v>
      </c>
      <c r="B492">
        <v>132</v>
      </c>
      <c r="C492">
        <v>122</v>
      </c>
      <c r="D492" s="1">
        <v>0.92420000000000002</v>
      </c>
      <c r="E492">
        <v>10</v>
      </c>
      <c r="F492" s="2">
        <v>3.5879629629629629E-4</v>
      </c>
      <c r="G492" s="2">
        <v>1.712962962962963E-3</v>
      </c>
      <c r="H492" s="2">
        <v>3.1944444444444446E-3</v>
      </c>
      <c r="I492" s="1">
        <v>0.56489999999999996</v>
      </c>
    </row>
    <row r="493" spans="1:9" x14ac:dyDescent="0.3">
      <c r="A493">
        <v>492</v>
      </c>
      <c r="B493">
        <v>137</v>
      </c>
      <c r="C493">
        <v>130</v>
      </c>
      <c r="D493" s="1">
        <v>0.94889999999999997</v>
      </c>
      <c r="E493">
        <v>7</v>
      </c>
      <c r="F493" s="2">
        <v>3.0092592592592595E-4</v>
      </c>
      <c r="G493" s="2">
        <v>1.6782407407407408E-3</v>
      </c>
      <c r="H493" s="2">
        <v>1.4583333333333334E-3</v>
      </c>
      <c r="I493" s="1">
        <v>0.64439999999999997</v>
      </c>
    </row>
    <row r="494" spans="1:9" x14ac:dyDescent="0.3">
      <c r="A494">
        <v>493</v>
      </c>
      <c r="B494">
        <v>112</v>
      </c>
      <c r="C494">
        <v>104</v>
      </c>
      <c r="D494" s="1">
        <v>0.92859999999999998</v>
      </c>
      <c r="E494">
        <v>8</v>
      </c>
      <c r="F494" s="2">
        <v>4.9768518518518521E-4</v>
      </c>
      <c r="G494" s="2">
        <v>1.8171296296296297E-3</v>
      </c>
      <c r="H494" s="2">
        <v>2.8587962962962963E-3</v>
      </c>
      <c r="I494" s="1">
        <v>0.40910000000000002</v>
      </c>
    </row>
    <row r="495" spans="1:9" x14ac:dyDescent="0.3">
      <c r="A495">
        <v>494</v>
      </c>
      <c r="B495">
        <v>110</v>
      </c>
      <c r="C495">
        <v>91</v>
      </c>
      <c r="D495" s="1">
        <v>0.82730000000000004</v>
      </c>
      <c r="E495">
        <v>19</v>
      </c>
      <c r="F495" s="2">
        <v>5.7870370370370367E-4</v>
      </c>
      <c r="G495" s="2">
        <v>1.8287037037037037E-3</v>
      </c>
      <c r="H495" s="2">
        <v>3.6111111111111109E-3</v>
      </c>
      <c r="I495" s="1">
        <v>0.36699999999999999</v>
      </c>
    </row>
    <row r="496" spans="1:9" x14ac:dyDescent="0.3">
      <c r="A496">
        <v>495</v>
      </c>
      <c r="B496">
        <v>24</v>
      </c>
      <c r="C496">
        <v>22</v>
      </c>
      <c r="D496" s="1">
        <v>0.91669999999999996</v>
      </c>
      <c r="E496">
        <v>2</v>
      </c>
      <c r="F496" s="2">
        <v>3.7037037037037035E-4</v>
      </c>
      <c r="G496" s="2">
        <v>1.5509259259259259E-3</v>
      </c>
      <c r="H496" s="2">
        <v>3.3101851851851851E-3</v>
      </c>
      <c r="I496" s="1">
        <v>0.58330000000000004</v>
      </c>
    </row>
    <row r="497" spans="1:9" x14ac:dyDescent="0.3">
      <c r="A497">
        <v>496</v>
      </c>
      <c r="B497">
        <v>168</v>
      </c>
      <c r="C497">
        <v>154</v>
      </c>
      <c r="D497" s="1">
        <v>0.91669999999999996</v>
      </c>
      <c r="E497">
        <v>14</v>
      </c>
      <c r="F497" s="2">
        <v>4.1666666666666669E-4</v>
      </c>
      <c r="G497" s="2">
        <v>1.8981481481481482E-3</v>
      </c>
      <c r="H497" s="2">
        <v>2.685185185185185E-3</v>
      </c>
      <c r="I497" s="1">
        <v>0.49399999999999999</v>
      </c>
    </row>
    <row r="498" spans="1:9" x14ac:dyDescent="0.3">
      <c r="A498">
        <v>497</v>
      </c>
      <c r="B498">
        <v>146</v>
      </c>
      <c r="C498">
        <v>116</v>
      </c>
      <c r="D498" s="1">
        <v>0.79449999999999998</v>
      </c>
      <c r="E498">
        <v>30</v>
      </c>
      <c r="F498" s="2">
        <v>4.861111111111111E-4</v>
      </c>
      <c r="G498" s="2">
        <v>1.712962962962963E-3</v>
      </c>
      <c r="H498" s="2">
        <v>1.0416666666666666E-2</v>
      </c>
      <c r="I498" s="1">
        <v>0.54930000000000001</v>
      </c>
    </row>
    <row r="499" spans="1:9" x14ac:dyDescent="0.3">
      <c r="A499">
        <v>498</v>
      </c>
      <c r="B499">
        <v>100</v>
      </c>
      <c r="C499">
        <v>95</v>
      </c>
      <c r="D499" s="1">
        <v>0.95</v>
      </c>
      <c r="E499">
        <v>5</v>
      </c>
      <c r="F499" s="2">
        <v>3.5879629629629629E-4</v>
      </c>
      <c r="G499" s="2">
        <v>1.8287037037037037E-3</v>
      </c>
      <c r="H499" s="2">
        <v>2.0023148148148148E-3</v>
      </c>
      <c r="I499" s="1">
        <v>0.56999999999999995</v>
      </c>
    </row>
    <row r="500" spans="1:9" x14ac:dyDescent="0.3">
      <c r="A500">
        <v>499</v>
      </c>
      <c r="B500">
        <v>144</v>
      </c>
      <c r="C500">
        <v>131</v>
      </c>
      <c r="D500" s="1">
        <v>0.90969999999999995</v>
      </c>
      <c r="E500">
        <v>13</v>
      </c>
      <c r="F500" s="2">
        <v>3.0092592592592595E-4</v>
      </c>
      <c r="G500" s="2">
        <v>1.7013888888888888E-3</v>
      </c>
      <c r="H500" s="2">
        <v>1.8171296296296297E-3</v>
      </c>
      <c r="I500" s="1">
        <v>0.63570000000000004</v>
      </c>
    </row>
    <row r="501" spans="1:9" x14ac:dyDescent="0.3">
      <c r="A501">
        <v>500</v>
      </c>
      <c r="B501">
        <v>110</v>
      </c>
      <c r="C501">
        <v>104</v>
      </c>
      <c r="D501" s="1">
        <v>0.94550000000000001</v>
      </c>
      <c r="E501">
        <v>6</v>
      </c>
      <c r="F501" s="2">
        <v>2.7777777777777778E-4</v>
      </c>
      <c r="G501" s="2">
        <v>1.6898148148148148E-3</v>
      </c>
      <c r="H501" s="2">
        <v>1.6435185185185185E-3</v>
      </c>
      <c r="I501" s="1">
        <v>0.64219999999999999</v>
      </c>
    </row>
    <row r="502" spans="1:9" x14ac:dyDescent="0.3">
      <c r="A502">
        <v>501</v>
      </c>
      <c r="B502">
        <v>126</v>
      </c>
      <c r="C502">
        <v>111</v>
      </c>
      <c r="D502" s="1">
        <v>0.88100000000000001</v>
      </c>
      <c r="E502">
        <v>15</v>
      </c>
      <c r="F502" s="2">
        <v>3.5879629629629629E-4</v>
      </c>
      <c r="G502" s="2">
        <v>1.8287037037037037E-3</v>
      </c>
      <c r="H502" s="2">
        <v>3.1944444444444446E-3</v>
      </c>
      <c r="I502" s="1">
        <v>0.52800000000000002</v>
      </c>
    </row>
    <row r="503" spans="1:9" x14ac:dyDescent="0.3">
      <c r="A503">
        <v>502</v>
      </c>
      <c r="B503">
        <v>24</v>
      </c>
      <c r="C503">
        <v>24</v>
      </c>
      <c r="D503" s="1">
        <v>1</v>
      </c>
      <c r="E503">
        <v>0</v>
      </c>
      <c r="F503" s="2">
        <v>5.5555555555555556E-4</v>
      </c>
      <c r="G503" s="2">
        <v>2.0138888888888888E-3</v>
      </c>
      <c r="H503" s="2">
        <v>3.2870370370370371E-3</v>
      </c>
      <c r="I503" s="1">
        <v>0.41670000000000001</v>
      </c>
    </row>
    <row r="504" spans="1:9" x14ac:dyDescent="0.3">
      <c r="A504">
        <v>503</v>
      </c>
      <c r="B504">
        <v>128</v>
      </c>
      <c r="C504">
        <v>122</v>
      </c>
      <c r="D504" s="1">
        <v>0.95309999999999995</v>
      </c>
      <c r="E504">
        <v>6</v>
      </c>
      <c r="F504" s="2">
        <v>4.0509259259259258E-4</v>
      </c>
      <c r="G504" s="2">
        <v>2.0717592592592593E-3</v>
      </c>
      <c r="H504" s="2">
        <v>1.8749999999999999E-3</v>
      </c>
      <c r="I504" s="1">
        <v>0.51559999999999995</v>
      </c>
    </row>
    <row r="505" spans="1:9" x14ac:dyDescent="0.3">
      <c r="A505">
        <v>504</v>
      </c>
      <c r="B505">
        <v>185</v>
      </c>
      <c r="C505">
        <v>176</v>
      </c>
      <c r="D505" s="1">
        <v>0.95140000000000002</v>
      </c>
      <c r="E505">
        <v>9</v>
      </c>
      <c r="F505" s="2">
        <v>3.1250000000000001E-4</v>
      </c>
      <c r="G505" s="2">
        <v>1.6550925925925926E-3</v>
      </c>
      <c r="H505" s="2">
        <v>3.5300925925925925E-3</v>
      </c>
      <c r="I505" s="1">
        <v>0.67930000000000001</v>
      </c>
    </row>
    <row r="506" spans="1:9" x14ac:dyDescent="0.3">
      <c r="A506">
        <v>505</v>
      </c>
      <c r="B506">
        <v>136</v>
      </c>
      <c r="C506">
        <v>114</v>
      </c>
      <c r="D506" s="1">
        <v>0.83819999999999995</v>
      </c>
      <c r="E506">
        <v>22</v>
      </c>
      <c r="F506" s="2">
        <v>6.5972222222222224E-4</v>
      </c>
      <c r="G506" s="2">
        <v>1.6782407407407408E-3</v>
      </c>
      <c r="H506" s="2">
        <v>3.8310185185185183E-3</v>
      </c>
      <c r="I506" s="1">
        <v>0.28789999999999999</v>
      </c>
    </row>
    <row r="507" spans="1:9" x14ac:dyDescent="0.3">
      <c r="A507">
        <v>506</v>
      </c>
      <c r="B507">
        <v>130</v>
      </c>
      <c r="C507">
        <v>116</v>
      </c>
      <c r="D507" s="1">
        <v>0.89229999999999998</v>
      </c>
      <c r="E507">
        <v>14</v>
      </c>
      <c r="F507" s="2">
        <v>5.0925925925925921E-4</v>
      </c>
      <c r="G507" s="2">
        <v>1.8634259259259259E-3</v>
      </c>
      <c r="H507" s="2">
        <v>4.1666666666666666E-3</v>
      </c>
      <c r="I507" s="1">
        <v>0.44440000000000002</v>
      </c>
    </row>
    <row r="508" spans="1:9" x14ac:dyDescent="0.3">
      <c r="A508">
        <v>507</v>
      </c>
      <c r="B508">
        <v>103</v>
      </c>
      <c r="C508">
        <v>101</v>
      </c>
      <c r="D508" s="1">
        <v>0.98060000000000003</v>
      </c>
      <c r="E508">
        <v>2</v>
      </c>
      <c r="F508" s="2">
        <v>2.0833333333333335E-4</v>
      </c>
      <c r="G508" s="2">
        <v>1.8749999999999999E-3</v>
      </c>
      <c r="H508" s="2">
        <v>1.6550925925925926E-3</v>
      </c>
      <c r="I508" s="1">
        <v>0.77449999999999997</v>
      </c>
    </row>
    <row r="509" spans="1:9" x14ac:dyDescent="0.3">
      <c r="A509">
        <v>508</v>
      </c>
      <c r="B509">
        <v>99</v>
      </c>
      <c r="C509">
        <v>89</v>
      </c>
      <c r="D509" s="1">
        <v>0.89900000000000002</v>
      </c>
      <c r="E509">
        <v>10</v>
      </c>
      <c r="F509" s="2">
        <v>2.3148148148148149E-4</v>
      </c>
      <c r="G509" s="2">
        <v>1.7013888888888888E-3</v>
      </c>
      <c r="H509" s="2">
        <v>1.0416666666666667E-3</v>
      </c>
      <c r="I509" s="1">
        <v>0.73680000000000001</v>
      </c>
    </row>
    <row r="510" spans="1:9" x14ac:dyDescent="0.3">
      <c r="A510">
        <v>509</v>
      </c>
      <c r="B510">
        <v>26</v>
      </c>
      <c r="C510">
        <v>24</v>
      </c>
      <c r="D510" s="1">
        <v>0.92310000000000003</v>
      </c>
      <c r="E510">
        <v>2</v>
      </c>
      <c r="F510" s="2">
        <v>2.6620370370370372E-4</v>
      </c>
      <c r="G510" s="2">
        <v>1.3888888888888889E-3</v>
      </c>
      <c r="H510" s="2">
        <v>1.3078703703703703E-3</v>
      </c>
      <c r="I510" s="1">
        <v>0.68</v>
      </c>
    </row>
    <row r="511" spans="1:9" x14ac:dyDescent="0.3">
      <c r="A511">
        <v>510</v>
      </c>
      <c r="B511">
        <v>95</v>
      </c>
      <c r="C511">
        <v>94</v>
      </c>
      <c r="D511" s="1">
        <v>0.98950000000000005</v>
      </c>
      <c r="E511">
        <v>1</v>
      </c>
      <c r="F511" s="2">
        <v>2.4305555555555555E-4</v>
      </c>
      <c r="G511" s="2">
        <v>1.7476851851851852E-3</v>
      </c>
      <c r="H511" s="2">
        <v>2.476851851851852E-3</v>
      </c>
      <c r="I511" s="1">
        <v>0.75529999999999997</v>
      </c>
    </row>
    <row r="512" spans="1:9" x14ac:dyDescent="0.3">
      <c r="A512">
        <v>511</v>
      </c>
      <c r="B512">
        <v>136</v>
      </c>
      <c r="C512">
        <v>131</v>
      </c>
      <c r="D512" s="1">
        <v>0.96319999999999995</v>
      </c>
      <c r="E512">
        <v>5</v>
      </c>
      <c r="F512" s="2">
        <v>1.9675925925925926E-4</v>
      </c>
      <c r="G512" s="2">
        <v>1.724537037037037E-3</v>
      </c>
      <c r="H512" s="2">
        <v>1.6319444444444445E-3</v>
      </c>
      <c r="I512" s="1">
        <v>0.81059999999999999</v>
      </c>
    </row>
    <row r="513" spans="1:9" x14ac:dyDescent="0.3">
      <c r="A513">
        <v>512</v>
      </c>
      <c r="B513">
        <v>37</v>
      </c>
      <c r="C513">
        <v>34</v>
      </c>
      <c r="D513" s="1">
        <v>0.91890000000000005</v>
      </c>
      <c r="E513">
        <v>3</v>
      </c>
      <c r="F513" s="2">
        <v>4.7453703703703704E-4</v>
      </c>
      <c r="G513" s="2">
        <v>1.5162037037037036E-3</v>
      </c>
      <c r="H513" s="2">
        <v>4.0046296296296297E-3</v>
      </c>
      <c r="I513" s="1">
        <v>0.64859999999999995</v>
      </c>
    </row>
    <row r="514" spans="1:9" x14ac:dyDescent="0.3">
      <c r="A514">
        <v>513</v>
      </c>
      <c r="B514">
        <v>105</v>
      </c>
      <c r="C514">
        <v>100</v>
      </c>
      <c r="D514" s="1">
        <v>0.95240000000000002</v>
      </c>
      <c r="E514">
        <v>5</v>
      </c>
      <c r="F514" s="2">
        <v>2.5462962962962961E-4</v>
      </c>
      <c r="G514" s="2">
        <v>1.736111111111111E-3</v>
      </c>
      <c r="H514" s="2">
        <v>1.5277777777777779E-3</v>
      </c>
      <c r="I514" s="1">
        <v>0.7228</v>
      </c>
    </row>
    <row r="515" spans="1:9" x14ac:dyDescent="0.3">
      <c r="A515">
        <v>514</v>
      </c>
      <c r="B515">
        <v>100</v>
      </c>
      <c r="C515">
        <v>92</v>
      </c>
      <c r="D515" s="1">
        <v>0.92</v>
      </c>
      <c r="E515">
        <v>8</v>
      </c>
      <c r="F515" s="2">
        <v>3.4722222222222224E-4</v>
      </c>
      <c r="G515" s="2">
        <v>1.7013888888888888E-3</v>
      </c>
      <c r="H515" s="2">
        <v>3.1828703703703702E-3</v>
      </c>
      <c r="I515" s="1">
        <v>0.63270000000000004</v>
      </c>
    </row>
    <row r="516" spans="1:9" x14ac:dyDescent="0.3">
      <c r="A516">
        <v>515</v>
      </c>
      <c r="B516">
        <v>115</v>
      </c>
      <c r="C516">
        <v>103</v>
      </c>
      <c r="D516" s="1">
        <v>0.89570000000000005</v>
      </c>
      <c r="E516">
        <v>12</v>
      </c>
      <c r="F516" s="2">
        <v>5.0925925925925921E-4</v>
      </c>
      <c r="G516" s="2">
        <v>1.9212962962962964E-3</v>
      </c>
      <c r="H516" s="2">
        <v>3.1828703703703702E-3</v>
      </c>
      <c r="I516" s="1">
        <v>0.37169999999999997</v>
      </c>
    </row>
    <row r="517" spans="1:9" x14ac:dyDescent="0.3">
      <c r="A517">
        <v>516</v>
      </c>
      <c r="B517">
        <v>38</v>
      </c>
      <c r="C517">
        <v>36</v>
      </c>
      <c r="D517" s="1">
        <v>0.94740000000000002</v>
      </c>
      <c r="E517">
        <v>2</v>
      </c>
      <c r="F517" s="2">
        <v>4.5138888888888887E-4</v>
      </c>
      <c r="G517" s="2">
        <v>2.0370370370370369E-3</v>
      </c>
      <c r="H517" s="2">
        <v>2.0138888888888888E-3</v>
      </c>
      <c r="I517" s="1">
        <v>0.52629999999999999</v>
      </c>
    </row>
    <row r="518" spans="1:9" x14ac:dyDescent="0.3">
      <c r="A518">
        <v>517</v>
      </c>
      <c r="B518">
        <v>108</v>
      </c>
      <c r="C518">
        <v>95</v>
      </c>
      <c r="D518" s="1">
        <v>0.87960000000000005</v>
      </c>
      <c r="E518">
        <v>13</v>
      </c>
      <c r="F518" s="2">
        <v>3.0092592592592595E-4</v>
      </c>
      <c r="G518" s="2">
        <v>1.9560185185185184E-3</v>
      </c>
      <c r="H518" s="2">
        <v>1.9212962962962964E-3</v>
      </c>
      <c r="I518" s="1">
        <v>0.6381</v>
      </c>
    </row>
    <row r="519" spans="1:9" x14ac:dyDescent="0.3">
      <c r="A519">
        <v>518</v>
      </c>
      <c r="B519">
        <v>124</v>
      </c>
      <c r="C519">
        <v>118</v>
      </c>
      <c r="D519" s="1">
        <v>0.9516</v>
      </c>
      <c r="E519">
        <v>6</v>
      </c>
      <c r="F519" s="2">
        <v>2.6620370370370372E-4</v>
      </c>
      <c r="G519" s="2">
        <v>1.7476851851851852E-3</v>
      </c>
      <c r="H519" s="2">
        <v>2.0949074074074073E-3</v>
      </c>
      <c r="I519" s="1">
        <v>0.73770000000000002</v>
      </c>
    </row>
    <row r="520" spans="1:9" x14ac:dyDescent="0.3">
      <c r="A520">
        <v>519</v>
      </c>
      <c r="B520">
        <v>97</v>
      </c>
      <c r="C520">
        <v>92</v>
      </c>
      <c r="D520" s="1">
        <v>0.94850000000000001</v>
      </c>
      <c r="E520">
        <v>5</v>
      </c>
      <c r="F520" s="2">
        <v>2.8935185185185184E-4</v>
      </c>
      <c r="G520" s="2">
        <v>1.8055555555555555E-3</v>
      </c>
      <c r="H520" s="2">
        <v>1.6550925925925926E-3</v>
      </c>
      <c r="I520" s="1">
        <v>0.67710000000000004</v>
      </c>
    </row>
    <row r="521" spans="1:9" x14ac:dyDescent="0.3">
      <c r="A521">
        <v>520</v>
      </c>
      <c r="B521">
        <v>117</v>
      </c>
      <c r="C521">
        <v>108</v>
      </c>
      <c r="D521" s="1">
        <v>0.92310000000000003</v>
      </c>
      <c r="E521">
        <v>9</v>
      </c>
      <c r="F521" s="2">
        <v>4.2824074074074075E-4</v>
      </c>
      <c r="G521" s="2">
        <v>1.2268518518518518E-3</v>
      </c>
      <c r="H521" s="2">
        <v>2.8124999999999999E-3</v>
      </c>
      <c r="I521" s="1">
        <v>0.48670000000000002</v>
      </c>
    </row>
    <row r="522" spans="1:9" x14ac:dyDescent="0.3">
      <c r="A522">
        <v>521</v>
      </c>
      <c r="B522">
        <v>34</v>
      </c>
      <c r="C522">
        <v>31</v>
      </c>
      <c r="D522" s="1">
        <v>0.91180000000000005</v>
      </c>
      <c r="E522">
        <v>3</v>
      </c>
      <c r="F522" s="2">
        <v>3.1250000000000001E-4</v>
      </c>
      <c r="G522" s="2">
        <v>1.8171296296296297E-3</v>
      </c>
      <c r="H522" s="2">
        <v>1.7592592592592592E-3</v>
      </c>
      <c r="I522" s="1">
        <v>0.64710000000000001</v>
      </c>
    </row>
    <row r="523" spans="1:9" x14ac:dyDescent="0.3">
      <c r="A523">
        <v>522</v>
      </c>
      <c r="B523">
        <v>53</v>
      </c>
      <c r="C523">
        <v>50</v>
      </c>
      <c r="D523" s="1">
        <v>0.94340000000000002</v>
      </c>
      <c r="E523">
        <v>3</v>
      </c>
      <c r="F523" s="2">
        <v>3.2407407407407406E-4</v>
      </c>
      <c r="G523" s="2">
        <v>1.5162037037037036E-3</v>
      </c>
      <c r="H523" s="2">
        <v>2.2685185185185187E-3</v>
      </c>
      <c r="I523" s="1">
        <v>0.66039999999999999</v>
      </c>
    </row>
    <row r="524" spans="1:9" x14ac:dyDescent="0.3">
      <c r="A524">
        <v>523</v>
      </c>
      <c r="B524">
        <v>29</v>
      </c>
      <c r="C524">
        <v>23</v>
      </c>
      <c r="D524" s="1">
        <v>0.79310000000000003</v>
      </c>
      <c r="E524">
        <v>6</v>
      </c>
      <c r="F524" s="2">
        <v>4.861111111111111E-4</v>
      </c>
      <c r="G524" s="2">
        <v>1.9328703703703704E-3</v>
      </c>
      <c r="H524" s="2">
        <v>2.5462962962962965E-3</v>
      </c>
      <c r="I524" s="1">
        <v>0.32140000000000002</v>
      </c>
    </row>
    <row r="525" spans="1:9" x14ac:dyDescent="0.3">
      <c r="A525">
        <v>524</v>
      </c>
      <c r="B525">
        <v>120</v>
      </c>
      <c r="C525">
        <v>107</v>
      </c>
      <c r="D525" s="1">
        <v>0.89170000000000005</v>
      </c>
      <c r="E525">
        <v>13</v>
      </c>
      <c r="F525" s="2">
        <v>3.9351851851851852E-4</v>
      </c>
      <c r="G525" s="2">
        <v>1.8402777777777777E-3</v>
      </c>
      <c r="H525" s="2">
        <v>2.3263888888888887E-3</v>
      </c>
      <c r="I525" s="1">
        <v>0.44069999999999998</v>
      </c>
    </row>
    <row r="526" spans="1:9" x14ac:dyDescent="0.3">
      <c r="A526">
        <v>525</v>
      </c>
      <c r="B526">
        <v>107</v>
      </c>
      <c r="C526">
        <v>100</v>
      </c>
      <c r="D526" s="1">
        <v>0.93459999999999999</v>
      </c>
      <c r="E526">
        <v>7</v>
      </c>
      <c r="F526" s="2">
        <v>3.8194444444444446E-4</v>
      </c>
      <c r="G526" s="2">
        <v>1.7708333333333332E-3</v>
      </c>
      <c r="H526" s="2">
        <v>1.4814814814814814E-3</v>
      </c>
      <c r="I526" s="1">
        <v>0.51429999999999998</v>
      </c>
    </row>
    <row r="527" spans="1:9" x14ac:dyDescent="0.3">
      <c r="A527">
        <v>526</v>
      </c>
      <c r="B527">
        <v>173</v>
      </c>
      <c r="C527">
        <v>159</v>
      </c>
      <c r="D527" s="1">
        <v>0.91910000000000003</v>
      </c>
      <c r="E527">
        <v>14</v>
      </c>
      <c r="F527" s="2">
        <v>5.4398148148148144E-4</v>
      </c>
      <c r="G527" s="2">
        <v>1.8981481481481482E-3</v>
      </c>
      <c r="H527" s="2">
        <v>3.8194444444444443E-3</v>
      </c>
      <c r="I527" s="1">
        <v>0.39410000000000001</v>
      </c>
    </row>
    <row r="528" spans="1:9" x14ac:dyDescent="0.3">
      <c r="A528">
        <v>527</v>
      </c>
      <c r="B528">
        <v>256</v>
      </c>
      <c r="C528">
        <v>213</v>
      </c>
      <c r="D528" s="1">
        <v>0.83199999999999996</v>
      </c>
      <c r="E528">
        <v>43</v>
      </c>
      <c r="F528" s="2">
        <v>5.0925925925925921E-4</v>
      </c>
      <c r="G528" s="2">
        <v>1.9097222222222222E-3</v>
      </c>
      <c r="H528" s="2">
        <v>3.6805555555555554E-3</v>
      </c>
      <c r="I528" s="1">
        <v>0.41699999999999998</v>
      </c>
    </row>
    <row r="529" spans="1:9" x14ac:dyDescent="0.3">
      <c r="A529">
        <v>528</v>
      </c>
      <c r="B529">
        <v>199</v>
      </c>
      <c r="C529">
        <v>174</v>
      </c>
      <c r="D529" s="1">
        <v>0.87439999999999996</v>
      </c>
      <c r="E529">
        <v>25</v>
      </c>
      <c r="F529" s="2">
        <v>4.1666666666666669E-4</v>
      </c>
      <c r="G529" s="2">
        <v>1.7939814814814815E-3</v>
      </c>
      <c r="H529" s="2">
        <v>3.1828703703703702E-3</v>
      </c>
      <c r="I529" s="1">
        <v>0.53059999999999996</v>
      </c>
    </row>
    <row r="530" spans="1:9" x14ac:dyDescent="0.3">
      <c r="A530">
        <v>529</v>
      </c>
      <c r="B530">
        <v>182</v>
      </c>
      <c r="C530">
        <v>170</v>
      </c>
      <c r="D530" s="1">
        <v>0.93410000000000004</v>
      </c>
      <c r="E530">
        <v>12</v>
      </c>
      <c r="F530" s="2">
        <v>4.6296296296296298E-4</v>
      </c>
      <c r="G530" s="2">
        <v>1.8981481481481482E-3</v>
      </c>
      <c r="H530" s="2">
        <v>2.3958333333333331E-3</v>
      </c>
      <c r="I530" s="1">
        <v>0.45810000000000001</v>
      </c>
    </row>
    <row r="531" spans="1:9" x14ac:dyDescent="0.3">
      <c r="A531">
        <v>530</v>
      </c>
      <c r="B531">
        <v>42</v>
      </c>
      <c r="C531">
        <v>41</v>
      </c>
      <c r="D531" s="1">
        <v>0.97619999999999996</v>
      </c>
      <c r="E531">
        <v>1</v>
      </c>
      <c r="F531" s="2">
        <v>4.861111111111111E-4</v>
      </c>
      <c r="G531" s="2">
        <v>2.0023148148148148E-3</v>
      </c>
      <c r="H531" s="2">
        <v>2.5462962962962965E-3</v>
      </c>
      <c r="I531" s="1">
        <v>0.56100000000000005</v>
      </c>
    </row>
    <row r="532" spans="1:9" x14ac:dyDescent="0.3">
      <c r="A532">
        <v>531</v>
      </c>
      <c r="B532">
        <v>181</v>
      </c>
      <c r="C532">
        <v>168</v>
      </c>
      <c r="D532" s="1">
        <v>0.92820000000000003</v>
      </c>
      <c r="E532">
        <v>13</v>
      </c>
      <c r="F532" s="2">
        <v>3.9351851851851852E-4</v>
      </c>
      <c r="G532" s="2">
        <v>1.7939814814814815E-3</v>
      </c>
      <c r="H532" s="2">
        <v>1.8865740740740742E-3</v>
      </c>
      <c r="I532" s="1">
        <v>0.51690000000000003</v>
      </c>
    </row>
    <row r="533" spans="1:9" x14ac:dyDescent="0.3">
      <c r="A533">
        <v>532</v>
      </c>
      <c r="B533">
        <v>159</v>
      </c>
      <c r="C533">
        <v>147</v>
      </c>
      <c r="D533" s="1">
        <v>0.92449999999999999</v>
      </c>
      <c r="E533">
        <v>12</v>
      </c>
      <c r="F533" s="2">
        <v>3.4722222222222224E-4</v>
      </c>
      <c r="G533" s="2">
        <v>1.8055555555555555E-3</v>
      </c>
      <c r="H533" s="2">
        <v>3.2291666666666666E-3</v>
      </c>
      <c r="I533" s="1">
        <v>0.58709999999999996</v>
      </c>
    </row>
    <row r="534" spans="1:9" x14ac:dyDescent="0.3">
      <c r="A534">
        <v>533</v>
      </c>
      <c r="B534">
        <v>142</v>
      </c>
      <c r="C534">
        <v>134</v>
      </c>
      <c r="D534" s="1">
        <v>0.94369999999999998</v>
      </c>
      <c r="E534">
        <v>8</v>
      </c>
      <c r="F534" s="2">
        <v>3.0092592592592595E-4</v>
      </c>
      <c r="G534" s="2">
        <v>1.9675925925925924E-3</v>
      </c>
      <c r="H534" s="2">
        <v>1.2731481481481483E-3</v>
      </c>
      <c r="I534" s="1">
        <v>0.61870000000000003</v>
      </c>
    </row>
    <row r="535" spans="1:9" x14ac:dyDescent="0.3">
      <c r="A535">
        <v>534</v>
      </c>
      <c r="B535">
        <v>194</v>
      </c>
      <c r="C535">
        <v>163</v>
      </c>
      <c r="D535" s="1">
        <v>0.84019999999999995</v>
      </c>
      <c r="E535">
        <v>31</v>
      </c>
      <c r="F535" s="2">
        <v>3.4722222222222224E-4</v>
      </c>
      <c r="G535" s="2">
        <v>1.8287037037037037E-3</v>
      </c>
      <c r="H535" s="2">
        <v>3.8310185185185183E-3</v>
      </c>
      <c r="I535" s="1">
        <v>0.51039999999999996</v>
      </c>
    </row>
    <row r="536" spans="1:9" x14ac:dyDescent="0.3">
      <c r="A536">
        <v>535</v>
      </c>
      <c r="B536">
        <v>235</v>
      </c>
      <c r="C536">
        <v>210</v>
      </c>
      <c r="D536" s="1">
        <v>0.89359999999999995</v>
      </c>
      <c r="E536">
        <v>25</v>
      </c>
      <c r="F536" s="2">
        <v>4.3981481481481481E-4</v>
      </c>
      <c r="G536" s="2">
        <v>2.0023148148148148E-3</v>
      </c>
      <c r="H536" s="2">
        <v>3.1828703703703702E-3</v>
      </c>
      <c r="I536" s="1">
        <v>0.48899999999999999</v>
      </c>
    </row>
    <row r="537" spans="1:9" x14ac:dyDescent="0.3">
      <c r="A537">
        <v>536</v>
      </c>
      <c r="B537">
        <v>206</v>
      </c>
      <c r="C537">
        <v>180</v>
      </c>
      <c r="D537" s="1">
        <v>0.87380000000000002</v>
      </c>
      <c r="E537">
        <v>26</v>
      </c>
      <c r="F537" s="2">
        <v>5.9027777777777778E-4</v>
      </c>
      <c r="G537" s="2">
        <v>1.9328703703703704E-3</v>
      </c>
      <c r="H537" s="2">
        <v>4.8958333333333336E-3</v>
      </c>
      <c r="I537" s="1">
        <v>0.3861</v>
      </c>
    </row>
    <row r="538" spans="1:9" x14ac:dyDescent="0.3">
      <c r="A538">
        <v>537</v>
      </c>
      <c r="B538">
        <v>58</v>
      </c>
      <c r="C538">
        <v>47</v>
      </c>
      <c r="D538" s="1">
        <v>0.81030000000000002</v>
      </c>
      <c r="E538">
        <v>11</v>
      </c>
      <c r="F538" s="2">
        <v>5.5555555555555556E-4</v>
      </c>
      <c r="G538" s="2">
        <v>1.8055555555555555E-3</v>
      </c>
      <c r="H538" s="2">
        <v>3.1828703703703702E-3</v>
      </c>
      <c r="I538" s="1">
        <v>0.42109999999999997</v>
      </c>
    </row>
    <row r="539" spans="1:9" x14ac:dyDescent="0.3">
      <c r="A539">
        <v>538</v>
      </c>
      <c r="B539">
        <v>212</v>
      </c>
      <c r="C539">
        <v>194</v>
      </c>
      <c r="D539" s="1">
        <v>0.91510000000000002</v>
      </c>
      <c r="E539">
        <v>18</v>
      </c>
      <c r="F539" s="2">
        <v>4.3981481481481481E-4</v>
      </c>
      <c r="G539" s="2">
        <v>1.7708333333333332E-3</v>
      </c>
      <c r="H539" s="2">
        <v>3.0208333333333333E-3</v>
      </c>
      <c r="I539" s="1">
        <v>0.51200000000000001</v>
      </c>
    </row>
    <row r="540" spans="1:9" x14ac:dyDescent="0.3">
      <c r="A540">
        <v>539</v>
      </c>
      <c r="B540">
        <v>232</v>
      </c>
      <c r="C540">
        <v>214</v>
      </c>
      <c r="D540" s="1">
        <v>0.9224</v>
      </c>
      <c r="E540">
        <v>18</v>
      </c>
      <c r="F540" s="2">
        <v>3.9351851851851852E-4</v>
      </c>
      <c r="G540" s="2">
        <v>1.8055555555555555E-3</v>
      </c>
      <c r="H540" s="2">
        <v>3.8194444444444443E-3</v>
      </c>
      <c r="I540" s="1">
        <v>0.55900000000000005</v>
      </c>
    </row>
    <row r="541" spans="1:9" x14ac:dyDescent="0.3">
      <c r="A541">
        <v>540</v>
      </c>
      <c r="B541">
        <v>348</v>
      </c>
      <c r="C541">
        <v>327</v>
      </c>
      <c r="D541" s="1">
        <v>0.93969999999999998</v>
      </c>
      <c r="E541">
        <v>21</v>
      </c>
      <c r="F541" s="2">
        <v>3.7037037037037035E-4</v>
      </c>
      <c r="G541" s="2">
        <v>1.712962962962963E-3</v>
      </c>
      <c r="H541" s="2">
        <v>5.092592592592593E-3</v>
      </c>
      <c r="I541" s="1">
        <v>0.54620000000000002</v>
      </c>
    </row>
    <row r="542" spans="1:9" x14ac:dyDescent="0.3">
      <c r="A542">
        <v>541</v>
      </c>
      <c r="B542">
        <v>167</v>
      </c>
      <c r="C542">
        <v>156</v>
      </c>
      <c r="D542" s="1">
        <v>0.93410000000000004</v>
      </c>
      <c r="E542">
        <v>11</v>
      </c>
      <c r="F542" s="2">
        <v>3.7037037037037035E-4</v>
      </c>
      <c r="G542" s="2">
        <v>1.8865740740740742E-3</v>
      </c>
      <c r="H542" s="2">
        <v>2.0486111111111113E-3</v>
      </c>
      <c r="I542" s="1">
        <v>0.56789999999999996</v>
      </c>
    </row>
    <row r="543" spans="1:9" x14ac:dyDescent="0.3">
      <c r="A543">
        <v>542</v>
      </c>
      <c r="B543">
        <v>167</v>
      </c>
      <c r="C543">
        <v>157</v>
      </c>
      <c r="D543" s="1">
        <v>0.94010000000000005</v>
      </c>
      <c r="E543">
        <v>10</v>
      </c>
      <c r="F543" s="2">
        <v>3.1250000000000001E-4</v>
      </c>
      <c r="G543" s="2">
        <v>2.0486111111111113E-3</v>
      </c>
      <c r="H543" s="2">
        <v>3.6921296296296298E-3</v>
      </c>
      <c r="I543" s="1">
        <v>0.67479999999999996</v>
      </c>
    </row>
    <row r="544" spans="1:9" x14ac:dyDescent="0.3">
      <c r="A544">
        <v>543</v>
      </c>
      <c r="B544">
        <v>166</v>
      </c>
      <c r="C544">
        <v>161</v>
      </c>
      <c r="D544" s="1">
        <v>0.96989999999999998</v>
      </c>
      <c r="E544">
        <v>5</v>
      </c>
      <c r="F544" s="2">
        <v>2.4305555555555555E-4</v>
      </c>
      <c r="G544" s="2">
        <v>1.9097222222222222E-3</v>
      </c>
      <c r="H544" s="2">
        <v>1.0648148148148149E-3</v>
      </c>
      <c r="I544" s="1">
        <v>0.73329999999999995</v>
      </c>
    </row>
    <row r="545" spans="1:9" x14ac:dyDescent="0.3">
      <c r="A545">
        <v>544</v>
      </c>
      <c r="B545">
        <v>32</v>
      </c>
      <c r="C545">
        <v>28</v>
      </c>
      <c r="D545" s="1">
        <v>0.875</v>
      </c>
      <c r="E545">
        <v>4</v>
      </c>
      <c r="F545" s="2">
        <v>2.5462962962962961E-4</v>
      </c>
      <c r="G545" s="2">
        <v>1.8865740740740742E-3</v>
      </c>
      <c r="H545" s="2">
        <v>5.2662037037037035E-3</v>
      </c>
      <c r="I545" s="1">
        <v>0.6452</v>
      </c>
    </row>
    <row r="546" spans="1:9" x14ac:dyDescent="0.3">
      <c r="A546">
        <v>545</v>
      </c>
      <c r="B546">
        <v>52</v>
      </c>
      <c r="C546">
        <v>49</v>
      </c>
      <c r="D546" s="1">
        <v>0.94230000000000003</v>
      </c>
      <c r="E546">
        <v>3</v>
      </c>
      <c r="F546" s="2">
        <v>3.7037037037037035E-4</v>
      </c>
      <c r="G546" s="2">
        <v>2.0601851851851853E-3</v>
      </c>
      <c r="H546" s="2">
        <v>2.1064814814814813E-3</v>
      </c>
      <c r="I546" s="1">
        <v>0.63460000000000005</v>
      </c>
    </row>
    <row r="547" spans="1:9" x14ac:dyDescent="0.3">
      <c r="A547">
        <v>546</v>
      </c>
      <c r="B547">
        <v>154</v>
      </c>
      <c r="C547">
        <v>149</v>
      </c>
      <c r="D547" s="1">
        <v>0.96750000000000003</v>
      </c>
      <c r="E547">
        <v>5</v>
      </c>
      <c r="F547" s="2">
        <v>3.0092592592592595E-4</v>
      </c>
      <c r="G547" s="2">
        <v>1.9907407407407408E-3</v>
      </c>
      <c r="H547" s="2">
        <v>1.2731481481481483E-3</v>
      </c>
      <c r="I547" s="1">
        <v>0.64900000000000002</v>
      </c>
    </row>
    <row r="548" spans="1:9" x14ac:dyDescent="0.3">
      <c r="A548">
        <v>547</v>
      </c>
      <c r="B548">
        <v>223</v>
      </c>
      <c r="C548">
        <v>218</v>
      </c>
      <c r="D548" s="1">
        <v>0.97760000000000002</v>
      </c>
      <c r="E548">
        <v>5</v>
      </c>
      <c r="F548" s="2">
        <v>2.0833333333333335E-4</v>
      </c>
      <c r="G548" s="2">
        <v>1.4699074074074074E-3</v>
      </c>
      <c r="H548" s="2">
        <v>1.3888888888888889E-3</v>
      </c>
      <c r="I548" s="1">
        <v>0.80089999999999995</v>
      </c>
    </row>
    <row r="549" spans="1:9" x14ac:dyDescent="0.3">
      <c r="A549">
        <v>548</v>
      </c>
      <c r="B549">
        <v>170</v>
      </c>
      <c r="C549">
        <v>157</v>
      </c>
      <c r="D549" s="1">
        <v>0.92349999999999999</v>
      </c>
      <c r="E549">
        <v>13</v>
      </c>
      <c r="F549" s="2">
        <v>1.9675925925925926E-4</v>
      </c>
      <c r="G549" s="2">
        <v>2.1296296296296298E-3</v>
      </c>
      <c r="H549" s="2">
        <v>4.4560185185185189E-3</v>
      </c>
      <c r="I549" s="1">
        <v>0.78439999999999999</v>
      </c>
    </row>
    <row r="550" spans="1:9" x14ac:dyDescent="0.3">
      <c r="A550">
        <v>549</v>
      </c>
      <c r="B550">
        <v>145</v>
      </c>
      <c r="C550">
        <v>133</v>
      </c>
      <c r="D550" s="1">
        <v>0.91720000000000002</v>
      </c>
      <c r="E550">
        <v>12</v>
      </c>
      <c r="F550" s="2">
        <v>3.0092592592592595E-4</v>
      </c>
      <c r="G550" s="2">
        <v>2.0370370370370369E-3</v>
      </c>
      <c r="H550" s="2">
        <v>2.5347222222222221E-3</v>
      </c>
      <c r="I550" s="1">
        <v>0.69230000000000003</v>
      </c>
    </row>
    <row r="551" spans="1:9" x14ac:dyDescent="0.3">
      <c r="A551">
        <v>550</v>
      </c>
      <c r="B551">
        <v>144</v>
      </c>
      <c r="C551">
        <v>138</v>
      </c>
      <c r="D551" s="1">
        <v>0.95830000000000004</v>
      </c>
      <c r="E551">
        <v>6</v>
      </c>
      <c r="F551" s="2">
        <v>1.9675925925925926E-4</v>
      </c>
      <c r="G551" s="2">
        <v>2.0023148148148148E-3</v>
      </c>
      <c r="H551" s="2">
        <v>1.9097222222222222E-3</v>
      </c>
      <c r="I551" s="1">
        <v>0.83799999999999997</v>
      </c>
    </row>
    <row r="552" spans="1:9" x14ac:dyDescent="0.3">
      <c r="A552">
        <v>551</v>
      </c>
      <c r="B552">
        <v>16</v>
      </c>
      <c r="C552">
        <v>15</v>
      </c>
      <c r="D552" s="1">
        <v>0.9375</v>
      </c>
      <c r="E552">
        <v>1</v>
      </c>
      <c r="F552" s="2">
        <v>1.9675925925925926E-4</v>
      </c>
      <c r="G552" s="2">
        <v>2.0833333333333333E-3</v>
      </c>
      <c r="H552" s="2">
        <v>1.9097222222222222E-3</v>
      </c>
      <c r="I552" s="1">
        <v>0.6875</v>
      </c>
    </row>
    <row r="553" spans="1:9" x14ac:dyDescent="0.3">
      <c r="A553">
        <v>552</v>
      </c>
      <c r="B553">
        <v>135</v>
      </c>
      <c r="C553">
        <v>131</v>
      </c>
      <c r="D553" s="1">
        <v>0.97040000000000004</v>
      </c>
      <c r="E553">
        <v>4</v>
      </c>
      <c r="F553" s="2">
        <v>2.3148148148148149E-4</v>
      </c>
      <c r="G553" s="2">
        <v>1.8171296296296297E-3</v>
      </c>
      <c r="H553" s="2">
        <v>1.3888888888888889E-3</v>
      </c>
      <c r="I553" s="1">
        <v>0.76119999999999999</v>
      </c>
    </row>
    <row r="554" spans="1:9" x14ac:dyDescent="0.3">
      <c r="A554">
        <v>553</v>
      </c>
      <c r="B554">
        <v>137</v>
      </c>
      <c r="C554">
        <v>133</v>
      </c>
      <c r="D554" s="1">
        <v>0.9708</v>
      </c>
      <c r="E554">
        <v>4</v>
      </c>
      <c r="F554" s="2">
        <v>2.7777777777777778E-4</v>
      </c>
      <c r="G554" s="2">
        <v>1.9560185185185184E-3</v>
      </c>
      <c r="H554" s="2">
        <v>1.9212962962962964E-3</v>
      </c>
      <c r="I554" s="1">
        <v>0.69120000000000004</v>
      </c>
    </row>
    <row r="555" spans="1:9" x14ac:dyDescent="0.3">
      <c r="A555">
        <v>554</v>
      </c>
      <c r="B555">
        <v>149</v>
      </c>
      <c r="C555">
        <v>144</v>
      </c>
      <c r="D555" s="1">
        <v>0.96640000000000004</v>
      </c>
      <c r="E555">
        <v>5</v>
      </c>
      <c r="F555" s="2">
        <v>1.9675925925925926E-4</v>
      </c>
      <c r="G555" s="2">
        <v>1.8402777777777777E-3</v>
      </c>
      <c r="H555" s="2">
        <v>1.4120370370370369E-3</v>
      </c>
      <c r="I555" s="1">
        <v>0.8276</v>
      </c>
    </row>
    <row r="556" spans="1:9" x14ac:dyDescent="0.3">
      <c r="A556">
        <v>555</v>
      </c>
      <c r="B556">
        <v>155</v>
      </c>
      <c r="C556">
        <v>143</v>
      </c>
      <c r="D556" s="1">
        <v>0.92259999999999998</v>
      </c>
      <c r="E556">
        <v>12</v>
      </c>
      <c r="F556" s="2">
        <v>1.8518518518518518E-4</v>
      </c>
      <c r="G556" s="2">
        <v>1.8634259259259259E-3</v>
      </c>
      <c r="H556" s="2">
        <v>4.4560185185185189E-3</v>
      </c>
      <c r="I556" s="1">
        <v>0.8014</v>
      </c>
    </row>
    <row r="557" spans="1:9" x14ac:dyDescent="0.3">
      <c r="A557">
        <v>556</v>
      </c>
      <c r="B557">
        <v>128</v>
      </c>
      <c r="C557">
        <v>121</v>
      </c>
      <c r="D557" s="1">
        <v>0.94530000000000003</v>
      </c>
      <c r="E557">
        <v>7</v>
      </c>
      <c r="F557" s="2">
        <v>2.199074074074074E-4</v>
      </c>
      <c r="G557" s="2">
        <v>2.0254629629629629E-3</v>
      </c>
      <c r="H557" s="2">
        <v>3.1828703703703702E-3</v>
      </c>
      <c r="I557" s="1">
        <v>0.77780000000000005</v>
      </c>
    </row>
    <row r="558" spans="1:9" x14ac:dyDescent="0.3">
      <c r="A558">
        <v>557</v>
      </c>
      <c r="B558">
        <v>134</v>
      </c>
      <c r="C558">
        <v>125</v>
      </c>
      <c r="D558" s="1">
        <v>0.93279999999999996</v>
      </c>
      <c r="E558">
        <v>9</v>
      </c>
      <c r="F558" s="2">
        <v>2.4305555555555555E-4</v>
      </c>
      <c r="G558" s="2">
        <v>1.8287037037037037E-3</v>
      </c>
      <c r="H558" s="2">
        <v>2.2916666666666667E-3</v>
      </c>
      <c r="I558" s="1">
        <v>0.72519999999999996</v>
      </c>
    </row>
    <row r="559" spans="1:9" x14ac:dyDescent="0.3">
      <c r="A559">
        <v>558</v>
      </c>
      <c r="B559">
        <v>21</v>
      </c>
      <c r="C559">
        <v>21</v>
      </c>
      <c r="D559" s="1">
        <v>1</v>
      </c>
      <c r="E559">
        <v>0</v>
      </c>
      <c r="F559" s="2">
        <v>2.6620370370370372E-4</v>
      </c>
      <c r="G559" s="2">
        <v>1.8171296296296297E-3</v>
      </c>
      <c r="H559" s="2">
        <v>1.9675925925925924E-3</v>
      </c>
      <c r="I559" s="1">
        <v>0.76190000000000002</v>
      </c>
    </row>
    <row r="560" spans="1:9" x14ac:dyDescent="0.3">
      <c r="A560">
        <v>559</v>
      </c>
      <c r="B560">
        <v>150</v>
      </c>
      <c r="C560">
        <v>138</v>
      </c>
      <c r="D560" s="1">
        <v>0.92</v>
      </c>
      <c r="E560">
        <v>12</v>
      </c>
      <c r="F560" s="2">
        <v>3.4722222222222224E-4</v>
      </c>
      <c r="G560" s="2">
        <v>1.9907407407407408E-3</v>
      </c>
      <c r="H560" s="2">
        <v>2.9629629629629628E-3</v>
      </c>
      <c r="I560" s="1">
        <v>0.5867</v>
      </c>
    </row>
    <row r="561" spans="1:9" x14ac:dyDescent="0.3">
      <c r="A561">
        <v>560</v>
      </c>
      <c r="B561">
        <v>163</v>
      </c>
      <c r="C561">
        <v>158</v>
      </c>
      <c r="D561" s="1">
        <v>0.96930000000000005</v>
      </c>
      <c r="E561">
        <v>5</v>
      </c>
      <c r="F561" s="2">
        <v>1.6203703703703703E-4</v>
      </c>
      <c r="G561" s="2">
        <v>1.712962962962963E-3</v>
      </c>
      <c r="H561" s="2">
        <v>1.4004629629629629E-3</v>
      </c>
      <c r="I561" s="1">
        <v>0.81989999999999996</v>
      </c>
    </row>
    <row r="562" spans="1:9" x14ac:dyDescent="0.3">
      <c r="A562">
        <v>561</v>
      </c>
      <c r="B562">
        <v>160</v>
      </c>
      <c r="C562">
        <v>151</v>
      </c>
      <c r="D562" s="1">
        <v>0.94379999999999997</v>
      </c>
      <c r="E562">
        <v>9</v>
      </c>
      <c r="F562" s="2">
        <v>1.3888888888888889E-4</v>
      </c>
      <c r="G562" s="2">
        <v>1.8402777777777777E-3</v>
      </c>
      <c r="H562" s="2">
        <v>2.0486111111111113E-3</v>
      </c>
      <c r="I562" s="1">
        <v>0.87180000000000002</v>
      </c>
    </row>
    <row r="563" spans="1:9" x14ac:dyDescent="0.3">
      <c r="A563">
        <v>562</v>
      </c>
      <c r="B563">
        <v>132</v>
      </c>
      <c r="C563">
        <v>125</v>
      </c>
      <c r="D563" s="1">
        <v>0.94699999999999995</v>
      </c>
      <c r="E563">
        <v>7</v>
      </c>
      <c r="F563" s="2">
        <v>3.4722222222222224E-4</v>
      </c>
      <c r="G563" s="2">
        <v>1.9212962962962964E-3</v>
      </c>
      <c r="H563" s="2">
        <v>2.627314814814815E-3</v>
      </c>
      <c r="I563" s="1">
        <v>0.6462</v>
      </c>
    </row>
    <row r="564" spans="1:9" x14ac:dyDescent="0.3">
      <c r="A564">
        <v>563</v>
      </c>
      <c r="B564">
        <v>131</v>
      </c>
      <c r="C564">
        <v>126</v>
      </c>
      <c r="D564" s="1">
        <v>0.96179999999999999</v>
      </c>
      <c r="E564">
        <v>5</v>
      </c>
      <c r="F564" s="2">
        <v>1.9675925925925926E-4</v>
      </c>
      <c r="G564" s="2">
        <v>1.9328703703703704E-3</v>
      </c>
      <c r="H564" s="2">
        <v>1.7939814814814815E-3</v>
      </c>
      <c r="I564" s="1">
        <v>0.78290000000000004</v>
      </c>
    </row>
    <row r="565" spans="1:9" x14ac:dyDescent="0.3">
      <c r="A565">
        <v>564</v>
      </c>
      <c r="B565">
        <v>158</v>
      </c>
      <c r="C565">
        <v>146</v>
      </c>
      <c r="D565" s="1">
        <v>0.92410000000000003</v>
      </c>
      <c r="E565">
        <v>12</v>
      </c>
      <c r="F565" s="2">
        <v>2.4305555555555555E-4</v>
      </c>
      <c r="G565" s="2">
        <v>1.8749999999999999E-3</v>
      </c>
      <c r="H565" s="2">
        <v>2.5462962962962965E-3</v>
      </c>
      <c r="I565" s="1">
        <v>0.75319999999999998</v>
      </c>
    </row>
    <row r="566" spans="1:9" x14ac:dyDescent="0.3">
      <c r="A566">
        <v>565</v>
      </c>
      <c r="B566">
        <v>19</v>
      </c>
      <c r="C566">
        <v>16</v>
      </c>
      <c r="D566" s="1">
        <v>0.84209999999999996</v>
      </c>
      <c r="E566">
        <v>3</v>
      </c>
      <c r="F566" s="2">
        <v>5.9027777777777778E-4</v>
      </c>
      <c r="G566" s="2">
        <v>1.9212962962962964E-3</v>
      </c>
      <c r="H566" s="2">
        <v>2.9398148148148148E-3</v>
      </c>
      <c r="I566" s="1">
        <v>0.47370000000000001</v>
      </c>
    </row>
    <row r="567" spans="1:9" x14ac:dyDescent="0.3">
      <c r="A567">
        <v>566</v>
      </c>
      <c r="B567">
        <v>151</v>
      </c>
      <c r="C567">
        <v>128</v>
      </c>
      <c r="D567" s="1">
        <v>0.84770000000000001</v>
      </c>
      <c r="E567">
        <v>23</v>
      </c>
      <c r="F567" s="2">
        <v>6.018518518518519E-4</v>
      </c>
      <c r="G567" s="2">
        <v>1.736111111111111E-3</v>
      </c>
      <c r="H567" s="2">
        <v>3.9120370370370368E-3</v>
      </c>
      <c r="I567" s="1">
        <v>0.37930000000000003</v>
      </c>
    </row>
    <row r="568" spans="1:9" x14ac:dyDescent="0.3">
      <c r="A568">
        <v>567</v>
      </c>
      <c r="B568">
        <v>139</v>
      </c>
      <c r="C568">
        <v>128</v>
      </c>
      <c r="D568" s="1">
        <v>0.92090000000000005</v>
      </c>
      <c r="E568">
        <v>11</v>
      </c>
      <c r="F568" s="2">
        <v>3.7037037037037035E-4</v>
      </c>
      <c r="G568" s="2">
        <v>1.8981481481481482E-3</v>
      </c>
      <c r="H568" s="2">
        <v>2.476851851851852E-3</v>
      </c>
      <c r="I568" s="1">
        <v>0.51800000000000002</v>
      </c>
    </row>
    <row r="569" spans="1:9" x14ac:dyDescent="0.3">
      <c r="A569">
        <v>568</v>
      </c>
      <c r="B569">
        <v>166</v>
      </c>
      <c r="C569">
        <v>135</v>
      </c>
      <c r="D569" s="1">
        <v>0.81330000000000002</v>
      </c>
      <c r="E569">
        <v>31</v>
      </c>
      <c r="F569" s="2">
        <v>4.7453703703703704E-4</v>
      </c>
      <c r="G569" s="2">
        <v>1.8518518518518519E-3</v>
      </c>
      <c r="H569" s="2">
        <v>3.5763888888888889E-3</v>
      </c>
      <c r="I569" s="1">
        <v>0.46500000000000002</v>
      </c>
    </row>
    <row r="570" spans="1:9" x14ac:dyDescent="0.3">
      <c r="A570">
        <v>569</v>
      </c>
      <c r="B570">
        <v>258</v>
      </c>
      <c r="C570">
        <v>196</v>
      </c>
      <c r="D570" s="1">
        <v>0.75970000000000004</v>
      </c>
      <c r="E570">
        <v>62</v>
      </c>
      <c r="F570" s="2">
        <v>8.1018518518518516E-4</v>
      </c>
      <c r="G570" s="2">
        <v>1.736111111111111E-3</v>
      </c>
      <c r="H570" s="2">
        <v>5.4513888888888893E-3</v>
      </c>
      <c r="I570" s="1">
        <v>0.2429</v>
      </c>
    </row>
    <row r="571" spans="1:9" x14ac:dyDescent="0.3">
      <c r="A571">
        <v>570</v>
      </c>
      <c r="B571">
        <v>203</v>
      </c>
      <c r="C571">
        <v>176</v>
      </c>
      <c r="D571" s="1">
        <v>0.86699999999999999</v>
      </c>
      <c r="E571">
        <v>27</v>
      </c>
      <c r="F571" s="2">
        <v>4.6296296296296298E-4</v>
      </c>
      <c r="G571" s="2">
        <v>1.736111111111111E-3</v>
      </c>
      <c r="H571" s="2">
        <v>6.3541666666666668E-3</v>
      </c>
      <c r="I571" s="1">
        <v>0.44779999999999998</v>
      </c>
    </row>
    <row r="572" spans="1:9" x14ac:dyDescent="0.3">
      <c r="A572">
        <v>571</v>
      </c>
      <c r="B572">
        <v>182</v>
      </c>
      <c r="C572">
        <v>162</v>
      </c>
      <c r="D572" s="1">
        <v>0.8901</v>
      </c>
      <c r="E572">
        <v>20</v>
      </c>
      <c r="F572" s="2">
        <v>2.8935185185185184E-4</v>
      </c>
      <c r="G572" s="2">
        <v>1.9444444444444444E-3</v>
      </c>
      <c r="H572" s="2">
        <v>2.5462962962962965E-3</v>
      </c>
      <c r="I572" s="1">
        <v>0.59430000000000005</v>
      </c>
    </row>
    <row r="573" spans="1:9" x14ac:dyDescent="0.3">
      <c r="A573">
        <v>572</v>
      </c>
      <c r="B573">
        <v>18</v>
      </c>
      <c r="C573">
        <v>17</v>
      </c>
      <c r="D573" s="1">
        <v>0.94440000000000002</v>
      </c>
      <c r="E573">
        <v>1</v>
      </c>
      <c r="F573" s="2">
        <v>6.3657407407407413E-4</v>
      </c>
      <c r="G573" s="2">
        <v>2.7893518518518519E-3</v>
      </c>
      <c r="H573" s="2">
        <v>4.0046296296296297E-3</v>
      </c>
      <c r="I573" s="1">
        <v>0.5</v>
      </c>
    </row>
    <row r="574" spans="1:9" x14ac:dyDescent="0.3">
      <c r="A574">
        <v>573</v>
      </c>
      <c r="B574">
        <v>215</v>
      </c>
      <c r="C574">
        <v>170</v>
      </c>
      <c r="D574" s="1">
        <v>0.79069999999999996</v>
      </c>
      <c r="E574">
        <v>45</v>
      </c>
      <c r="F574" s="2">
        <v>6.3657407407407413E-4</v>
      </c>
      <c r="G574" s="2">
        <v>1.9560185185185184E-3</v>
      </c>
      <c r="H574" s="2">
        <v>5.162037037037037E-3</v>
      </c>
      <c r="I574" s="1">
        <v>0.43059999999999998</v>
      </c>
    </row>
    <row r="575" spans="1:9" x14ac:dyDescent="0.3">
      <c r="A575">
        <v>574</v>
      </c>
      <c r="B575">
        <v>209</v>
      </c>
      <c r="C575">
        <v>203</v>
      </c>
      <c r="D575" s="1">
        <v>0.97130000000000005</v>
      </c>
      <c r="E575">
        <v>6</v>
      </c>
      <c r="F575" s="2">
        <v>2.8935185185185184E-4</v>
      </c>
      <c r="G575" s="2">
        <v>1.8749999999999999E-3</v>
      </c>
      <c r="H575" s="2">
        <v>2.5462962962962965E-3</v>
      </c>
      <c r="I575" s="1">
        <v>0.74880000000000002</v>
      </c>
    </row>
    <row r="576" spans="1:9" x14ac:dyDescent="0.3">
      <c r="A576">
        <v>575</v>
      </c>
      <c r="B576">
        <v>140</v>
      </c>
      <c r="C576">
        <v>134</v>
      </c>
      <c r="D576" s="1">
        <v>0.95709999999999995</v>
      </c>
      <c r="E576">
        <v>6</v>
      </c>
      <c r="F576" s="2">
        <v>2.3148148148148149E-4</v>
      </c>
      <c r="G576" s="2">
        <v>2.0717592592592593E-3</v>
      </c>
      <c r="H576" s="2">
        <v>2.3263888888888887E-3</v>
      </c>
      <c r="I576" s="1">
        <v>0.76259999999999994</v>
      </c>
    </row>
    <row r="577" spans="1:9" x14ac:dyDescent="0.3">
      <c r="A577">
        <v>576</v>
      </c>
      <c r="B577">
        <v>124</v>
      </c>
      <c r="C577">
        <v>110</v>
      </c>
      <c r="D577" s="1">
        <v>0.8871</v>
      </c>
      <c r="E577">
        <v>14</v>
      </c>
      <c r="F577" s="2">
        <v>1.7361111111111112E-4</v>
      </c>
      <c r="G577" s="2">
        <v>2.0370370370370369E-3</v>
      </c>
      <c r="H577" s="2">
        <v>5.7407407407407407E-3</v>
      </c>
      <c r="I577" s="1">
        <v>0.81820000000000004</v>
      </c>
    </row>
    <row r="578" spans="1:9" x14ac:dyDescent="0.3">
      <c r="A578">
        <v>577</v>
      </c>
      <c r="B578">
        <v>179</v>
      </c>
      <c r="C578">
        <v>163</v>
      </c>
      <c r="D578" s="1">
        <v>0.91059999999999997</v>
      </c>
      <c r="E578">
        <v>16</v>
      </c>
      <c r="F578" s="2">
        <v>2.6620370370370372E-4</v>
      </c>
      <c r="G578" s="2">
        <v>1.8981481481481482E-3</v>
      </c>
      <c r="H578" s="2">
        <v>2.9745370370370373E-3</v>
      </c>
      <c r="I578" s="1">
        <v>0.71589999999999998</v>
      </c>
    </row>
    <row r="579" spans="1:9" x14ac:dyDescent="0.3">
      <c r="A579">
        <v>578</v>
      </c>
      <c r="B579">
        <v>163</v>
      </c>
      <c r="C579">
        <v>161</v>
      </c>
      <c r="D579" s="1">
        <v>0.98770000000000002</v>
      </c>
      <c r="E579">
        <v>2</v>
      </c>
      <c r="F579" s="2">
        <v>1.1574074074074075E-4</v>
      </c>
      <c r="G579" s="2">
        <v>1.8518518518518519E-3</v>
      </c>
      <c r="H579" s="2">
        <v>1.2847222222222223E-3</v>
      </c>
      <c r="I579" s="1">
        <v>0.94410000000000005</v>
      </c>
    </row>
    <row r="580" spans="1:9" x14ac:dyDescent="0.3">
      <c r="A580">
        <v>579</v>
      </c>
      <c r="B580">
        <v>27</v>
      </c>
      <c r="C580">
        <v>27</v>
      </c>
      <c r="D580" s="1">
        <v>1</v>
      </c>
      <c r="E580">
        <v>0</v>
      </c>
      <c r="F580" s="2">
        <v>5.7870370370370373E-5</v>
      </c>
      <c r="G580" s="2">
        <v>1.9444444444444444E-3</v>
      </c>
      <c r="H580" s="2">
        <v>2.199074074074074E-4</v>
      </c>
      <c r="I580" s="1">
        <v>1</v>
      </c>
    </row>
    <row r="581" spans="1:9" x14ac:dyDescent="0.3">
      <c r="A581">
        <v>580</v>
      </c>
      <c r="B581">
        <v>182</v>
      </c>
      <c r="C581">
        <v>175</v>
      </c>
      <c r="D581" s="1">
        <v>0.96150000000000002</v>
      </c>
      <c r="E581">
        <v>7</v>
      </c>
      <c r="F581" s="2">
        <v>2.199074074074074E-4</v>
      </c>
      <c r="G581" s="2">
        <v>1.8287037037037037E-3</v>
      </c>
      <c r="H581" s="2">
        <v>2.1759259259259258E-3</v>
      </c>
      <c r="I581" s="1">
        <v>0.79890000000000005</v>
      </c>
    </row>
    <row r="582" spans="1:9" x14ac:dyDescent="0.3">
      <c r="A582">
        <v>581</v>
      </c>
      <c r="B582">
        <v>164</v>
      </c>
      <c r="C582">
        <v>159</v>
      </c>
      <c r="D582" s="1">
        <v>0.96950000000000003</v>
      </c>
      <c r="E582">
        <v>5</v>
      </c>
      <c r="F582" s="2">
        <v>1.273148148148148E-4</v>
      </c>
      <c r="G582" s="2">
        <v>1.6550925925925926E-3</v>
      </c>
      <c r="H582" s="2">
        <v>4.4907407407407405E-3</v>
      </c>
      <c r="I582" s="1">
        <v>0.90180000000000005</v>
      </c>
    </row>
    <row r="583" spans="1:9" x14ac:dyDescent="0.3">
      <c r="A583">
        <v>582</v>
      </c>
      <c r="B583">
        <v>160</v>
      </c>
      <c r="C583">
        <v>159</v>
      </c>
      <c r="D583" s="1">
        <v>0.99380000000000002</v>
      </c>
      <c r="E583">
        <v>1</v>
      </c>
      <c r="F583" s="2">
        <v>5.7870370370370373E-5</v>
      </c>
      <c r="G583" s="2">
        <v>1.8518518518518519E-3</v>
      </c>
      <c r="H583" s="2">
        <v>6.7129629629629625E-4</v>
      </c>
      <c r="I583" s="1">
        <v>0.98740000000000006</v>
      </c>
    </row>
    <row r="584" spans="1:9" x14ac:dyDescent="0.3">
      <c r="A584">
        <v>583</v>
      </c>
      <c r="B584">
        <v>174</v>
      </c>
      <c r="C584">
        <v>155</v>
      </c>
      <c r="D584" s="1">
        <v>0.89080000000000004</v>
      </c>
      <c r="E584">
        <v>19</v>
      </c>
      <c r="F584" s="2">
        <v>1.8518518518518518E-4</v>
      </c>
      <c r="G584" s="2">
        <v>1.8634259259259259E-3</v>
      </c>
      <c r="H584" s="2">
        <v>4.6180555555555558E-3</v>
      </c>
      <c r="I584" s="1">
        <v>0.77059999999999995</v>
      </c>
    </row>
    <row r="585" spans="1:9" x14ac:dyDescent="0.3">
      <c r="A585">
        <v>584</v>
      </c>
      <c r="B585">
        <v>235</v>
      </c>
      <c r="C585">
        <v>230</v>
      </c>
      <c r="D585" s="1">
        <v>0.97870000000000001</v>
      </c>
      <c r="E585">
        <v>5</v>
      </c>
      <c r="F585" s="2">
        <v>5.7870370370370373E-5</v>
      </c>
      <c r="G585" s="2">
        <v>1.7013888888888888E-3</v>
      </c>
      <c r="H585" s="2">
        <v>1.2731481481481483E-3</v>
      </c>
      <c r="I585" s="1">
        <v>0.95740000000000003</v>
      </c>
    </row>
    <row r="586" spans="1:9" x14ac:dyDescent="0.3">
      <c r="A586">
        <v>585</v>
      </c>
      <c r="B586">
        <v>175</v>
      </c>
      <c r="C586">
        <v>174</v>
      </c>
      <c r="D586" s="1">
        <v>0.99429999999999996</v>
      </c>
      <c r="E586">
        <v>1</v>
      </c>
      <c r="F586" s="2">
        <v>4.6296296296296294E-5</v>
      </c>
      <c r="G586" s="2">
        <v>1.6898148148148148E-3</v>
      </c>
      <c r="H586" s="2">
        <v>1.3078703703703703E-3</v>
      </c>
      <c r="I586" s="1">
        <v>0.98860000000000003</v>
      </c>
    </row>
    <row r="587" spans="1:9" x14ac:dyDescent="0.3">
      <c r="A587">
        <v>586</v>
      </c>
      <c r="B587">
        <v>25</v>
      </c>
      <c r="C587">
        <v>25</v>
      </c>
      <c r="D587" s="1">
        <v>1</v>
      </c>
      <c r="E587">
        <v>0</v>
      </c>
      <c r="F587" s="2">
        <v>4.6296296296296294E-5</v>
      </c>
      <c r="G587" s="2">
        <v>2.2569444444444442E-3</v>
      </c>
      <c r="H587" s="2">
        <v>6.3657407407407413E-4</v>
      </c>
      <c r="I587" s="1">
        <v>0.96</v>
      </c>
    </row>
    <row r="588" spans="1:9" x14ac:dyDescent="0.3">
      <c r="A588">
        <v>587</v>
      </c>
      <c r="B588">
        <v>170</v>
      </c>
      <c r="C588">
        <v>167</v>
      </c>
      <c r="D588" s="1">
        <v>0.98240000000000005</v>
      </c>
      <c r="E588">
        <v>3</v>
      </c>
      <c r="F588" s="2">
        <v>6.9444444444444444E-5</v>
      </c>
      <c r="G588" s="2">
        <v>1.7939814814814815E-3</v>
      </c>
      <c r="H588" s="2">
        <v>2.5462962962962965E-3</v>
      </c>
      <c r="I588" s="1">
        <v>0.94079999999999997</v>
      </c>
    </row>
    <row r="589" spans="1:9" x14ac:dyDescent="0.3">
      <c r="A589">
        <v>588</v>
      </c>
      <c r="B589">
        <v>187</v>
      </c>
      <c r="C589">
        <v>168</v>
      </c>
      <c r="D589" s="1">
        <v>0.89839999999999998</v>
      </c>
      <c r="E589">
        <v>19</v>
      </c>
      <c r="F589" s="2">
        <v>3.0092592592592595E-4</v>
      </c>
      <c r="G589" s="2">
        <v>1.6203703703703703E-3</v>
      </c>
      <c r="H589" s="2">
        <v>3.3449074074074076E-3</v>
      </c>
      <c r="I589" s="1">
        <v>0.70430000000000004</v>
      </c>
    </row>
    <row r="590" spans="1:9" x14ac:dyDescent="0.3">
      <c r="A590">
        <v>589</v>
      </c>
      <c r="B590">
        <v>53</v>
      </c>
      <c r="C590">
        <v>51</v>
      </c>
      <c r="D590" s="1">
        <v>0.96230000000000004</v>
      </c>
      <c r="E590">
        <v>2</v>
      </c>
      <c r="F590" s="2">
        <v>6.9444444444444444E-5</v>
      </c>
      <c r="G590" s="2">
        <v>1.724537037037037E-3</v>
      </c>
      <c r="H590" s="2">
        <v>1.2731481481481483E-3</v>
      </c>
      <c r="I590" s="1">
        <v>0.88680000000000003</v>
      </c>
    </row>
    <row r="591" spans="1:9" x14ac:dyDescent="0.3">
      <c r="A591">
        <v>590</v>
      </c>
      <c r="B591">
        <v>121</v>
      </c>
      <c r="C591">
        <v>117</v>
      </c>
      <c r="D591" s="1">
        <v>0.96689999999999998</v>
      </c>
      <c r="E591">
        <v>4</v>
      </c>
      <c r="F591" s="2">
        <v>1.5046296296296297E-4</v>
      </c>
      <c r="G591" s="2">
        <v>1.8055555555555555E-3</v>
      </c>
      <c r="H591" s="2">
        <v>1.8634259259259259E-3</v>
      </c>
      <c r="I591" s="1">
        <v>0.85829999999999995</v>
      </c>
    </row>
    <row r="592" spans="1:9" x14ac:dyDescent="0.3">
      <c r="A592">
        <v>591</v>
      </c>
      <c r="B592">
        <v>143</v>
      </c>
      <c r="C592">
        <v>139</v>
      </c>
      <c r="D592" s="1">
        <v>0.97199999999999998</v>
      </c>
      <c r="E592">
        <v>4</v>
      </c>
      <c r="F592" s="2">
        <v>5.7870370370370373E-5</v>
      </c>
      <c r="G592" s="2">
        <v>1.6898148148148148E-3</v>
      </c>
      <c r="H592" s="2">
        <v>1.3425925925925925E-3</v>
      </c>
      <c r="I592" s="1">
        <v>0.94410000000000005</v>
      </c>
    </row>
    <row r="593" spans="1:9" x14ac:dyDescent="0.3">
      <c r="A593">
        <v>592</v>
      </c>
      <c r="B593">
        <v>100</v>
      </c>
      <c r="C593">
        <v>96</v>
      </c>
      <c r="D593" s="1">
        <v>0.96</v>
      </c>
      <c r="E593">
        <v>4</v>
      </c>
      <c r="F593" s="2">
        <v>6.9444444444444444E-5</v>
      </c>
      <c r="G593" s="2">
        <v>1.712962962962963E-3</v>
      </c>
      <c r="H593" s="2">
        <v>1.2731481481481483E-3</v>
      </c>
      <c r="I593" s="1">
        <v>0.91920000000000002</v>
      </c>
    </row>
    <row r="594" spans="1:9" x14ac:dyDescent="0.3">
      <c r="A594">
        <v>593</v>
      </c>
      <c r="B594">
        <v>17</v>
      </c>
      <c r="C594">
        <v>17</v>
      </c>
      <c r="D594" s="1">
        <v>1</v>
      </c>
      <c r="E594">
        <v>0</v>
      </c>
      <c r="F594" s="2">
        <v>9.2592592592592588E-5</v>
      </c>
      <c r="G594" s="2">
        <v>2.0254629629629629E-3</v>
      </c>
      <c r="H594" s="2">
        <v>6.8287037037037036E-4</v>
      </c>
      <c r="I594" s="1">
        <v>0.88239999999999996</v>
      </c>
    </row>
    <row r="595" spans="1:9" x14ac:dyDescent="0.3">
      <c r="A595">
        <v>594</v>
      </c>
      <c r="B595">
        <v>113</v>
      </c>
      <c r="C595">
        <v>110</v>
      </c>
      <c r="D595" s="1">
        <v>0.97350000000000003</v>
      </c>
      <c r="E595">
        <v>3</v>
      </c>
      <c r="F595" s="2">
        <v>9.2592592592592588E-5</v>
      </c>
      <c r="G595" s="2">
        <v>1.7708333333333332E-3</v>
      </c>
      <c r="H595" s="2">
        <v>9.0277777777777774E-4</v>
      </c>
      <c r="I595" s="1">
        <v>0.90180000000000005</v>
      </c>
    </row>
    <row r="596" spans="1:9" x14ac:dyDescent="0.3">
      <c r="A596">
        <v>595</v>
      </c>
      <c r="B596">
        <v>139</v>
      </c>
      <c r="C596">
        <v>128</v>
      </c>
      <c r="D596" s="1">
        <v>0.92090000000000005</v>
      </c>
      <c r="E596">
        <v>11</v>
      </c>
      <c r="F596" s="2">
        <v>1.5046296296296297E-4</v>
      </c>
      <c r="G596" s="2">
        <v>1.8287037037037037E-3</v>
      </c>
      <c r="H596" s="2">
        <v>2.5462962962962965E-3</v>
      </c>
      <c r="I596" s="1">
        <v>0.82010000000000005</v>
      </c>
    </row>
    <row r="597" spans="1:9" x14ac:dyDescent="0.3">
      <c r="A597">
        <v>596</v>
      </c>
      <c r="B597">
        <v>135</v>
      </c>
      <c r="C597">
        <v>134</v>
      </c>
      <c r="D597" s="1">
        <v>0.99260000000000004</v>
      </c>
      <c r="E597">
        <v>1</v>
      </c>
      <c r="F597" s="2">
        <v>4.6296296296296294E-5</v>
      </c>
      <c r="G597" s="2">
        <v>1.7824074074074075E-3</v>
      </c>
      <c r="H597" s="2">
        <v>1.2731481481481483E-3</v>
      </c>
      <c r="I597" s="1">
        <v>0.98519999999999996</v>
      </c>
    </row>
    <row r="598" spans="1:9" x14ac:dyDescent="0.3">
      <c r="A598">
        <v>597</v>
      </c>
      <c r="B598">
        <v>29</v>
      </c>
      <c r="C598">
        <v>29</v>
      </c>
      <c r="D598" s="1">
        <v>1</v>
      </c>
      <c r="E598">
        <v>0</v>
      </c>
      <c r="F598" s="2">
        <v>1.7361111111111112E-4</v>
      </c>
      <c r="G598" s="2">
        <v>2.2337962962962962E-3</v>
      </c>
      <c r="H598" s="2">
        <v>1.0300925925925926E-3</v>
      </c>
      <c r="I598" s="1">
        <v>0.79310000000000003</v>
      </c>
    </row>
    <row r="599" spans="1:9" x14ac:dyDescent="0.3">
      <c r="A599">
        <v>598</v>
      </c>
      <c r="B599">
        <v>120</v>
      </c>
      <c r="C599">
        <v>116</v>
      </c>
      <c r="D599" s="1">
        <v>0.9667</v>
      </c>
      <c r="E599">
        <v>4</v>
      </c>
      <c r="F599" s="2">
        <v>5.7870370370370373E-5</v>
      </c>
      <c r="G599" s="2">
        <v>1.8865740740740742E-3</v>
      </c>
      <c r="H599" s="2">
        <v>1.9097222222222222E-3</v>
      </c>
      <c r="I599" s="1">
        <v>0.95830000000000004</v>
      </c>
    </row>
    <row r="600" spans="1:9" x14ac:dyDescent="0.3">
      <c r="A600">
        <v>599</v>
      </c>
      <c r="B600">
        <v>115</v>
      </c>
      <c r="C600">
        <v>108</v>
      </c>
      <c r="D600" s="1">
        <v>0.93910000000000005</v>
      </c>
      <c r="E600">
        <v>7</v>
      </c>
      <c r="F600" s="2">
        <v>1.0416666666666667E-4</v>
      </c>
      <c r="G600" s="2">
        <v>1.9675925925925924E-3</v>
      </c>
      <c r="H600" s="2">
        <v>3.0671296296296297E-3</v>
      </c>
      <c r="I600" s="1">
        <v>0.88700000000000001</v>
      </c>
    </row>
    <row r="601" spans="1:9" x14ac:dyDescent="0.3">
      <c r="A601">
        <v>600</v>
      </c>
      <c r="B601">
        <v>14</v>
      </c>
      <c r="C601">
        <v>14</v>
      </c>
      <c r="D601" s="1">
        <v>1</v>
      </c>
      <c r="E601">
        <v>0</v>
      </c>
      <c r="F601" s="2">
        <v>1.6203703703703703E-4</v>
      </c>
      <c r="G601" s="2">
        <v>1.5856481481481481E-3</v>
      </c>
      <c r="H601" s="2">
        <v>8.564814814814815E-4</v>
      </c>
      <c r="I601" s="1">
        <v>0.78569999999999995</v>
      </c>
    </row>
    <row r="602" spans="1:9" x14ac:dyDescent="0.3">
      <c r="A602">
        <v>601</v>
      </c>
      <c r="B602">
        <v>107</v>
      </c>
      <c r="C602">
        <v>104</v>
      </c>
      <c r="D602" s="1">
        <v>0.97199999999999998</v>
      </c>
      <c r="E602">
        <v>3</v>
      </c>
      <c r="F602" s="2">
        <v>8.1018518518518516E-5</v>
      </c>
      <c r="G602" s="2">
        <v>1.724537037037037E-3</v>
      </c>
      <c r="H602" s="2">
        <v>6.7129629629629625E-4</v>
      </c>
      <c r="I602" s="1">
        <v>0.90569999999999995</v>
      </c>
    </row>
    <row r="603" spans="1:9" x14ac:dyDescent="0.3">
      <c r="A603">
        <v>602</v>
      </c>
      <c r="B603">
        <v>137</v>
      </c>
      <c r="C603">
        <v>128</v>
      </c>
      <c r="D603" s="1">
        <v>0.93430000000000002</v>
      </c>
      <c r="E603">
        <v>9</v>
      </c>
      <c r="F603" s="2">
        <v>1.1574074074074075E-4</v>
      </c>
      <c r="G603" s="2">
        <v>1.736111111111111E-3</v>
      </c>
      <c r="H603" s="2">
        <v>1.4236111111111112E-3</v>
      </c>
      <c r="I603" s="1">
        <v>0.85289999999999999</v>
      </c>
    </row>
    <row r="604" spans="1:9" x14ac:dyDescent="0.3">
      <c r="A604">
        <v>603</v>
      </c>
      <c r="B604">
        <v>106</v>
      </c>
      <c r="C604">
        <v>105</v>
      </c>
      <c r="D604" s="1">
        <v>0.99060000000000004</v>
      </c>
      <c r="E604">
        <v>1</v>
      </c>
      <c r="F604" s="2">
        <v>1.273148148148148E-4</v>
      </c>
      <c r="G604" s="2">
        <v>1.9328703703703704E-3</v>
      </c>
      <c r="H604" s="2">
        <v>1.3078703703703703E-3</v>
      </c>
      <c r="I604" s="1">
        <v>0.85850000000000004</v>
      </c>
    </row>
    <row r="605" spans="1:9" x14ac:dyDescent="0.3">
      <c r="A605">
        <v>604</v>
      </c>
      <c r="B605">
        <v>116</v>
      </c>
      <c r="C605">
        <v>108</v>
      </c>
      <c r="D605" s="1">
        <v>0.93100000000000005</v>
      </c>
      <c r="E605">
        <v>8</v>
      </c>
      <c r="F605" s="2">
        <v>2.199074074074074E-4</v>
      </c>
      <c r="G605" s="2">
        <v>1.6898148148148148E-3</v>
      </c>
      <c r="H605" s="2">
        <v>1.7708333333333332E-3</v>
      </c>
      <c r="I605" s="1">
        <v>0.8407</v>
      </c>
    </row>
    <row r="606" spans="1:9" x14ac:dyDescent="0.3">
      <c r="A606">
        <v>605</v>
      </c>
      <c r="B606">
        <v>120</v>
      </c>
      <c r="C606">
        <v>117</v>
      </c>
      <c r="D606" s="1">
        <v>0.97499999999999998</v>
      </c>
      <c r="E606">
        <v>3</v>
      </c>
      <c r="F606" s="2">
        <v>1.0416666666666667E-4</v>
      </c>
      <c r="G606" s="2">
        <v>1.8171296296296297E-3</v>
      </c>
      <c r="H606" s="2">
        <v>7.5231481481481482E-4</v>
      </c>
      <c r="I606" s="1">
        <v>0.90759999999999996</v>
      </c>
    </row>
    <row r="607" spans="1:9" x14ac:dyDescent="0.3">
      <c r="A607">
        <v>606</v>
      </c>
      <c r="B607">
        <v>123</v>
      </c>
      <c r="C607">
        <v>121</v>
      </c>
      <c r="D607" s="1">
        <v>0.98370000000000002</v>
      </c>
      <c r="E607">
        <v>2</v>
      </c>
      <c r="F607" s="2">
        <v>8.1018518518518516E-5</v>
      </c>
      <c r="G607" s="2">
        <v>1.7013888888888888E-3</v>
      </c>
      <c r="H607" s="2">
        <v>1.3310185185185185E-3</v>
      </c>
      <c r="I607" s="1">
        <v>0.91059999999999997</v>
      </c>
    </row>
    <row r="608" spans="1:9" x14ac:dyDescent="0.3">
      <c r="A608">
        <v>607</v>
      </c>
      <c r="B608">
        <v>31</v>
      </c>
      <c r="C608">
        <v>31</v>
      </c>
      <c r="D608" s="1">
        <v>1</v>
      </c>
      <c r="E608">
        <v>0</v>
      </c>
      <c r="F608" s="2">
        <v>3.4722222222222222E-5</v>
      </c>
      <c r="G608" s="2">
        <v>1.5972222222222223E-3</v>
      </c>
      <c r="H608" s="2">
        <v>3.4722222222222222E-5</v>
      </c>
      <c r="I608" s="1">
        <v>1</v>
      </c>
    </row>
    <row r="609" spans="1:9" x14ac:dyDescent="0.3">
      <c r="A609">
        <v>608</v>
      </c>
      <c r="B609">
        <v>140</v>
      </c>
      <c r="C609">
        <v>139</v>
      </c>
      <c r="D609" s="1">
        <v>0.9929</v>
      </c>
      <c r="E609">
        <v>1</v>
      </c>
      <c r="F609" s="2">
        <v>9.2592592592592588E-5</v>
      </c>
      <c r="G609" s="2">
        <v>1.8402777777777777E-3</v>
      </c>
      <c r="H609" s="2">
        <v>8.2175925925925927E-4</v>
      </c>
      <c r="I609" s="1">
        <v>0.9214</v>
      </c>
    </row>
    <row r="610" spans="1:9" x14ac:dyDescent="0.3">
      <c r="A610">
        <v>609</v>
      </c>
      <c r="B610">
        <v>168</v>
      </c>
      <c r="C610">
        <v>161</v>
      </c>
      <c r="D610" s="1">
        <v>0.95830000000000004</v>
      </c>
      <c r="E610">
        <v>7</v>
      </c>
      <c r="F610" s="2">
        <v>2.0833333333333335E-4</v>
      </c>
      <c r="G610" s="2">
        <v>1.6666666666666668E-3</v>
      </c>
      <c r="H610" s="2">
        <v>1.6666666666666668E-3</v>
      </c>
      <c r="I610" s="1">
        <v>0.73650000000000004</v>
      </c>
    </row>
    <row r="611" spans="1:9" x14ac:dyDescent="0.3">
      <c r="A611">
        <v>610</v>
      </c>
      <c r="B611">
        <v>146</v>
      </c>
      <c r="C611">
        <v>144</v>
      </c>
      <c r="D611" s="1">
        <v>0.98629999999999995</v>
      </c>
      <c r="E611">
        <v>2</v>
      </c>
      <c r="F611" s="2">
        <v>6.9444444444444444E-5</v>
      </c>
      <c r="G611" s="2">
        <v>1.8287037037037037E-3</v>
      </c>
      <c r="H611" s="2">
        <v>6.7129629629629625E-4</v>
      </c>
      <c r="I611" s="1">
        <v>0.94479999999999997</v>
      </c>
    </row>
    <row r="612" spans="1:9" x14ac:dyDescent="0.3">
      <c r="A612">
        <v>611</v>
      </c>
      <c r="B612">
        <v>110</v>
      </c>
      <c r="C612">
        <v>106</v>
      </c>
      <c r="D612" s="1">
        <v>0.96360000000000001</v>
      </c>
      <c r="E612">
        <v>4</v>
      </c>
      <c r="F612" s="2">
        <v>1.7361111111111112E-4</v>
      </c>
      <c r="G612" s="2">
        <v>1.9675925925925924E-3</v>
      </c>
      <c r="H612" s="2">
        <v>1.736111111111111E-3</v>
      </c>
      <c r="I612" s="1">
        <v>0.8</v>
      </c>
    </row>
    <row r="613" spans="1:9" x14ac:dyDescent="0.3">
      <c r="A613">
        <v>612</v>
      </c>
      <c r="B613">
        <v>342</v>
      </c>
      <c r="C613">
        <v>333</v>
      </c>
      <c r="D613" s="1">
        <v>0.97370000000000001</v>
      </c>
      <c r="E613">
        <v>9</v>
      </c>
      <c r="F613" s="2">
        <v>1.7361111111111112E-4</v>
      </c>
      <c r="G613" s="2">
        <v>1.5046296296296296E-3</v>
      </c>
      <c r="H613" s="2">
        <v>1.8402777777777777E-3</v>
      </c>
      <c r="I613" s="1">
        <v>0.81420000000000003</v>
      </c>
    </row>
    <row r="614" spans="1:9" x14ac:dyDescent="0.3">
      <c r="A614">
        <v>613</v>
      </c>
      <c r="B614">
        <v>190</v>
      </c>
      <c r="C614">
        <v>183</v>
      </c>
      <c r="D614" s="1">
        <v>0.96319999999999995</v>
      </c>
      <c r="E614">
        <v>7</v>
      </c>
      <c r="F614" s="2">
        <v>1.8518518518518518E-4</v>
      </c>
      <c r="G614" s="2">
        <v>1.7592592592592592E-3</v>
      </c>
      <c r="H614" s="2">
        <v>1.3773148148148147E-3</v>
      </c>
      <c r="I614" s="1">
        <v>0.78949999999999998</v>
      </c>
    </row>
    <row r="615" spans="1:9" x14ac:dyDescent="0.3">
      <c r="A615">
        <v>614</v>
      </c>
      <c r="B615">
        <v>25</v>
      </c>
      <c r="C615">
        <v>24</v>
      </c>
      <c r="D615" s="1">
        <v>0.96</v>
      </c>
      <c r="E615">
        <v>1</v>
      </c>
      <c r="F615" s="2">
        <v>6.9444444444444444E-5</v>
      </c>
      <c r="G615" s="2">
        <v>1.6435185185185185E-3</v>
      </c>
      <c r="H615" s="2">
        <v>5.5555555555555556E-4</v>
      </c>
      <c r="I615" s="1">
        <v>0.91669999999999996</v>
      </c>
    </row>
    <row r="616" spans="1:9" x14ac:dyDescent="0.3">
      <c r="A616">
        <v>615</v>
      </c>
      <c r="B616">
        <v>169</v>
      </c>
      <c r="C616">
        <v>162</v>
      </c>
      <c r="D616" s="1">
        <v>0.95860000000000001</v>
      </c>
      <c r="E616">
        <v>7</v>
      </c>
      <c r="F616" s="2">
        <v>1.0416666666666667E-4</v>
      </c>
      <c r="G616" s="2">
        <v>1.7476851851851852E-3</v>
      </c>
      <c r="H616" s="2">
        <v>3.1944444444444446E-3</v>
      </c>
      <c r="I616" s="1">
        <v>0.89159999999999995</v>
      </c>
    </row>
    <row r="617" spans="1:9" x14ac:dyDescent="0.3">
      <c r="A617">
        <v>616</v>
      </c>
      <c r="B617">
        <v>130</v>
      </c>
      <c r="C617">
        <v>129</v>
      </c>
      <c r="D617" s="1">
        <v>0.99229999999999996</v>
      </c>
      <c r="E617">
        <v>1</v>
      </c>
      <c r="F617" s="2">
        <v>1.273148148148148E-4</v>
      </c>
      <c r="G617" s="2">
        <v>1.736111111111111E-3</v>
      </c>
      <c r="H617" s="2">
        <v>1.2962962962962963E-3</v>
      </c>
      <c r="I617" s="1">
        <v>0.86919999999999997</v>
      </c>
    </row>
    <row r="618" spans="1:9" x14ac:dyDescent="0.3">
      <c r="A618">
        <v>617</v>
      </c>
      <c r="B618">
        <v>22</v>
      </c>
      <c r="C618">
        <v>20</v>
      </c>
      <c r="D618" s="1">
        <v>0.90910000000000002</v>
      </c>
      <c r="E618">
        <v>2</v>
      </c>
      <c r="F618" s="2">
        <v>1.0416666666666667E-4</v>
      </c>
      <c r="G618" s="2">
        <v>2.2569444444444442E-3</v>
      </c>
      <c r="H618" s="2">
        <v>1.2731481481481483E-3</v>
      </c>
      <c r="I618" s="1">
        <v>0.90480000000000005</v>
      </c>
    </row>
    <row r="619" spans="1:9" x14ac:dyDescent="0.3">
      <c r="A619">
        <v>618</v>
      </c>
      <c r="B619">
        <v>5</v>
      </c>
      <c r="C619">
        <v>5</v>
      </c>
      <c r="D619" s="1">
        <v>1</v>
      </c>
      <c r="E619">
        <v>0</v>
      </c>
      <c r="F619" s="2">
        <v>3.2407407407407406E-4</v>
      </c>
      <c r="G619" s="2">
        <v>1.6782407407407408E-3</v>
      </c>
      <c r="H619" s="2">
        <v>8.564814814814815E-4</v>
      </c>
      <c r="I619" s="1">
        <v>0.6</v>
      </c>
    </row>
    <row r="620" spans="1:9" x14ac:dyDescent="0.3">
      <c r="A620">
        <v>619</v>
      </c>
      <c r="B620">
        <v>119</v>
      </c>
      <c r="C620">
        <v>115</v>
      </c>
      <c r="D620" s="1">
        <v>0.96640000000000004</v>
      </c>
      <c r="E620">
        <v>4</v>
      </c>
      <c r="F620" s="2">
        <v>1.273148148148148E-4</v>
      </c>
      <c r="G620" s="2">
        <v>1.712962962962963E-3</v>
      </c>
      <c r="H620" s="2">
        <v>1.2731481481481483E-3</v>
      </c>
      <c r="I620" s="1">
        <v>0.86439999999999995</v>
      </c>
    </row>
    <row r="621" spans="1:9" x14ac:dyDescent="0.3">
      <c r="A621">
        <v>620</v>
      </c>
      <c r="B621">
        <v>140</v>
      </c>
      <c r="C621">
        <v>138</v>
      </c>
      <c r="D621" s="1">
        <v>0.98570000000000002</v>
      </c>
      <c r="E621">
        <v>2</v>
      </c>
      <c r="F621" s="2">
        <v>1.0416666666666667E-4</v>
      </c>
      <c r="G621" s="2">
        <v>1.5856481481481481E-3</v>
      </c>
      <c r="H621" s="2">
        <v>1.5162037037037036E-3</v>
      </c>
      <c r="I621" s="1">
        <v>0.9214</v>
      </c>
    </row>
    <row r="622" spans="1:9" x14ac:dyDescent="0.3">
      <c r="A622">
        <v>621</v>
      </c>
      <c r="B622">
        <v>22</v>
      </c>
      <c r="C622">
        <v>22</v>
      </c>
      <c r="D622" s="1">
        <v>1</v>
      </c>
      <c r="E622">
        <v>0</v>
      </c>
      <c r="F622" s="2">
        <v>6.9444444444444444E-5</v>
      </c>
      <c r="G622" s="2">
        <v>1.6319444444444445E-3</v>
      </c>
      <c r="H622" s="2">
        <v>5.5555555555555556E-4</v>
      </c>
      <c r="I622" s="1">
        <v>0.90910000000000002</v>
      </c>
    </row>
    <row r="623" spans="1:9" x14ac:dyDescent="0.3">
      <c r="A623">
        <v>622</v>
      </c>
      <c r="B623">
        <v>126</v>
      </c>
      <c r="C623">
        <v>124</v>
      </c>
      <c r="D623" s="1">
        <v>0.98409999999999997</v>
      </c>
      <c r="E623">
        <v>2</v>
      </c>
      <c r="F623" s="2">
        <v>9.2592592592592588E-5</v>
      </c>
      <c r="G623" s="2">
        <v>1.7939814814814815E-3</v>
      </c>
      <c r="H623" s="2">
        <v>6.7129629629629625E-4</v>
      </c>
      <c r="I623" s="1">
        <v>0.94399999999999995</v>
      </c>
    </row>
    <row r="624" spans="1:9" x14ac:dyDescent="0.3">
      <c r="A624">
        <v>623</v>
      </c>
      <c r="B624">
        <v>122</v>
      </c>
      <c r="C624">
        <v>111</v>
      </c>
      <c r="D624" s="1">
        <v>0.90980000000000005</v>
      </c>
      <c r="E624">
        <v>11</v>
      </c>
      <c r="F624" s="2">
        <v>1.5046296296296297E-4</v>
      </c>
      <c r="G624" s="2">
        <v>1.8865740740740742E-3</v>
      </c>
      <c r="H624" s="2">
        <v>1.5393518518518519E-3</v>
      </c>
      <c r="I624" s="1">
        <v>0.77690000000000003</v>
      </c>
    </row>
    <row r="625" spans="1:9" x14ac:dyDescent="0.3">
      <c r="A625">
        <v>624</v>
      </c>
      <c r="B625">
        <v>113</v>
      </c>
      <c r="C625">
        <v>108</v>
      </c>
      <c r="D625" s="1">
        <v>0.95579999999999998</v>
      </c>
      <c r="E625">
        <v>5</v>
      </c>
      <c r="F625" s="2">
        <v>1.5046296296296297E-4</v>
      </c>
      <c r="G625" s="2">
        <v>1.7476851851851852E-3</v>
      </c>
      <c r="H625" s="2">
        <v>1.0069444444444444E-3</v>
      </c>
      <c r="I625" s="1">
        <v>0.82879999999999998</v>
      </c>
    </row>
    <row r="626" spans="1:9" x14ac:dyDescent="0.3">
      <c r="A626">
        <v>625</v>
      </c>
      <c r="B626">
        <v>119</v>
      </c>
      <c r="C626">
        <v>109</v>
      </c>
      <c r="D626" s="1">
        <v>0.91600000000000004</v>
      </c>
      <c r="E626">
        <v>10</v>
      </c>
      <c r="F626" s="2">
        <v>1.9675925925925926E-4</v>
      </c>
      <c r="G626" s="2">
        <v>1.8055555555555555E-3</v>
      </c>
      <c r="H626" s="2">
        <v>3.6458333333333334E-3</v>
      </c>
      <c r="I626" s="1">
        <v>0.83620000000000005</v>
      </c>
    </row>
    <row r="627" spans="1:9" x14ac:dyDescent="0.3">
      <c r="A627">
        <v>626</v>
      </c>
      <c r="B627">
        <v>134</v>
      </c>
      <c r="C627">
        <v>119</v>
      </c>
      <c r="D627" s="1">
        <v>0.8881</v>
      </c>
      <c r="E627">
        <v>15</v>
      </c>
      <c r="F627" s="2">
        <v>2.7777777777777778E-4</v>
      </c>
      <c r="G627" s="2">
        <v>1.9212962962962964E-3</v>
      </c>
      <c r="H627" s="2">
        <v>1.9097222222222222E-3</v>
      </c>
      <c r="I627" s="1">
        <v>0.63429999999999997</v>
      </c>
    </row>
    <row r="628" spans="1:9" x14ac:dyDescent="0.3">
      <c r="A628">
        <v>627</v>
      </c>
      <c r="B628">
        <v>101</v>
      </c>
      <c r="C628">
        <v>97</v>
      </c>
      <c r="D628" s="1">
        <v>0.96040000000000003</v>
      </c>
      <c r="E628">
        <v>4</v>
      </c>
      <c r="F628" s="2">
        <v>1.8518518518518518E-4</v>
      </c>
      <c r="G628" s="2">
        <v>1.7708333333333332E-3</v>
      </c>
      <c r="H628" s="2">
        <v>1.1342592592592593E-3</v>
      </c>
      <c r="I628" s="1">
        <v>0.77</v>
      </c>
    </row>
    <row r="629" spans="1:9" x14ac:dyDescent="0.3">
      <c r="A629">
        <v>628</v>
      </c>
      <c r="B629">
        <v>20</v>
      </c>
      <c r="C629">
        <v>20</v>
      </c>
      <c r="D629" s="1">
        <v>1</v>
      </c>
      <c r="E629">
        <v>0</v>
      </c>
      <c r="F629" s="2">
        <v>4.6296296296296294E-5</v>
      </c>
      <c r="G629" s="2">
        <v>1.6666666666666668E-3</v>
      </c>
      <c r="H629" s="2">
        <v>2.0833333333333335E-4</v>
      </c>
      <c r="I629" s="1">
        <v>1</v>
      </c>
    </row>
    <row r="630" spans="1:9" x14ac:dyDescent="0.3">
      <c r="A630">
        <v>629</v>
      </c>
      <c r="B630">
        <v>169</v>
      </c>
      <c r="C630">
        <v>162</v>
      </c>
      <c r="D630" s="1">
        <v>0.95860000000000001</v>
      </c>
      <c r="E630">
        <v>7</v>
      </c>
      <c r="F630" s="2">
        <v>1.9675925925925926E-4</v>
      </c>
      <c r="G630" s="2">
        <v>1.7592592592592592E-3</v>
      </c>
      <c r="H630" s="2">
        <v>3.8310185185185183E-3</v>
      </c>
      <c r="I630" s="1">
        <v>0.80120000000000002</v>
      </c>
    </row>
    <row r="631" spans="1:9" x14ac:dyDescent="0.3">
      <c r="A631">
        <v>630</v>
      </c>
      <c r="B631">
        <v>137</v>
      </c>
      <c r="C631">
        <v>133</v>
      </c>
      <c r="D631" s="1">
        <v>0.9708</v>
      </c>
      <c r="E631">
        <v>4</v>
      </c>
      <c r="F631" s="2">
        <v>3.3564814814814812E-4</v>
      </c>
      <c r="G631" s="2">
        <v>1.8171296296296297E-3</v>
      </c>
      <c r="H631" s="2">
        <v>1.8749999999999999E-3</v>
      </c>
      <c r="I631" s="1">
        <v>0.62039999999999995</v>
      </c>
    </row>
    <row r="632" spans="1:9" x14ac:dyDescent="0.3">
      <c r="A632">
        <v>631</v>
      </c>
      <c r="B632">
        <v>133</v>
      </c>
      <c r="C632">
        <v>127</v>
      </c>
      <c r="D632" s="1">
        <v>0.95489999999999997</v>
      </c>
      <c r="E632">
        <v>6</v>
      </c>
      <c r="F632" s="2">
        <v>2.0833333333333335E-4</v>
      </c>
      <c r="G632" s="2">
        <v>1.8402777777777777E-3</v>
      </c>
      <c r="H632" s="2">
        <v>3.1944444444444446E-3</v>
      </c>
      <c r="I632" s="1">
        <v>0.81950000000000001</v>
      </c>
    </row>
    <row r="633" spans="1:9" x14ac:dyDescent="0.3">
      <c r="A633">
        <v>632</v>
      </c>
      <c r="B633">
        <v>184</v>
      </c>
      <c r="C633">
        <v>179</v>
      </c>
      <c r="D633" s="1">
        <v>0.9728</v>
      </c>
      <c r="E633">
        <v>5</v>
      </c>
      <c r="F633" s="2">
        <v>1.1574074074074075E-4</v>
      </c>
      <c r="G633" s="2">
        <v>1.4236111111111112E-3</v>
      </c>
      <c r="H633" s="2">
        <v>1.8981481481481482E-3</v>
      </c>
      <c r="I633" s="1">
        <v>0.90559999999999996</v>
      </c>
    </row>
    <row r="634" spans="1:9" x14ac:dyDescent="0.3">
      <c r="A634">
        <v>633</v>
      </c>
      <c r="B634">
        <v>145</v>
      </c>
      <c r="C634">
        <v>135</v>
      </c>
      <c r="D634" s="1">
        <v>0.93100000000000005</v>
      </c>
      <c r="E634">
        <v>10</v>
      </c>
      <c r="F634" s="2">
        <v>2.4305555555555555E-4</v>
      </c>
      <c r="G634" s="2">
        <v>1.7939814814814815E-3</v>
      </c>
      <c r="H634" s="2">
        <v>2.1990740740740742E-3</v>
      </c>
      <c r="I634" s="1">
        <v>0.74129999999999996</v>
      </c>
    </row>
    <row r="635" spans="1:9" x14ac:dyDescent="0.3">
      <c r="A635">
        <v>634</v>
      </c>
      <c r="B635">
        <v>114</v>
      </c>
      <c r="C635">
        <v>108</v>
      </c>
      <c r="D635" s="1">
        <v>0.94740000000000002</v>
      </c>
      <c r="E635">
        <v>6</v>
      </c>
      <c r="F635" s="2">
        <v>1.6203703703703703E-4</v>
      </c>
      <c r="G635" s="2">
        <v>1.7476851851851852E-3</v>
      </c>
      <c r="H635" s="2">
        <v>1.7708333333333332E-3</v>
      </c>
      <c r="I635" s="1">
        <v>0.82879999999999998</v>
      </c>
    </row>
    <row r="636" spans="1:9" x14ac:dyDescent="0.3">
      <c r="A636">
        <v>635</v>
      </c>
      <c r="B636">
        <v>24</v>
      </c>
      <c r="C636">
        <v>23</v>
      </c>
      <c r="D636" s="1">
        <v>0.95830000000000004</v>
      </c>
      <c r="E636">
        <v>1</v>
      </c>
      <c r="F636" s="2">
        <v>5.7870370370370373E-5</v>
      </c>
      <c r="G636" s="2">
        <v>1.5277777777777779E-3</v>
      </c>
      <c r="H636" s="2">
        <v>6.3657407407407413E-4</v>
      </c>
      <c r="I636" s="1">
        <v>0.95830000000000004</v>
      </c>
    </row>
    <row r="637" spans="1:9" x14ac:dyDescent="0.3">
      <c r="A637">
        <v>636</v>
      </c>
      <c r="B637">
        <v>143</v>
      </c>
      <c r="C637">
        <v>136</v>
      </c>
      <c r="D637" s="1">
        <v>0.95099999999999996</v>
      </c>
      <c r="E637">
        <v>7</v>
      </c>
      <c r="F637" s="2">
        <v>1.0416666666666667E-4</v>
      </c>
      <c r="G637" s="2">
        <v>1.7592592592592592E-3</v>
      </c>
      <c r="H637" s="2">
        <v>3.8194444444444443E-3</v>
      </c>
      <c r="I637" s="1">
        <v>0.84509999999999996</v>
      </c>
    </row>
    <row r="638" spans="1:9" x14ac:dyDescent="0.3">
      <c r="A638">
        <v>637</v>
      </c>
      <c r="B638">
        <v>119</v>
      </c>
      <c r="C638">
        <v>114</v>
      </c>
      <c r="D638" s="1">
        <v>0.95799999999999996</v>
      </c>
      <c r="E638">
        <v>5</v>
      </c>
      <c r="F638" s="2">
        <v>9.2592592592592588E-5</v>
      </c>
      <c r="G638" s="2">
        <v>1.6435185185185185E-3</v>
      </c>
      <c r="H638" s="2">
        <v>9.1435185185185185E-4</v>
      </c>
      <c r="I638" s="1">
        <v>0.90600000000000003</v>
      </c>
    </row>
    <row r="639" spans="1:9" x14ac:dyDescent="0.3">
      <c r="A639">
        <v>638</v>
      </c>
      <c r="B639">
        <v>123</v>
      </c>
      <c r="C639">
        <v>118</v>
      </c>
      <c r="D639" s="1">
        <v>0.95930000000000004</v>
      </c>
      <c r="E639">
        <v>5</v>
      </c>
      <c r="F639" s="2">
        <v>2.4305555555555555E-4</v>
      </c>
      <c r="G639" s="2">
        <v>1.9212962962962964E-3</v>
      </c>
      <c r="H639" s="2">
        <v>1.8981481481481482E-3</v>
      </c>
      <c r="I639" s="1">
        <v>0.70730000000000004</v>
      </c>
    </row>
    <row r="640" spans="1:9" x14ac:dyDescent="0.3">
      <c r="A640">
        <v>639</v>
      </c>
      <c r="B640">
        <v>145</v>
      </c>
      <c r="C640">
        <v>141</v>
      </c>
      <c r="D640" s="1">
        <v>0.97240000000000004</v>
      </c>
      <c r="E640">
        <v>4</v>
      </c>
      <c r="F640" s="2">
        <v>1.6203703703703703E-4</v>
      </c>
      <c r="G640" s="2">
        <v>1.8055555555555555E-3</v>
      </c>
      <c r="H640" s="2">
        <v>1.2731481481481483E-3</v>
      </c>
      <c r="I640" s="1">
        <v>0.83330000000000004</v>
      </c>
    </row>
    <row r="641" spans="1:9" x14ac:dyDescent="0.3">
      <c r="A641">
        <v>640</v>
      </c>
      <c r="B641">
        <v>108</v>
      </c>
      <c r="C641">
        <v>106</v>
      </c>
      <c r="D641" s="1">
        <v>0.98150000000000004</v>
      </c>
      <c r="E641">
        <v>2</v>
      </c>
      <c r="F641" s="2">
        <v>3.0092592592592595E-4</v>
      </c>
      <c r="G641" s="2">
        <v>1.9675925925925924E-3</v>
      </c>
      <c r="H641" s="2">
        <v>3.4375E-3</v>
      </c>
      <c r="I641" s="1">
        <v>0.68220000000000003</v>
      </c>
    </row>
    <row r="642" spans="1:9" x14ac:dyDescent="0.3">
      <c r="A642">
        <v>641</v>
      </c>
      <c r="B642">
        <v>128</v>
      </c>
      <c r="C642">
        <v>125</v>
      </c>
      <c r="D642" s="1">
        <v>0.97660000000000002</v>
      </c>
      <c r="E642">
        <v>3</v>
      </c>
      <c r="F642" s="2">
        <v>1.5046296296296297E-4</v>
      </c>
      <c r="G642" s="2">
        <v>1.9097222222222222E-3</v>
      </c>
      <c r="H642" s="2">
        <v>1.1805555555555556E-3</v>
      </c>
      <c r="I642" s="1">
        <v>0.82679999999999998</v>
      </c>
    </row>
    <row r="643" spans="1:9" x14ac:dyDescent="0.3">
      <c r="A643">
        <v>642</v>
      </c>
      <c r="B643">
        <v>27</v>
      </c>
      <c r="C643">
        <v>26</v>
      </c>
      <c r="D643" s="1">
        <v>0.96299999999999997</v>
      </c>
      <c r="E643">
        <v>1</v>
      </c>
      <c r="F643" s="2">
        <v>2.3148148148148149E-4</v>
      </c>
      <c r="G643" s="2">
        <v>1.9791666666666668E-3</v>
      </c>
      <c r="H643" s="2">
        <v>1.8518518518518519E-3</v>
      </c>
      <c r="I643" s="1">
        <v>0.84619999999999995</v>
      </c>
    </row>
    <row r="644" spans="1:9" x14ac:dyDescent="0.3">
      <c r="A644">
        <v>643</v>
      </c>
      <c r="B644">
        <v>155</v>
      </c>
      <c r="C644">
        <v>151</v>
      </c>
      <c r="D644" s="1">
        <v>0.97419999999999995</v>
      </c>
      <c r="E644">
        <v>4</v>
      </c>
      <c r="F644" s="2">
        <v>1.273148148148148E-4</v>
      </c>
      <c r="G644" s="2">
        <v>1.7592592592592592E-3</v>
      </c>
      <c r="H644" s="2">
        <v>1.5972222222222223E-3</v>
      </c>
      <c r="I644" s="1">
        <v>0.89610000000000001</v>
      </c>
    </row>
    <row r="645" spans="1:9" x14ac:dyDescent="0.3">
      <c r="A645">
        <v>644</v>
      </c>
      <c r="B645">
        <v>116</v>
      </c>
      <c r="C645">
        <v>110</v>
      </c>
      <c r="D645" s="1">
        <v>0.94830000000000003</v>
      </c>
      <c r="E645">
        <v>6</v>
      </c>
      <c r="F645" s="2">
        <v>2.0833333333333335E-4</v>
      </c>
      <c r="G645" s="2">
        <v>1.6550925925925926E-3</v>
      </c>
      <c r="H645" s="2">
        <v>1.9328703703703704E-3</v>
      </c>
      <c r="I645" s="1">
        <v>0.75</v>
      </c>
    </row>
    <row r="646" spans="1:9" x14ac:dyDescent="0.3">
      <c r="A646">
        <v>645</v>
      </c>
      <c r="B646">
        <v>117</v>
      </c>
      <c r="C646">
        <v>111</v>
      </c>
      <c r="D646" s="1">
        <v>0.94869999999999999</v>
      </c>
      <c r="E646">
        <v>6</v>
      </c>
      <c r="F646" s="2">
        <v>2.0833333333333335E-4</v>
      </c>
      <c r="G646" s="2">
        <v>1.8865740740740742E-3</v>
      </c>
      <c r="H646" s="2">
        <v>1.4583333333333334E-3</v>
      </c>
      <c r="I646" s="1">
        <v>0.76519999999999999</v>
      </c>
    </row>
    <row r="647" spans="1:9" x14ac:dyDescent="0.3">
      <c r="A647">
        <v>646</v>
      </c>
      <c r="B647">
        <v>113</v>
      </c>
      <c r="C647">
        <v>105</v>
      </c>
      <c r="D647" s="1">
        <v>0.92920000000000003</v>
      </c>
      <c r="E647">
        <v>8</v>
      </c>
      <c r="F647" s="2">
        <v>3.5879629629629629E-4</v>
      </c>
      <c r="G647" s="2">
        <v>1.8171296296296297E-3</v>
      </c>
      <c r="H647" s="2">
        <v>2.5462962962962965E-3</v>
      </c>
      <c r="I647" s="1">
        <v>0.53979999999999995</v>
      </c>
    </row>
    <row r="648" spans="1:9" x14ac:dyDescent="0.3">
      <c r="A648">
        <v>647</v>
      </c>
      <c r="B648">
        <v>107</v>
      </c>
      <c r="C648">
        <v>101</v>
      </c>
      <c r="D648" s="1">
        <v>0.94389999999999996</v>
      </c>
      <c r="E648">
        <v>6</v>
      </c>
      <c r="F648" s="2">
        <v>2.6620370370370372E-4</v>
      </c>
      <c r="G648" s="2">
        <v>1.8981481481481482E-3</v>
      </c>
      <c r="H648" s="2">
        <v>2.2106481481481482E-3</v>
      </c>
      <c r="I648" s="1">
        <v>0.73580000000000001</v>
      </c>
    </row>
    <row r="649" spans="1:9" x14ac:dyDescent="0.3">
      <c r="A649">
        <v>648</v>
      </c>
      <c r="B649">
        <v>146</v>
      </c>
      <c r="C649">
        <v>141</v>
      </c>
      <c r="D649" s="1">
        <v>0.96579999999999999</v>
      </c>
      <c r="E649">
        <v>5</v>
      </c>
      <c r="F649" s="2">
        <v>2.8935185185185184E-4</v>
      </c>
      <c r="G649" s="2">
        <v>1.6435185185185185E-3</v>
      </c>
      <c r="H649" s="2">
        <v>1.9212962962962964E-3</v>
      </c>
      <c r="I649" s="1">
        <v>0.65749999999999997</v>
      </c>
    </row>
    <row r="650" spans="1:9" x14ac:dyDescent="0.3">
      <c r="A650">
        <v>649</v>
      </c>
      <c r="B650">
        <v>29</v>
      </c>
      <c r="C650">
        <v>26</v>
      </c>
      <c r="D650" s="1">
        <v>0.89659999999999995</v>
      </c>
      <c r="E650">
        <v>3</v>
      </c>
      <c r="F650" s="2">
        <v>1.0416666666666667E-4</v>
      </c>
      <c r="G650" s="2">
        <v>1.8171296296296297E-3</v>
      </c>
      <c r="H650" s="2">
        <v>1.2731481481481483E-3</v>
      </c>
      <c r="I650" s="1">
        <v>0.85709999999999997</v>
      </c>
    </row>
    <row r="651" spans="1:9" x14ac:dyDescent="0.3">
      <c r="A651">
        <v>650</v>
      </c>
      <c r="B651">
        <v>231</v>
      </c>
      <c r="C651">
        <v>228</v>
      </c>
      <c r="D651" s="1">
        <v>0.98699999999999999</v>
      </c>
      <c r="E651">
        <v>3</v>
      </c>
      <c r="F651" s="2">
        <v>1.7361111111111112E-4</v>
      </c>
      <c r="G651" s="2">
        <v>1.4930555555555556E-3</v>
      </c>
      <c r="H651" s="2">
        <v>2.3842592592592591E-3</v>
      </c>
      <c r="I651" s="1">
        <v>0.81389999999999996</v>
      </c>
    </row>
    <row r="652" spans="1:9" x14ac:dyDescent="0.3">
      <c r="A652">
        <v>651</v>
      </c>
      <c r="B652">
        <v>239</v>
      </c>
      <c r="C652">
        <v>215</v>
      </c>
      <c r="D652" s="1">
        <v>0.89959999999999996</v>
      </c>
      <c r="E652">
        <v>24</v>
      </c>
      <c r="F652" s="2">
        <v>2.6620370370370372E-4</v>
      </c>
      <c r="G652" s="2">
        <v>1.8055555555555555E-3</v>
      </c>
      <c r="H652" s="2">
        <v>3.1828703703703702E-3</v>
      </c>
      <c r="I652" s="1">
        <v>0.66669999999999996</v>
      </c>
    </row>
    <row r="653" spans="1:9" x14ac:dyDescent="0.3">
      <c r="A653">
        <v>652</v>
      </c>
      <c r="B653">
        <v>174</v>
      </c>
      <c r="C653">
        <v>154</v>
      </c>
      <c r="D653" s="1">
        <v>0.8851</v>
      </c>
      <c r="E653">
        <v>20</v>
      </c>
      <c r="F653" s="2">
        <v>3.3564814814814812E-4</v>
      </c>
      <c r="G653" s="2">
        <v>1.8518518518518519E-3</v>
      </c>
      <c r="H653" s="2">
        <v>3.5648148148148149E-3</v>
      </c>
      <c r="I653" s="1">
        <v>0.61309999999999998</v>
      </c>
    </row>
    <row r="654" spans="1:9" x14ac:dyDescent="0.3">
      <c r="A654">
        <v>653</v>
      </c>
      <c r="B654">
        <v>168</v>
      </c>
      <c r="C654">
        <v>163</v>
      </c>
      <c r="D654" s="1">
        <v>0.97019999999999995</v>
      </c>
      <c r="E654">
        <v>5</v>
      </c>
      <c r="F654" s="2">
        <v>2.4305555555555555E-4</v>
      </c>
      <c r="G654" s="2">
        <v>1.9560185185185184E-3</v>
      </c>
      <c r="H654" s="2">
        <v>1.9097222222222222E-3</v>
      </c>
      <c r="I654" s="1">
        <v>0.70660000000000001</v>
      </c>
    </row>
    <row r="655" spans="1:9" x14ac:dyDescent="0.3">
      <c r="A655">
        <v>654</v>
      </c>
      <c r="B655">
        <v>135</v>
      </c>
      <c r="C655">
        <v>128</v>
      </c>
      <c r="D655" s="1">
        <v>0.94810000000000005</v>
      </c>
      <c r="E655">
        <v>7</v>
      </c>
      <c r="F655" s="2">
        <v>2.0833333333333335E-4</v>
      </c>
      <c r="G655" s="2">
        <v>1.8055555555555555E-3</v>
      </c>
      <c r="H655" s="2">
        <v>3.8194444444444443E-3</v>
      </c>
      <c r="I655" s="1">
        <v>0.72589999999999999</v>
      </c>
    </row>
    <row r="656" spans="1:9" x14ac:dyDescent="0.3">
      <c r="A656">
        <v>655</v>
      </c>
      <c r="B656">
        <v>122</v>
      </c>
      <c r="C656">
        <v>113</v>
      </c>
      <c r="D656" s="1">
        <v>0.92620000000000002</v>
      </c>
      <c r="E656">
        <v>9</v>
      </c>
      <c r="F656" s="2">
        <v>3.4722222222222224E-4</v>
      </c>
      <c r="G656" s="2">
        <v>1.9560185185185184E-3</v>
      </c>
      <c r="H656" s="2">
        <v>2.5462962962962965E-3</v>
      </c>
      <c r="I656" s="1">
        <v>0.61160000000000003</v>
      </c>
    </row>
    <row r="657" spans="1:9" x14ac:dyDescent="0.3">
      <c r="A657">
        <v>656</v>
      </c>
      <c r="B657">
        <v>13</v>
      </c>
      <c r="C657">
        <v>12</v>
      </c>
      <c r="D657" s="1">
        <v>0.92310000000000003</v>
      </c>
      <c r="E657">
        <v>1</v>
      </c>
      <c r="F657" s="2">
        <v>2.7777777777777778E-4</v>
      </c>
      <c r="G657" s="2">
        <v>1.9097222222222222E-3</v>
      </c>
      <c r="H657" s="2">
        <v>8.3333333333333339E-4</v>
      </c>
      <c r="I657" s="1">
        <v>0.66669999999999996</v>
      </c>
    </row>
    <row r="658" spans="1:9" x14ac:dyDescent="0.3">
      <c r="A658">
        <v>657</v>
      </c>
      <c r="B658">
        <v>20</v>
      </c>
      <c r="C658">
        <v>18</v>
      </c>
      <c r="D658" s="1">
        <v>0.9</v>
      </c>
      <c r="E658">
        <v>2</v>
      </c>
      <c r="F658" s="2">
        <v>2.6620370370370372E-4</v>
      </c>
      <c r="G658" s="2">
        <v>1.8865740740740742E-3</v>
      </c>
      <c r="H658" s="2">
        <v>1.8981481481481482E-3</v>
      </c>
      <c r="I658" s="1">
        <v>0.73680000000000001</v>
      </c>
    </row>
    <row r="659" spans="1:9" x14ac:dyDescent="0.3">
      <c r="A659">
        <v>658</v>
      </c>
      <c r="B659">
        <v>152</v>
      </c>
      <c r="C659">
        <v>141</v>
      </c>
      <c r="D659" s="1">
        <v>0.92759999999999998</v>
      </c>
      <c r="E659">
        <v>11</v>
      </c>
      <c r="F659" s="2">
        <v>2.5462962962962961E-4</v>
      </c>
      <c r="G659" s="2">
        <v>1.8634259259259259E-3</v>
      </c>
      <c r="H659" s="2">
        <v>3.1134259259259257E-3</v>
      </c>
      <c r="I659" s="1">
        <v>0.7</v>
      </c>
    </row>
    <row r="660" spans="1:9" x14ac:dyDescent="0.3">
      <c r="A660">
        <v>659</v>
      </c>
      <c r="B660">
        <v>132</v>
      </c>
      <c r="C660">
        <v>131</v>
      </c>
      <c r="D660" s="1">
        <v>0.99239999999999995</v>
      </c>
      <c r="E660">
        <v>1</v>
      </c>
      <c r="F660" s="2">
        <v>1.3888888888888889E-4</v>
      </c>
      <c r="G660" s="2">
        <v>1.8402777777777777E-3</v>
      </c>
      <c r="H660" s="2">
        <v>1.3888888888888889E-3</v>
      </c>
      <c r="I660" s="1">
        <v>0.87019999999999997</v>
      </c>
    </row>
    <row r="661" spans="1:9" x14ac:dyDescent="0.3">
      <c r="A661">
        <v>660</v>
      </c>
      <c r="B661">
        <v>180</v>
      </c>
      <c r="C661">
        <v>171</v>
      </c>
      <c r="D661" s="1">
        <v>0.95</v>
      </c>
      <c r="E661">
        <v>9</v>
      </c>
      <c r="F661" s="2">
        <v>2.4305555555555555E-4</v>
      </c>
      <c r="G661" s="2">
        <v>1.9791666666666668E-3</v>
      </c>
      <c r="H661" s="2">
        <v>1.8402777777777777E-3</v>
      </c>
      <c r="I661" s="1">
        <v>0.71909999999999996</v>
      </c>
    </row>
    <row r="662" spans="1:9" x14ac:dyDescent="0.3">
      <c r="A662">
        <v>661</v>
      </c>
      <c r="B662">
        <v>193</v>
      </c>
      <c r="C662">
        <v>189</v>
      </c>
      <c r="D662" s="1">
        <v>0.97929999999999995</v>
      </c>
      <c r="E662">
        <v>4</v>
      </c>
      <c r="F662" s="2">
        <v>1.5046296296296297E-4</v>
      </c>
      <c r="G662" s="2">
        <v>1.7939814814814815E-3</v>
      </c>
      <c r="H662" s="2">
        <v>1.6898148148148148E-3</v>
      </c>
      <c r="I662" s="1">
        <v>0.82899999999999996</v>
      </c>
    </row>
    <row r="663" spans="1:9" x14ac:dyDescent="0.3">
      <c r="A663">
        <v>662</v>
      </c>
      <c r="B663">
        <v>245</v>
      </c>
      <c r="C663">
        <v>236</v>
      </c>
      <c r="D663" s="1">
        <v>0.96330000000000005</v>
      </c>
      <c r="E663">
        <v>9</v>
      </c>
      <c r="F663" s="2">
        <v>1.5046296296296297E-4</v>
      </c>
      <c r="G663" s="2">
        <v>1.8981481481481482E-3</v>
      </c>
      <c r="H663" s="2">
        <v>1.6203703703703703E-3</v>
      </c>
      <c r="I663" s="1">
        <v>0.82789999999999997</v>
      </c>
    </row>
    <row r="664" spans="1:9" x14ac:dyDescent="0.3">
      <c r="A664">
        <v>663</v>
      </c>
      <c r="B664">
        <v>35</v>
      </c>
      <c r="C664">
        <v>34</v>
      </c>
      <c r="D664" s="1">
        <v>0.97140000000000004</v>
      </c>
      <c r="E664">
        <v>1</v>
      </c>
      <c r="F664" s="2">
        <v>1.273148148148148E-4</v>
      </c>
      <c r="G664" s="2">
        <v>1.5162037037037036E-3</v>
      </c>
      <c r="H664" s="2">
        <v>1.2037037037037038E-3</v>
      </c>
      <c r="I664" s="1">
        <v>0.88239999999999996</v>
      </c>
    </row>
    <row r="665" spans="1:9" x14ac:dyDescent="0.3">
      <c r="A665">
        <v>664</v>
      </c>
      <c r="B665">
        <v>198</v>
      </c>
      <c r="C665">
        <v>190</v>
      </c>
      <c r="D665" s="1">
        <v>0.95960000000000001</v>
      </c>
      <c r="E665">
        <v>8</v>
      </c>
      <c r="F665" s="2">
        <v>1.3888888888888889E-4</v>
      </c>
      <c r="G665" s="2">
        <v>1.8287037037037037E-3</v>
      </c>
      <c r="H665" s="2">
        <v>9.4907407407407408E-4</v>
      </c>
      <c r="I665" s="1">
        <v>0.84689999999999999</v>
      </c>
    </row>
    <row r="666" spans="1:9" x14ac:dyDescent="0.3">
      <c r="A666">
        <v>665</v>
      </c>
      <c r="B666">
        <v>47</v>
      </c>
      <c r="C666">
        <v>47</v>
      </c>
      <c r="D666" s="1">
        <v>1</v>
      </c>
      <c r="E666">
        <v>0</v>
      </c>
      <c r="F666" s="2">
        <v>6.9444444444444444E-5</v>
      </c>
      <c r="G666" s="2">
        <v>1.4930555555555556E-3</v>
      </c>
      <c r="H666" s="2">
        <v>6.5972222222222224E-4</v>
      </c>
      <c r="I666" s="1">
        <v>0.93620000000000003</v>
      </c>
    </row>
    <row r="667" spans="1:9" x14ac:dyDescent="0.3">
      <c r="A667">
        <v>666</v>
      </c>
      <c r="B667">
        <v>187</v>
      </c>
      <c r="C667">
        <v>186</v>
      </c>
      <c r="D667" s="1">
        <v>0.99470000000000003</v>
      </c>
      <c r="E667">
        <v>1</v>
      </c>
      <c r="F667" s="2">
        <v>8.1018518518518516E-5</v>
      </c>
      <c r="G667" s="2">
        <v>1.736111111111111E-3</v>
      </c>
      <c r="H667" s="2">
        <v>1.9097222222222222E-3</v>
      </c>
      <c r="I667" s="1">
        <v>0.93579999999999997</v>
      </c>
    </row>
    <row r="668" spans="1:9" x14ac:dyDescent="0.3">
      <c r="A668">
        <v>667</v>
      </c>
      <c r="B668">
        <v>57</v>
      </c>
      <c r="C668">
        <v>54</v>
      </c>
      <c r="D668" s="1">
        <v>0.94740000000000002</v>
      </c>
      <c r="E668">
        <v>3</v>
      </c>
      <c r="F668" s="2">
        <v>8.1018518518518516E-5</v>
      </c>
      <c r="G668" s="2">
        <v>1.8171296296296297E-3</v>
      </c>
      <c r="H668" s="2">
        <v>6.3657407407407413E-4</v>
      </c>
      <c r="I668" s="1">
        <v>0.91069999999999995</v>
      </c>
    </row>
    <row r="669" spans="1:9" x14ac:dyDescent="0.3">
      <c r="A669">
        <v>668</v>
      </c>
      <c r="B669">
        <v>169</v>
      </c>
      <c r="C669">
        <v>162</v>
      </c>
      <c r="D669" s="1">
        <v>0.95860000000000001</v>
      </c>
      <c r="E669">
        <v>7</v>
      </c>
      <c r="F669" s="2">
        <v>1.0416666666666667E-4</v>
      </c>
      <c r="G669" s="2">
        <v>1.8402777777777777E-3</v>
      </c>
      <c r="H669" s="2">
        <v>1.2731481481481483E-3</v>
      </c>
      <c r="I669" s="1">
        <v>0.88170000000000004</v>
      </c>
    </row>
    <row r="670" spans="1:9" x14ac:dyDescent="0.3">
      <c r="A670">
        <v>669</v>
      </c>
      <c r="B670">
        <v>337</v>
      </c>
      <c r="C670">
        <v>316</v>
      </c>
      <c r="D670" s="1">
        <v>0.93769999999999998</v>
      </c>
      <c r="E670">
        <v>21</v>
      </c>
      <c r="F670" s="2">
        <v>2.6620370370370372E-4</v>
      </c>
      <c r="G670" s="2">
        <v>1.5393518518518519E-3</v>
      </c>
      <c r="H670" s="2">
        <v>3.6689814814814814E-3</v>
      </c>
      <c r="I670" s="1">
        <v>0.72919999999999996</v>
      </c>
    </row>
    <row r="671" spans="1:9" x14ac:dyDescent="0.3">
      <c r="A671">
        <v>670</v>
      </c>
      <c r="B671">
        <v>44</v>
      </c>
      <c r="C671">
        <v>43</v>
      </c>
      <c r="D671" s="1">
        <v>0.97729999999999995</v>
      </c>
      <c r="E671">
        <v>1</v>
      </c>
      <c r="F671" s="2">
        <v>1.0416666666666667E-4</v>
      </c>
      <c r="G671" s="2">
        <v>1.7939814814814815E-3</v>
      </c>
      <c r="H671" s="2">
        <v>1.2731481481481483E-3</v>
      </c>
      <c r="I671" s="1">
        <v>0.84089999999999998</v>
      </c>
    </row>
    <row r="672" spans="1:9" x14ac:dyDescent="0.3">
      <c r="A672">
        <v>671</v>
      </c>
      <c r="B672">
        <v>210</v>
      </c>
      <c r="C672">
        <v>206</v>
      </c>
      <c r="D672" s="1">
        <v>0.98099999999999998</v>
      </c>
      <c r="E672">
        <v>4</v>
      </c>
      <c r="F672" s="2">
        <v>1.3888888888888889E-4</v>
      </c>
      <c r="G672" s="2">
        <v>1.8402777777777777E-3</v>
      </c>
      <c r="H672" s="2">
        <v>1.7592592592592592E-3</v>
      </c>
      <c r="I672" s="1">
        <v>0.87080000000000002</v>
      </c>
    </row>
    <row r="673" spans="1:9" x14ac:dyDescent="0.3">
      <c r="A673">
        <v>672</v>
      </c>
      <c r="B673">
        <v>190</v>
      </c>
      <c r="C673">
        <v>186</v>
      </c>
      <c r="D673" s="1">
        <v>0.97889999999999999</v>
      </c>
      <c r="E673">
        <v>4</v>
      </c>
      <c r="F673" s="2">
        <v>1.9675925925925926E-4</v>
      </c>
      <c r="G673" s="2">
        <v>1.6435185185185185E-3</v>
      </c>
      <c r="H673" s="2">
        <v>3.3912037037037036E-3</v>
      </c>
      <c r="I673" s="1">
        <v>0.84130000000000005</v>
      </c>
    </row>
    <row r="674" spans="1:9" x14ac:dyDescent="0.3">
      <c r="A674">
        <v>673</v>
      </c>
      <c r="B674">
        <v>190</v>
      </c>
      <c r="C674">
        <v>182</v>
      </c>
      <c r="D674" s="1">
        <v>0.95789999999999997</v>
      </c>
      <c r="E674">
        <v>8</v>
      </c>
      <c r="F674" s="2">
        <v>1.1574074074074075E-4</v>
      </c>
      <c r="G674" s="2">
        <v>1.8518518518518519E-3</v>
      </c>
      <c r="H674" s="2">
        <v>1.1342592592592593E-3</v>
      </c>
      <c r="I674" s="1">
        <v>0.87029999999999996</v>
      </c>
    </row>
    <row r="675" spans="1:9" x14ac:dyDescent="0.3">
      <c r="A675">
        <v>674</v>
      </c>
      <c r="B675">
        <v>169</v>
      </c>
      <c r="C675">
        <v>168</v>
      </c>
      <c r="D675" s="1">
        <v>0.99409999999999998</v>
      </c>
      <c r="E675">
        <v>1</v>
      </c>
      <c r="F675" s="2">
        <v>1.273148148148148E-4</v>
      </c>
      <c r="G675" s="2">
        <v>1.6782407407407408E-3</v>
      </c>
      <c r="H675" s="2">
        <v>1.25E-3</v>
      </c>
      <c r="I675" s="1">
        <v>0.88170000000000004</v>
      </c>
    </row>
    <row r="676" spans="1:9" x14ac:dyDescent="0.3">
      <c r="A676">
        <v>675</v>
      </c>
      <c r="B676">
        <v>52</v>
      </c>
      <c r="C676">
        <v>50</v>
      </c>
      <c r="D676" s="1">
        <v>0.96150000000000002</v>
      </c>
      <c r="E676">
        <v>2</v>
      </c>
      <c r="F676" s="2">
        <v>6.9444444444444444E-5</v>
      </c>
      <c r="G676" s="2">
        <v>1.7824074074074075E-3</v>
      </c>
      <c r="H676" s="2">
        <v>6.7129629629629625E-4</v>
      </c>
      <c r="I676" s="1">
        <v>0.92159999999999997</v>
      </c>
    </row>
    <row r="677" spans="1:9" x14ac:dyDescent="0.3">
      <c r="A677">
        <v>676</v>
      </c>
      <c r="B677">
        <v>144</v>
      </c>
      <c r="C677">
        <v>137</v>
      </c>
      <c r="D677" s="1">
        <v>0.95140000000000002</v>
      </c>
      <c r="E677">
        <v>7</v>
      </c>
      <c r="F677" s="2">
        <v>1.6203703703703703E-4</v>
      </c>
      <c r="G677" s="2">
        <v>1.8055555555555555E-3</v>
      </c>
      <c r="H677" s="2">
        <v>2.0370370370370369E-3</v>
      </c>
      <c r="I677" s="1">
        <v>0.77080000000000004</v>
      </c>
    </row>
    <row r="678" spans="1:9" x14ac:dyDescent="0.3">
      <c r="A678">
        <v>677</v>
      </c>
      <c r="B678">
        <v>36</v>
      </c>
      <c r="C678">
        <v>36</v>
      </c>
      <c r="D678" s="1">
        <v>1</v>
      </c>
      <c r="E678">
        <v>0</v>
      </c>
      <c r="F678" s="2">
        <v>1.7361111111111112E-4</v>
      </c>
      <c r="G678" s="2">
        <v>2.0023148148148148E-3</v>
      </c>
      <c r="H678" s="2">
        <v>1.1689814814814816E-3</v>
      </c>
      <c r="I678" s="1">
        <v>0.80559999999999998</v>
      </c>
    </row>
    <row r="679" spans="1:9" x14ac:dyDescent="0.3">
      <c r="A679">
        <v>678</v>
      </c>
      <c r="B679">
        <v>155</v>
      </c>
      <c r="C679">
        <v>148</v>
      </c>
      <c r="D679" s="1">
        <v>0.95479999999999998</v>
      </c>
      <c r="E679">
        <v>7</v>
      </c>
      <c r="F679" s="2">
        <v>1.6203703703703703E-4</v>
      </c>
      <c r="G679" s="2">
        <v>1.6898148148148148E-3</v>
      </c>
      <c r="H679" s="2">
        <v>2.3495370370370371E-3</v>
      </c>
      <c r="I679" s="1">
        <v>0.81289999999999996</v>
      </c>
    </row>
    <row r="680" spans="1:9" x14ac:dyDescent="0.3">
      <c r="A680">
        <v>679</v>
      </c>
      <c r="B680">
        <v>159</v>
      </c>
      <c r="C680">
        <v>154</v>
      </c>
      <c r="D680" s="1">
        <v>0.96860000000000002</v>
      </c>
      <c r="E680">
        <v>5</v>
      </c>
      <c r="F680" s="2">
        <v>1.8518518518518518E-4</v>
      </c>
      <c r="G680" s="2">
        <v>1.8634259259259259E-3</v>
      </c>
      <c r="H680" s="2">
        <v>1.5277777777777779E-3</v>
      </c>
      <c r="I680" s="1">
        <v>0.78620000000000001</v>
      </c>
    </row>
    <row r="681" spans="1:9" x14ac:dyDescent="0.3">
      <c r="A681">
        <v>680</v>
      </c>
      <c r="B681">
        <v>115</v>
      </c>
      <c r="C681">
        <v>110</v>
      </c>
      <c r="D681" s="1">
        <v>0.95650000000000002</v>
      </c>
      <c r="E681">
        <v>5</v>
      </c>
      <c r="F681" s="2">
        <v>1.6203703703703703E-4</v>
      </c>
      <c r="G681" s="2">
        <v>1.712962962962963E-3</v>
      </c>
      <c r="H681" s="2">
        <v>1.5856481481481481E-3</v>
      </c>
      <c r="I681" s="1">
        <v>0.83189999999999997</v>
      </c>
    </row>
    <row r="682" spans="1:9" x14ac:dyDescent="0.3">
      <c r="A682">
        <v>681</v>
      </c>
      <c r="B682">
        <v>186</v>
      </c>
      <c r="C682">
        <v>173</v>
      </c>
      <c r="D682" s="1">
        <v>0.93010000000000004</v>
      </c>
      <c r="E682">
        <v>13</v>
      </c>
      <c r="F682" s="2">
        <v>2.199074074074074E-4</v>
      </c>
      <c r="G682" s="2">
        <v>1.8402777777777777E-3</v>
      </c>
      <c r="H682" s="2">
        <v>1.8981481481481482E-3</v>
      </c>
      <c r="I682" s="1">
        <v>0.73509999999999998</v>
      </c>
    </row>
    <row r="683" spans="1:9" x14ac:dyDescent="0.3">
      <c r="A683">
        <v>682</v>
      </c>
      <c r="B683">
        <v>167</v>
      </c>
      <c r="C683">
        <v>157</v>
      </c>
      <c r="D683" s="1">
        <v>0.94010000000000005</v>
      </c>
      <c r="E683">
        <v>10</v>
      </c>
      <c r="F683" s="2">
        <v>2.6620370370370372E-4</v>
      </c>
      <c r="G683" s="2">
        <v>1.7592592592592592E-3</v>
      </c>
      <c r="H683" s="2">
        <v>1.9560185185185184E-3</v>
      </c>
      <c r="I683" s="1">
        <v>0.67679999999999996</v>
      </c>
    </row>
    <row r="684" spans="1:9" x14ac:dyDescent="0.3">
      <c r="A684">
        <v>683</v>
      </c>
      <c r="B684">
        <v>146</v>
      </c>
      <c r="C684">
        <v>142</v>
      </c>
      <c r="D684" s="1">
        <v>0.97260000000000002</v>
      </c>
      <c r="E684">
        <v>4</v>
      </c>
      <c r="F684" s="2">
        <v>2.5462962962962961E-4</v>
      </c>
      <c r="G684" s="2">
        <v>1.8749999999999999E-3</v>
      </c>
      <c r="H684" s="2">
        <v>1.3773148148148147E-3</v>
      </c>
      <c r="I684" s="1">
        <v>0.66900000000000004</v>
      </c>
    </row>
    <row r="685" spans="1:9" x14ac:dyDescent="0.3">
      <c r="A685">
        <v>684</v>
      </c>
      <c r="B685">
        <v>41</v>
      </c>
      <c r="C685">
        <v>31</v>
      </c>
      <c r="D685" s="1">
        <v>0.75609999999999999</v>
      </c>
      <c r="E685">
        <v>10</v>
      </c>
      <c r="F685" s="2">
        <v>4.5138888888888887E-4</v>
      </c>
      <c r="G685" s="2">
        <v>2.5810185185185185E-3</v>
      </c>
      <c r="H685" s="2">
        <v>2.5462962962962965E-3</v>
      </c>
      <c r="I685" s="1">
        <v>0.48780000000000001</v>
      </c>
    </row>
    <row r="686" spans="1:9" x14ac:dyDescent="0.3">
      <c r="A686">
        <v>685</v>
      </c>
      <c r="B686">
        <v>185</v>
      </c>
      <c r="C686">
        <v>85</v>
      </c>
      <c r="D686" s="1">
        <v>0.45950000000000002</v>
      </c>
      <c r="E686">
        <v>100</v>
      </c>
      <c r="F686" s="2">
        <v>1.261574074074074E-3</v>
      </c>
      <c r="G686" s="2">
        <v>1.9212962962962964E-3</v>
      </c>
      <c r="H686" s="2">
        <v>7.6504629629629631E-3</v>
      </c>
      <c r="I686" s="1">
        <v>3.7999999999999999E-2</v>
      </c>
    </row>
    <row r="687" spans="1:9" x14ac:dyDescent="0.3">
      <c r="A687">
        <v>686</v>
      </c>
      <c r="B687">
        <v>149</v>
      </c>
      <c r="C687">
        <v>83</v>
      </c>
      <c r="D687" s="1">
        <v>0.55700000000000005</v>
      </c>
      <c r="E687">
        <v>66</v>
      </c>
      <c r="F687" s="2">
        <v>1.1342592592592593E-3</v>
      </c>
      <c r="G687" s="2">
        <v>1.5972222222222223E-3</v>
      </c>
      <c r="H687" s="2">
        <v>7.013888888888889E-3</v>
      </c>
      <c r="I687" s="1">
        <v>4.8300000000000003E-2</v>
      </c>
    </row>
    <row r="688" spans="1:9" x14ac:dyDescent="0.3">
      <c r="A688">
        <v>687</v>
      </c>
      <c r="B688">
        <v>180</v>
      </c>
      <c r="C688">
        <v>115</v>
      </c>
      <c r="D688" s="1">
        <v>0.63890000000000002</v>
      </c>
      <c r="E688">
        <v>65</v>
      </c>
      <c r="F688" s="2">
        <v>7.407407407407407E-4</v>
      </c>
      <c r="G688" s="2">
        <v>1.7708333333333332E-3</v>
      </c>
      <c r="H688" s="2">
        <v>8.9120370370370378E-3</v>
      </c>
      <c r="I688" s="1">
        <v>0.23860000000000001</v>
      </c>
    </row>
    <row r="689" spans="1:9" x14ac:dyDescent="0.3">
      <c r="A689">
        <v>688</v>
      </c>
      <c r="B689">
        <v>173</v>
      </c>
      <c r="C689">
        <v>144</v>
      </c>
      <c r="D689" s="1">
        <v>0.83240000000000003</v>
      </c>
      <c r="E689">
        <v>29</v>
      </c>
      <c r="F689" s="2">
        <v>4.3981481481481481E-4</v>
      </c>
      <c r="G689" s="2">
        <v>2.0833333333333333E-3</v>
      </c>
      <c r="H689" s="2">
        <v>3.8425925925925928E-3</v>
      </c>
      <c r="I689" s="1">
        <v>0.4647</v>
      </c>
    </row>
    <row r="690" spans="1:9" x14ac:dyDescent="0.3">
      <c r="A690">
        <v>689</v>
      </c>
      <c r="B690">
        <v>176</v>
      </c>
      <c r="C690">
        <v>158</v>
      </c>
      <c r="D690" s="1">
        <v>0.89770000000000005</v>
      </c>
      <c r="E690">
        <v>18</v>
      </c>
      <c r="F690" s="2">
        <v>2.3148148148148149E-4</v>
      </c>
      <c r="G690" s="2">
        <v>1.7708333333333332E-3</v>
      </c>
      <c r="H690" s="2">
        <v>3.6458333333333334E-3</v>
      </c>
      <c r="I690" s="1">
        <v>0.70350000000000001</v>
      </c>
    </row>
    <row r="691" spans="1:9" x14ac:dyDescent="0.3">
      <c r="A691">
        <v>690</v>
      </c>
      <c r="B691">
        <v>147</v>
      </c>
      <c r="C691">
        <v>120</v>
      </c>
      <c r="D691" s="1">
        <v>0.81630000000000003</v>
      </c>
      <c r="E691">
        <v>27</v>
      </c>
      <c r="F691" s="2">
        <v>5.3240740740740744E-4</v>
      </c>
      <c r="G691" s="2">
        <v>1.8402777777777777E-3</v>
      </c>
      <c r="H691" s="2">
        <v>2.9629629629629628E-3</v>
      </c>
      <c r="I691" s="1">
        <v>0.39729999999999999</v>
      </c>
    </row>
    <row r="692" spans="1:9" x14ac:dyDescent="0.3">
      <c r="A692">
        <v>691</v>
      </c>
      <c r="B692">
        <v>84</v>
      </c>
      <c r="C692">
        <v>77</v>
      </c>
      <c r="D692" s="1">
        <v>0.91669999999999996</v>
      </c>
      <c r="E692">
        <v>7</v>
      </c>
      <c r="F692" s="2">
        <v>1.9675925925925926E-4</v>
      </c>
      <c r="G692" s="2">
        <v>1.4699074074074074E-3</v>
      </c>
      <c r="H692" s="2">
        <v>3.1250000000000002E-3</v>
      </c>
      <c r="I692" s="1">
        <v>0.7349</v>
      </c>
    </row>
    <row r="693" spans="1:9" x14ac:dyDescent="0.3">
      <c r="A693">
        <v>692</v>
      </c>
      <c r="B693">
        <v>325</v>
      </c>
      <c r="C693">
        <v>78</v>
      </c>
      <c r="D693" s="1">
        <v>0.24</v>
      </c>
      <c r="E693">
        <v>247</v>
      </c>
      <c r="F693" s="2">
        <v>2.2337962962962962E-3</v>
      </c>
      <c r="G693" s="2">
        <v>2.0949074074074073E-3</v>
      </c>
      <c r="H693" s="2">
        <v>1.2118055555555556E-2</v>
      </c>
      <c r="I693" s="1">
        <v>0</v>
      </c>
    </row>
    <row r="694" spans="1:9" x14ac:dyDescent="0.3">
      <c r="A694">
        <v>693</v>
      </c>
      <c r="B694">
        <v>441</v>
      </c>
      <c r="C694">
        <v>103</v>
      </c>
      <c r="D694" s="1">
        <v>0.2336</v>
      </c>
      <c r="E694">
        <v>338</v>
      </c>
      <c r="F694" s="2">
        <v>2.8240740740740739E-3</v>
      </c>
      <c r="G694" s="2">
        <v>1.8865740740740742E-3</v>
      </c>
      <c r="H694" s="2">
        <v>1.0856481481481481E-2</v>
      </c>
      <c r="I694" s="1">
        <v>2.3E-3</v>
      </c>
    </row>
    <row r="695" spans="1:9" x14ac:dyDescent="0.3">
      <c r="A695">
        <v>694</v>
      </c>
      <c r="B695">
        <v>525</v>
      </c>
      <c r="C695">
        <v>116</v>
      </c>
      <c r="D695" s="1">
        <v>0.221</v>
      </c>
      <c r="E695">
        <v>409</v>
      </c>
      <c r="F695" s="2">
        <v>3.5648148148148149E-3</v>
      </c>
      <c r="G695" s="2">
        <v>2.1759259259259258E-3</v>
      </c>
      <c r="H695" s="2">
        <v>1.5925925925925927E-2</v>
      </c>
      <c r="I695" s="1">
        <v>0</v>
      </c>
    </row>
    <row r="696" spans="1:9" x14ac:dyDescent="0.3">
      <c r="A696">
        <v>695</v>
      </c>
      <c r="B696">
        <v>610</v>
      </c>
      <c r="C696">
        <v>201</v>
      </c>
      <c r="D696" s="1">
        <v>0.32950000000000002</v>
      </c>
      <c r="E696">
        <v>409</v>
      </c>
      <c r="F696" s="2">
        <v>2.2337962962962962E-3</v>
      </c>
      <c r="G696" s="2">
        <v>1.9907407407407408E-3</v>
      </c>
      <c r="H696" s="2">
        <v>1.3368055555555555E-2</v>
      </c>
      <c r="I696" s="1">
        <v>3.5200000000000002E-2</v>
      </c>
    </row>
    <row r="697" spans="1:9" x14ac:dyDescent="0.3">
      <c r="A697">
        <v>696</v>
      </c>
      <c r="B697">
        <v>427</v>
      </c>
      <c r="C697">
        <v>282</v>
      </c>
      <c r="D697" s="1">
        <v>0.66039999999999999</v>
      </c>
      <c r="E697">
        <v>145</v>
      </c>
      <c r="F697" s="2">
        <v>7.1759259259259259E-4</v>
      </c>
      <c r="G697" s="2">
        <v>1.9560185185185184E-3</v>
      </c>
      <c r="H697" s="2">
        <v>1.0208333333333333E-2</v>
      </c>
      <c r="I697" s="1">
        <v>0.24879999999999999</v>
      </c>
    </row>
    <row r="698" spans="1:9" x14ac:dyDescent="0.3">
      <c r="A698">
        <v>697</v>
      </c>
      <c r="B698">
        <v>378</v>
      </c>
      <c r="C698">
        <v>331</v>
      </c>
      <c r="D698" s="1">
        <v>0.87570000000000003</v>
      </c>
      <c r="E698">
        <v>47</v>
      </c>
      <c r="F698" s="2">
        <v>4.9768518518518521E-4</v>
      </c>
      <c r="G698" s="2">
        <v>1.8171296296296297E-3</v>
      </c>
      <c r="H698" s="2">
        <v>3.8194444444444443E-3</v>
      </c>
      <c r="I698" s="1">
        <v>0.40329999999999999</v>
      </c>
    </row>
    <row r="699" spans="1:9" x14ac:dyDescent="0.3">
      <c r="A699">
        <v>698</v>
      </c>
      <c r="B699">
        <v>80</v>
      </c>
      <c r="C699">
        <v>67</v>
      </c>
      <c r="D699" s="1">
        <v>0.83750000000000002</v>
      </c>
      <c r="E699">
        <v>13</v>
      </c>
      <c r="F699" s="2">
        <v>4.3981481481481481E-4</v>
      </c>
      <c r="G699" s="2">
        <v>2.2222222222222222E-3</v>
      </c>
      <c r="H699" s="2">
        <v>3.8194444444444443E-3</v>
      </c>
      <c r="I699" s="1">
        <v>0.46250000000000002</v>
      </c>
    </row>
    <row r="700" spans="1:9" x14ac:dyDescent="0.3">
      <c r="A700">
        <v>699</v>
      </c>
      <c r="B700">
        <v>356</v>
      </c>
      <c r="C700">
        <v>320</v>
      </c>
      <c r="D700" s="1">
        <v>0.89890000000000003</v>
      </c>
      <c r="E700">
        <v>36</v>
      </c>
      <c r="F700" s="2">
        <v>3.9351851851851852E-4</v>
      </c>
      <c r="G700" s="2">
        <v>1.9907407407407408E-3</v>
      </c>
      <c r="H700" s="2">
        <v>3.8194444444444443E-3</v>
      </c>
      <c r="I700" s="1">
        <v>0.52559999999999996</v>
      </c>
    </row>
    <row r="701" spans="1:9" x14ac:dyDescent="0.3">
      <c r="A701">
        <v>700</v>
      </c>
      <c r="B701">
        <v>409</v>
      </c>
      <c r="C701">
        <v>355</v>
      </c>
      <c r="D701" s="1">
        <v>0.86799999999999999</v>
      </c>
      <c r="E701">
        <v>54</v>
      </c>
      <c r="F701" s="2">
        <v>5.0925925925925921E-4</v>
      </c>
      <c r="G701" s="2">
        <v>2.0254629629629629E-3</v>
      </c>
      <c r="H701" s="2">
        <v>3.0208333333333333E-3</v>
      </c>
      <c r="I701" s="1">
        <v>0.39700000000000002</v>
      </c>
    </row>
    <row r="702" spans="1:9" x14ac:dyDescent="0.3">
      <c r="A702">
        <v>701</v>
      </c>
      <c r="B702">
        <v>352</v>
      </c>
      <c r="C702">
        <v>302</v>
      </c>
      <c r="D702" s="1">
        <v>0.85799999999999998</v>
      </c>
      <c r="E702">
        <v>50</v>
      </c>
      <c r="F702" s="2">
        <v>4.7453703703703704E-4</v>
      </c>
      <c r="G702" s="2">
        <v>2.1180555555555558E-3</v>
      </c>
      <c r="H702" s="2">
        <v>4.0393518518518521E-3</v>
      </c>
      <c r="I702" s="1">
        <v>0.47399999999999998</v>
      </c>
    </row>
    <row r="703" spans="1:9" x14ac:dyDescent="0.3">
      <c r="A703">
        <v>702</v>
      </c>
      <c r="B703">
        <v>282</v>
      </c>
      <c r="C703">
        <v>239</v>
      </c>
      <c r="D703" s="1">
        <v>0.84750000000000003</v>
      </c>
      <c r="E703">
        <v>43</v>
      </c>
      <c r="F703" s="2">
        <v>4.5138888888888887E-4</v>
      </c>
      <c r="G703" s="2">
        <v>2.1527777777777778E-3</v>
      </c>
      <c r="H703" s="2">
        <v>5.8564814814814816E-3</v>
      </c>
      <c r="I703" s="1">
        <v>0.51070000000000004</v>
      </c>
    </row>
    <row r="704" spans="1:9" x14ac:dyDescent="0.3">
      <c r="A704">
        <v>703</v>
      </c>
      <c r="B704">
        <v>429</v>
      </c>
      <c r="C704">
        <v>390</v>
      </c>
      <c r="D704" s="1">
        <v>0.90910000000000002</v>
      </c>
      <c r="E704">
        <v>39</v>
      </c>
      <c r="F704" s="2">
        <v>4.3981481481481481E-4</v>
      </c>
      <c r="G704" s="2">
        <v>1.8634259259259259E-3</v>
      </c>
      <c r="H704" s="2">
        <v>2.5462962962962965E-3</v>
      </c>
      <c r="I704" s="1">
        <v>0.4466</v>
      </c>
    </row>
    <row r="705" spans="1:9" x14ac:dyDescent="0.3">
      <c r="A705">
        <v>704</v>
      </c>
      <c r="B705">
        <v>310</v>
      </c>
      <c r="C705">
        <v>285</v>
      </c>
      <c r="D705" s="1">
        <v>0.9194</v>
      </c>
      <c r="E705">
        <v>25</v>
      </c>
      <c r="F705" s="2">
        <v>3.8194444444444446E-4</v>
      </c>
      <c r="G705" s="2">
        <v>1.9097222222222222E-3</v>
      </c>
      <c r="H705" s="2">
        <v>2.9166666666666668E-3</v>
      </c>
      <c r="I705" s="1">
        <v>0.56110000000000004</v>
      </c>
    </row>
    <row r="706" spans="1:9" x14ac:dyDescent="0.3">
      <c r="A706">
        <v>705</v>
      </c>
      <c r="B706">
        <v>102</v>
      </c>
      <c r="C706">
        <v>94</v>
      </c>
      <c r="D706" s="1">
        <v>0.92159999999999997</v>
      </c>
      <c r="E706">
        <v>8</v>
      </c>
      <c r="F706" s="2">
        <v>3.3564814814814812E-4</v>
      </c>
      <c r="G706" s="2">
        <v>1.8518518518518519E-3</v>
      </c>
      <c r="H706" s="2">
        <v>1.9444444444444444E-3</v>
      </c>
      <c r="I706" s="1">
        <v>0.63729999999999998</v>
      </c>
    </row>
    <row r="707" spans="1:9" x14ac:dyDescent="0.3">
      <c r="A707">
        <v>706</v>
      </c>
      <c r="B707">
        <v>335</v>
      </c>
      <c r="C707">
        <v>297</v>
      </c>
      <c r="D707" s="1">
        <v>0.88660000000000005</v>
      </c>
      <c r="E707">
        <v>38</v>
      </c>
      <c r="F707" s="2">
        <v>4.5138888888888887E-4</v>
      </c>
      <c r="G707" s="2">
        <v>1.7708333333333332E-3</v>
      </c>
      <c r="H707" s="2">
        <v>2.5694444444444445E-3</v>
      </c>
      <c r="I707" s="1">
        <v>0.43640000000000001</v>
      </c>
    </row>
    <row r="708" spans="1:9" x14ac:dyDescent="0.3">
      <c r="A708">
        <v>707</v>
      </c>
      <c r="B708">
        <v>313</v>
      </c>
      <c r="C708">
        <v>291</v>
      </c>
      <c r="D708" s="1">
        <v>0.92969999999999997</v>
      </c>
      <c r="E708">
        <v>22</v>
      </c>
      <c r="F708" s="2">
        <v>3.0092592592592595E-4</v>
      </c>
      <c r="G708" s="2">
        <v>1.6782407407407408E-3</v>
      </c>
      <c r="H708" s="2">
        <v>2.5694444444444445E-3</v>
      </c>
      <c r="I708" s="1">
        <v>0.64290000000000003</v>
      </c>
    </row>
    <row r="709" spans="1:9" x14ac:dyDescent="0.3">
      <c r="A709">
        <v>708</v>
      </c>
      <c r="B709">
        <v>251</v>
      </c>
      <c r="C709">
        <v>240</v>
      </c>
      <c r="D709" s="1">
        <v>0.95620000000000005</v>
      </c>
      <c r="E709">
        <v>11</v>
      </c>
      <c r="F709" s="2">
        <v>2.7777777777777778E-4</v>
      </c>
      <c r="G709" s="2">
        <v>1.8749999999999999E-3</v>
      </c>
      <c r="H709" s="2">
        <v>1.9097222222222222E-3</v>
      </c>
      <c r="I709" s="1">
        <v>0.67200000000000004</v>
      </c>
    </row>
    <row r="710" spans="1:9" x14ac:dyDescent="0.3">
      <c r="A710">
        <v>709</v>
      </c>
      <c r="B710">
        <v>190</v>
      </c>
      <c r="C710">
        <v>176</v>
      </c>
      <c r="D710" s="1">
        <v>0.92630000000000001</v>
      </c>
      <c r="E710">
        <v>14</v>
      </c>
      <c r="F710" s="2">
        <v>2.7777777777777778E-4</v>
      </c>
      <c r="G710" s="2">
        <v>1.7476851851851852E-3</v>
      </c>
      <c r="H710" s="2">
        <v>2.6967592592592594E-3</v>
      </c>
      <c r="I710" s="1">
        <v>0.67720000000000002</v>
      </c>
    </row>
    <row r="711" spans="1:9" x14ac:dyDescent="0.3">
      <c r="A711">
        <v>710</v>
      </c>
      <c r="B711">
        <v>188</v>
      </c>
      <c r="C711">
        <v>170</v>
      </c>
      <c r="D711" s="1">
        <v>0.90429999999999999</v>
      </c>
      <c r="E711">
        <v>18</v>
      </c>
      <c r="F711" s="2">
        <v>3.9351851851851852E-4</v>
      </c>
      <c r="G711" s="2">
        <v>1.9560185185185184E-3</v>
      </c>
      <c r="H711" s="2">
        <v>4.4560185185185189E-3</v>
      </c>
      <c r="I711" s="1">
        <v>0.5323</v>
      </c>
    </row>
    <row r="712" spans="1:9" x14ac:dyDescent="0.3">
      <c r="A712">
        <v>711</v>
      </c>
      <c r="B712">
        <v>166</v>
      </c>
      <c r="C712">
        <v>160</v>
      </c>
      <c r="D712" s="1">
        <v>0.96389999999999998</v>
      </c>
      <c r="E712">
        <v>6</v>
      </c>
      <c r="F712" s="2">
        <v>1.7361111111111112E-4</v>
      </c>
      <c r="G712" s="2">
        <v>1.8518518518518519E-3</v>
      </c>
      <c r="H712" s="2">
        <v>1.9097222222222222E-3</v>
      </c>
      <c r="I712" s="1">
        <v>0.81820000000000004</v>
      </c>
    </row>
    <row r="713" spans="1:9" x14ac:dyDescent="0.3">
      <c r="A713">
        <v>712</v>
      </c>
      <c r="B713">
        <v>73</v>
      </c>
      <c r="C713">
        <v>68</v>
      </c>
      <c r="D713" s="1">
        <v>0.93149999999999999</v>
      </c>
      <c r="E713">
        <v>5</v>
      </c>
      <c r="F713" s="2">
        <v>1.7361111111111112E-4</v>
      </c>
      <c r="G713" s="2">
        <v>1.5393518518518519E-3</v>
      </c>
      <c r="H713" s="2">
        <v>1.712962962962963E-3</v>
      </c>
      <c r="I713" s="1">
        <v>0.78869999999999996</v>
      </c>
    </row>
    <row r="714" spans="1:9" x14ac:dyDescent="0.3">
      <c r="A714">
        <v>713</v>
      </c>
      <c r="B714">
        <v>170</v>
      </c>
      <c r="C714">
        <v>159</v>
      </c>
      <c r="D714" s="1">
        <v>0.93530000000000002</v>
      </c>
      <c r="E714">
        <v>11</v>
      </c>
      <c r="F714" s="2">
        <v>2.3148148148148149E-4</v>
      </c>
      <c r="G714" s="2">
        <v>1.8518518518518519E-3</v>
      </c>
      <c r="H714" s="2">
        <v>3.3680555555555556E-3</v>
      </c>
      <c r="I714" s="1">
        <v>0.73209999999999997</v>
      </c>
    </row>
    <row r="715" spans="1:9" x14ac:dyDescent="0.3">
      <c r="A715">
        <v>714</v>
      </c>
      <c r="B715">
        <v>188</v>
      </c>
      <c r="C715">
        <v>181</v>
      </c>
      <c r="D715" s="1">
        <v>0.96279999999999999</v>
      </c>
      <c r="E715">
        <v>7</v>
      </c>
      <c r="F715" s="2">
        <v>2.6620370370370372E-4</v>
      </c>
      <c r="G715" s="2">
        <v>1.8402777777777777E-3</v>
      </c>
      <c r="H715" s="2">
        <v>2.0949074074074073E-3</v>
      </c>
      <c r="I715" s="1">
        <v>0.68279999999999996</v>
      </c>
    </row>
    <row r="716" spans="1:9" x14ac:dyDescent="0.3">
      <c r="A716">
        <v>715</v>
      </c>
      <c r="B716">
        <v>306</v>
      </c>
      <c r="C716">
        <v>262</v>
      </c>
      <c r="D716" s="1">
        <v>0.85619999999999996</v>
      </c>
      <c r="E716">
        <v>44</v>
      </c>
      <c r="F716" s="2">
        <v>5.0925925925925921E-4</v>
      </c>
      <c r="G716" s="2">
        <v>1.9444444444444444E-3</v>
      </c>
      <c r="H716" s="2">
        <v>5.2893518518518515E-3</v>
      </c>
      <c r="I716" s="1">
        <v>0.46329999999999999</v>
      </c>
    </row>
    <row r="717" spans="1:9" x14ac:dyDescent="0.3">
      <c r="A717">
        <v>716</v>
      </c>
      <c r="B717">
        <v>201</v>
      </c>
      <c r="C717">
        <v>185</v>
      </c>
      <c r="D717" s="1">
        <v>0.9204</v>
      </c>
      <c r="E717">
        <v>16</v>
      </c>
      <c r="F717" s="2">
        <v>2.6620370370370372E-4</v>
      </c>
      <c r="G717" s="2">
        <v>1.8287037037037037E-3</v>
      </c>
      <c r="H717" s="2">
        <v>1.9212962962962964E-3</v>
      </c>
      <c r="I717" s="1">
        <v>0.6734</v>
      </c>
    </row>
    <row r="718" spans="1:9" x14ac:dyDescent="0.3">
      <c r="A718">
        <v>717</v>
      </c>
      <c r="B718">
        <v>188</v>
      </c>
      <c r="C718">
        <v>184</v>
      </c>
      <c r="D718" s="1">
        <v>0.97870000000000001</v>
      </c>
      <c r="E718">
        <v>4</v>
      </c>
      <c r="F718" s="2">
        <v>1.9675925925925926E-4</v>
      </c>
      <c r="G718" s="2">
        <v>1.8055555555555555E-3</v>
      </c>
      <c r="H718" s="2">
        <v>1.6435185185185185E-3</v>
      </c>
      <c r="I718" s="1">
        <v>0.79259999999999997</v>
      </c>
    </row>
    <row r="719" spans="1:9" x14ac:dyDescent="0.3">
      <c r="A719">
        <v>718</v>
      </c>
      <c r="B719">
        <v>148</v>
      </c>
      <c r="C719">
        <v>131</v>
      </c>
      <c r="D719" s="1">
        <v>0.8851</v>
      </c>
      <c r="E719">
        <v>17</v>
      </c>
      <c r="F719" s="2">
        <v>3.5879629629629629E-4</v>
      </c>
      <c r="G719" s="2">
        <v>1.9791666666666668E-3</v>
      </c>
      <c r="H719" s="2">
        <v>2.5000000000000001E-3</v>
      </c>
      <c r="I719" s="1">
        <v>0.53059999999999996</v>
      </c>
    </row>
    <row r="720" spans="1:9" x14ac:dyDescent="0.3">
      <c r="A720">
        <v>719</v>
      </c>
      <c r="B720">
        <v>21</v>
      </c>
      <c r="C720">
        <v>17</v>
      </c>
      <c r="D720" s="1">
        <v>0.8095</v>
      </c>
      <c r="E720">
        <v>4</v>
      </c>
      <c r="F720" s="2">
        <v>6.018518518518519E-4</v>
      </c>
      <c r="G720" s="2">
        <v>2.4189814814814816E-3</v>
      </c>
      <c r="H720" s="2">
        <v>7.6388888888888886E-3</v>
      </c>
      <c r="I720" s="1">
        <v>0.52380000000000004</v>
      </c>
    </row>
    <row r="721" spans="1:9" x14ac:dyDescent="0.3">
      <c r="A721">
        <v>720</v>
      </c>
      <c r="B721">
        <v>148</v>
      </c>
      <c r="C721">
        <v>129</v>
      </c>
      <c r="D721" s="1">
        <v>0.87160000000000004</v>
      </c>
      <c r="E721">
        <v>19</v>
      </c>
      <c r="F721" s="2">
        <v>4.6296296296296298E-4</v>
      </c>
      <c r="G721" s="2">
        <v>2.0949074074074073E-3</v>
      </c>
      <c r="H721" s="2">
        <v>4.8148148148148152E-3</v>
      </c>
      <c r="I721" s="1">
        <v>0.45519999999999999</v>
      </c>
    </row>
    <row r="722" spans="1:9" x14ac:dyDescent="0.3">
      <c r="A722">
        <v>721</v>
      </c>
      <c r="B722">
        <v>167</v>
      </c>
      <c r="C722">
        <v>154</v>
      </c>
      <c r="D722" s="1">
        <v>0.92220000000000002</v>
      </c>
      <c r="E722">
        <v>13</v>
      </c>
      <c r="F722" s="2">
        <v>1.9675925925925926E-4</v>
      </c>
      <c r="G722" s="2">
        <v>1.8865740740740742E-3</v>
      </c>
      <c r="H722" s="2">
        <v>1.9560185185185184E-3</v>
      </c>
      <c r="I722" s="1">
        <v>0.7349</v>
      </c>
    </row>
    <row r="723" spans="1:9" x14ac:dyDescent="0.3">
      <c r="A723">
        <v>722</v>
      </c>
      <c r="B723">
        <v>169</v>
      </c>
      <c r="C723">
        <v>158</v>
      </c>
      <c r="D723" s="1">
        <v>0.93489999999999995</v>
      </c>
      <c r="E723">
        <v>11</v>
      </c>
      <c r="F723" s="2">
        <v>1.8518518518518518E-4</v>
      </c>
      <c r="G723" s="2">
        <v>1.8055555555555555E-3</v>
      </c>
      <c r="H723" s="2">
        <v>1.2037037037037038E-3</v>
      </c>
      <c r="I723" s="1">
        <v>0.75</v>
      </c>
    </row>
    <row r="724" spans="1:9" x14ac:dyDescent="0.3">
      <c r="A724">
        <v>723</v>
      </c>
      <c r="B724">
        <v>175</v>
      </c>
      <c r="C724">
        <v>163</v>
      </c>
      <c r="D724" s="1">
        <v>0.93140000000000001</v>
      </c>
      <c r="E724">
        <v>12</v>
      </c>
      <c r="F724" s="2">
        <v>2.5462962962962961E-4</v>
      </c>
      <c r="G724" s="2">
        <v>1.8171296296296297E-3</v>
      </c>
      <c r="H724" s="2">
        <v>1.5972222222222223E-3</v>
      </c>
      <c r="I724" s="1">
        <v>0.71099999999999997</v>
      </c>
    </row>
    <row r="725" spans="1:9" x14ac:dyDescent="0.3">
      <c r="A725">
        <v>724</v>
      </c>
      <c r="B725">
        <v>193</v>
      </c>
      <c r="C725">
        <v>183</v>
      </c>
      <c r="D725" s="1">
        <v>0.94820000000000004</v>
      </c>
      <c r="E725">
        <v>10</v>
      </c>
      <c r="F725" s="2">
        <v>1.8518518518518518E-4</v>
      </c>
      <c r="G725" s="2">
        <v>1.9560185185185184E-3</v>
      </c>
      <c r="H725" s="2">
        <v>1.9444444444444444E-3</v>
      </c>
      <c r="I725" s="1">
        <v>0.80210000000000004</v>
      </c>
    </row>
    <row r="726" spans="1:9" x14ac:dyDescent="0.3">
      <c r="A726">
        <v>725</v>
      </c>
      <c r="B726">
        <v>154</v>
      </c>
      <c r="C726">
        <v>144</v>
      </c>
      <c r="D726" s="1">
        <v>0.93510000000000004</v>
      </c>
      <c r="E726">
        <v>10</v>
      </c>
      <c r="F726" s="2">
        <v>2.3148148148148149E-4</v>
      </c>
      <c r="G726" s="2">
        <v>1.8634259259259259E-3</v>
      </c>
      <c r="H726" s="2">
        <v>2.0138888888888888E-3</v>
      </c>
      <c r="I726" s="1">
        <v>0.73509999999999998</v>
      </c>
    </row>
    <row r="727" spans="1:9" x14ac:dyDescent="0.3">
      <c r="A727">
        <v>726</v>
      </c>
      <c r="B727">
        <v>35</v>
      </c>
      <c r="C727">
        <v>34</v>
      </c>
      <c r="D727" s="1">
        <v>0.97140000000000004</v>
      </c>
      <c r="E727">
        <v>1</v>
      </c>
      <c r="F727" s="2">
        <v>1.6203703703703703E-4</v>
      </c>
      <c r="G727" s="2">
        <v>2.1527777777777778E-3</v>
      </c>
      <c r="H727" s="2">
        <v>6.7129629629629625E-4</v>
      </c>
      <c r="I727" s="1">
        <v>0.77139999999999997</v>
      </c>
    </row>
    <row r="728" spans="1:9" x14ac:dyDescent="0.3">
      <c r="A728">
        <v>727</v>
      </c>
      <c r="B728">
        <v>172</v>
      </c>
      <c r="C728">
        <v>161</v>
      </c>
      <c r="D728" s="1">
        <v>0.93600000000000005</v>
      </c>
      <c r="E728">
        <v>11</v>
      </c>
      <c r="F728" s="2">
        <v>2.3148148148148149E-4</v>
      </c>
      <c r="G728" s="2">
        <v>1.9444444444444444E-3</v>
      </c>
      <c r="H728" s="2">
        <v>1.7592592592592592E-3</v>
      </c>
      <c r="I728" s="1">
        <v>0.72089999999999999</v>
      </c>
    </row>
    <row r="729" spans="1:9" x14ac:dyDescent="0.3">
      <c r="A729">
        <v>728</v>
      </c>
      <c r="B729">
        <v>195</v>
      </c>
      <c r="C729">
        <v>182</v>
      </c>
      <c r="D729" s="1">
        <v>0.93330000000000002</v>
      </c>
      <c r="E729">
        <v>13</v>
      </c>
      <c r="F729" s="2">
        <v>2.7777777777777778E-4</v>
      </c>
      <c r="G729" s="2">
        <v>1.9791666666666668E-3</v>
      </c>
      <c r="H729" s="2">
        <v>2.1990740740740742E-3</v>
      </c>
      <c r="I729" s="1">
        <v>0.66839999999999999</v>
      </c>
    </row>
    <row r="730" spans="1:9" x14ac:dyDescent="0.3">
      <c r="A730">
        <v>729</v>
      </c>
      <c r="B730">
        <v>163</v>
      </c>
      <c r="C730">
        <v>157</v>
      </c>
      <c r="D730" s="1">
        <v>0.96319999999999995</v>
      </c>
      <c r="E730">
        <v>6</v>
      </c>
      <c r="F730" s="2">
        <v>1.9675925925925926E-4</v>
      </c>
      <c r="G730" s="2">
        <v>1.9212962962962964E-3</v>
      </c>
      <c r="H730" s="2">
        <v>3.8541666666666668E-3</v>
      </c>
      <c r="I730" s="1">
        <v>0.82210000000000005</v>
      </c>
    </row>
    <row r="731" spans="1:9" x14ac:dyDescent="0.3">
      <c r="A731">
        <v>730</v>
      </c>
      <c r="B731">
        <v>134</v>
      </c>
      <c r="C731">
        <v>126</v>
      </c>
      <c r="D731" s="1">
        <v>0.94030000000000002</v>
      </c>
      <c r="E731">
        <v>8</v>
      </c>
      <c r="F731" s="2">
        <v>3.4722222222222224E-4</v>
      </c>
      <c r="G731" s="2">
        <v>2.0601851851851853E-3</v>
      </c>
      <c r="H731" s="2">
        <v>3.460648148148148E-3</v>
      </c>
      <c r="I731" s="1">
        <v>0.63570000000000004</v>
      </c>
    </row>
    <row r="732" spans="1:9" x14ac:dyDescent="0.3">
      <c r="A732">
        <v>731</v>
      </c>
      <c r="B732">
        <v>158</v>
      </c>
      <c r="C732">
        <v>142</v>
      </c>
      <c r="D732" s="1">
        <v>0.89870000000000005</v>
      </c>
      <c r="E732">
        <v>16</v>
      </c>
      <c r="F732" s="2">
        <v>2.8935185185185184E-4</v>
      </c>
      <c r="G732" s="2">
        <v>1.9097222222222222E-3</v>
      </c>
      <c r="H732" s="2">
        <v>2.0370370370370369E-3</v>
      </c>
      <c r="I732" s="1">
        <v>0.59350000000000003</v>
      </c>
    </row>
    <row r="733" spans="1:9" x14ac:dyDescent="0.3">
      <c r="A733">
        <v>732</v>
      </c>
      <c r="B733">
        <v>161</v>
      </c>
      <c r="C733">
        <v>144</v>
      </c>
      <c r="D733" s="1">
        <v>0.89439999999999997</v>
      </c>
      <c r="E733">
        <v>17</v>
      </c>
      <c r="F733" s="2">
        <v>3.9351851851851852E-4</v>
      </c>
      <c r="G733" s="2">
        <v>1.9560185185185184E-3</v>
      </c>
      <c r="H733" s="2">
        <v>3.472222222222222E-3</v>
      </c>
      <c r="I733" s="1">
        <v>0.53129999999999999</v>
      </c>
    </row>
    <row r="734" spans="1:9" x14ac:dyDescent="0.3">
      <c r="A734">
        <v>733</v>
      </c>
      <c r="B734">
        <v>36</v>
      </c>
      <c r="C734">
        <v>34</v>
      </c>
      <c r="D734" s="1">
        <v>0.94440000000000002</v>
      </c>
      <c r="E734">
        <v>2</v>
      </c>
      <c r="F734" s="2">
        <v>2.3148148148148149E-4</v>
      </c>
      <c r="G734" s="2">
        <v>1.4467592592592592E-3</v>
      </c>
      <c r="H734" s="2">
        <v>1.3541666666666667E-3</v>
      </c>
      <c r="I734" s="1">
        <v>0.72219999999999995</v>
      </c>
    </row>
    <row r="735" spans="1:9" x14ac:dyDescent="0.3">
      <c r="A735">
        <v>734</v>
      </c>
      <c r="B735">
        <v>147</v>
      </c>
      <c r="C735">
        <v>136</v>
      </c>
      <c r="D735" s="1">
        <v>0.92520000000000002</v>
      </c>
      <c r="E735">
        <v>11</v>
      </c>
      <c r="F735" s="2">
        <v>1.9675925925925926E-4</v>
      </c>
      <c r="G735" s="2">
        <v>2.0254629629629629E-3</v>
      </c>
      <c r="H735" s="2">
        <v>2.2569444444444442E-3</v>
      </c>
      <c r="I735" s="1">
        <v>0.7671</v>
      </c>
    </row>
    <row r="736" spans="1:9" x14ac:dyDescent="0.3">
      <c r="A736">
        <v>735</v>
      </c>
      <c r="B736">
        <v>131</v>
      </c>
      <c r="C736">
        <v>130</v>
      </c>
      <c r="D736" s="1">
        <v>0.99239999999999995</v>
      </c>
      <c r="E736">
        <v>1</v>
      </c>
      <c r="F736" s="2">
        <v>2.0833333333333335E-4</v>
      </c>
      <c r="G736" s="2">
        <v>1.9328703703703704E-3</v>
      </c>
      <c r="H736" s="2">
        <v>2.2916666666666667E-3</v>
      </c>
      <c r="I736" s="1">
        <v>0.76919999999999999</v>
      </c>
    </row>
    <row r="737" spans="1:9" x14ac:dyDescent="0.3">
      <c r="A737">
        <v>736</v>
      </c>
      <c r="B737">
        <v>128</v>
      </c>
      <c r="C737">
        <v>120</v>
      </c>
      <c r="D737" s="1">
        <v>0.9375</v>
      </c>
      <c r="E737">
        <v>8</v>
      </c>
      <c r="F737" s="2">
        <v>2.5462962962962961E-4</v>
      </c>
      <c r="G737" s="2">
        <v>1.9328703703703704E-3</v>
      </c>
      <c r="H737" s="2">
        <v>1.3194444444444445E-3</v>
      </c>
      <c r="I737" s="1">
        <v>0.6825</v>
      </c>
    </row>
    <row r="738" spans="1:9" x14ac:dyDescent="0.3">
      <c r="A738">
        <v>737</v>
      </c>
      <c r="B738">
        <v>136</v>
      </c>
      <c r="C738">
        <v>119</v>
      </c>
      <c r="D738" s="1">
        <v>0.875</v>
      </c>
      <c r="E738">
        <v>17</v>
      </c>
      <c r="F738" s="2">
        <v>3.0092592592592595E-4</v>
      </c>
      <c r="G738" s="2">
        <v>1.9907407407407408E-3</v>
      </c>
      <c r="H738" s="2">
        <v>3.1828703703703702E-3</v>
      </c>
      <c r="I738" s="1">
        <v>0.60150000000000003</v>
      </c>
    </row>
    <row r="739" spans="1:9" x14ac:dyDescent="0.3">
      <c r="A739">
        <v>738</v>
      </c>
      <c r="B739">
        <v>225</v>
      </c>
      <c r="C739">
        <v>209</v>
      </c>
      <c r="D739" s="1">
        <v>0.92889999999999995</v>
      </c>
      <c r="E739">
        <v>16</v>
      </c>
      <c r="F739" s="2">
        <v>2.199074074074074E-4</v>
      </c>
      <c r="G739" s="2">
        <v>1.724537037037037E-3</v>
      </c>
      <c r="H739" s="2">
        <v>2.8472222222222223E-3</v>
      </c>
      <c r="I739" s="1">
        <v>0.76019999999999999</v>
      </c>
    </row>
    <row r="740" spans="1:9" x14ac:dyDescent="0.3">
      <c r="A740">
        <v>739</v>
      </c>
      <c r="B740">
        <v>167</v>
      </c>
      <c r="C740">
        <v>151</v>
      </c>
      <c r="D740" s="1">
        <v>0.9042</v>
      </c>
      <c r="E740">
        <v>16</v>
      </c>
      <c r="F740" s="2">
        <v>2.199074074074074E-4</v>
      </c>
      <c r="G740" s="2">
        <v>1.7013888888888888E-3</v>
      </c>
      <c r="H740" s="2">
        <v>1.8981481481481482E-3</v>
      </c>
      <c r="I740" s="1">
        <v>0.73329999999999995</v>
      </c>
    </row>
    <row r="741" spans="1:9" x14ac:dyDescent="0.3">
      <c r="A741">
        <v>740</v>
      </c>
      <c r="B741">
        <v>48</v>
      </c>
      <c r="C741">
        <v>46</v>
      </c>
      <c r="D741" s="1">
        <v>0.95830000000000004</v>
      </c>
      <c r="E741">
        <v>2</v>
      </c>
      <c r="F741" s="2">
        <v>1.8518518518518518E-4</v>
      </c>
      <c r="G741" s="2">
        <v>1.6898148148148148E-3</v>
      </c>
      <c r="H741" s="2">
        <v>1.8287037037037037E-3</v>
      </c>
      <c r="I741" s="1">
        <v>0.78720000000000001</v>
      </c>
    </row>
    <row r="742" spans="1:9" x14ac:dyDescent="0.3">
      <c r="A742">
        <v>741</v>
      </c>
      <c r="B742">
        <v>232</v>
      </c>
      <c r="C742">
        <v>204</v>
      </c>
      <c r="D742" s="1">
        <v>0.87929999999999997</v>
      </c>
      <c r="E742">
        <v>28</v>
      </c>
      <c r="F742" s="2">
        <v>3.7037037037037035E-4</v>
      </c>
      <c r="G742" s="2">
        <v>1.6435185185185185E-3</v>
      </c>
      <c r="H742" s="2">
        <v>2.7314814814814814E-3</v>
      </c>
      <c r="I742" s="1">
        <v>0.55410000000000004</v>
      </c>
    </row>
    <row r="743" spans="1:9" x14ac:dyDescent="0.3">
      <c r="A743">
        <v>742</v>
      </c>
      <c r="B743">
        <v>198</v>
      </c>
      <c r="C743">
        <v>187</v>
      </c>
      <c r="D743" s="1">
        <v>0.94440000000000002</v>
      </c>
      <c r="E743">
        <v>11</v>
      </c>
      <c r="F743" s="2">
        <v>3.1250000000000001E-4</v>
      </c>
      <c r="G743" s="2">
        <v>1.9444444444444444E-3</v>
      </c>
      <c r="H743" s="2">
        <v>2.2337962962962962E-3</v>
      </c>
      <c r="I743" s="1">
        <v>0.60199999999999998</v>
      </c>
    </row>
    <row r="744" spans="1:9" x14ac:dyDescent="0.3">
      <c r="A744">
        <v>743</v>
      </c>
      <c r="B744">
        <v>171</v>
      </c>
      <c r="C744">
        <v>163</v>
      </c>
      <c r="D744" s="1">
        <v>0.95320000000000005</v>
      </c>
      <c r="E744">
        <v>8</v>
      </c>
      <c r="F744" s="2">
        <v>2.199074074074074E-4</v>
      </c>
      <c r="G744" s="2">
        <v>1.8634259259259259E-3</v>
      </c>
      <c r="H744" s="2">
        <v>1.9444444444444444E-3</v>
      </c>
      <c r="I744" s="1">
        <v>0.69410000000000005</v>
      </c>
    </row>
    <row r="745" spans="1:9" x14ac:dyDescent="0.3">
      <c r="A745">
        <v>744</v>
      </c>
      <c r="B745">
        <v>180</v>
      </c>
      <c r="C745">
        <v>173</v>
      </c>
      <c r="D745" s="1">
        <v>0.96109999999999995</v>
      </c>
      <c r="E745">
        <v>7</v>
      </c>
      <c r="F745" s="2">
        <v>3.5879629629629629E-4</v>
      </c>
      <c r="G745" s="2">
        <v>1.9560185185185184E-3</v>
      </c>
      <c r="H745" s="2">
        <v>5.7060185185185183E-3</v>
      </c>
      <c r="I745" s="1">
        <v>0.72219999999999995</v>
      </c>
    </row>
    <row r="746" spans="1:9" x14ac:dyDescent="0.3">
      <c r="A746">
        <v>745</v>
      </c>
      <c r="B746">
        <v>192</v>
      </c>
      <c r="C746">
        <v>175</v>
      </c>
      <c r="D746" s="1">
        <v>0.91149999999999998</v>
      </c>
      <c r="E746">
        <v>17</v>
      </c>
      <c r="F746" s="2">
        <v>3.0092592592592595E-4</v>
      </c>
      <c r="G746" s="2">
        <v>2.0949074074074073E-3</v>
      </c>
      <c r="H746" s="2">
        <v>2.5462962962962965E-3</v>
      </c>
      <c r="I746" s="1">
        <v>0.61580000000000001</v>
      </c>
    </row>
    <row r="747" spans="1:9" x14ac:dyDescent="0.3">
      <c r="A747">
        <v>746</v>
      </c>
      <c r="B747">
        <v>194</v>
      </c>
      <c r="C747">
        <v>180</v>
      </c>
      <c r="D747" s="1">
        <v>0.92779999999999996</v>
      </c>
      <c r="E747">
        <v>14</v>
      </c>
      <c r="F747" s="2">
        <v>2.8935185185185184E-4</v>
      </c>
      <c r="G747" s="2">
        <v>1.9675925925925924E-3</v>
      </c>
      <c r="H747" s="2">
        <v>2.8124999999999999E-3</v>
      </c>
      <c r="I747" s="1">
        <v>0.68389999999999995</v>
      </c>
    </row>
    <row r="748" spans="1:9" x14ac:dyDescent="0.3">
      <c r="A748">
        <v>747</v>
      </c>
      <c r="B748">
        <v>37</v>
      </c>
      <c r="C748">
        <v>27</v>
      </c>
      <c r="D748" s="1">
        <v>0.72970000000000002</v>
      </c>
      <c r="E748">
        <v>10</v>
      </c>
      <c r="F748" s="2">
        <v>4.0509259259259258E-4</v>
      </c>
      <c r="G748" s="2">
        <v>2.0023148148148148E-3</v>
      </c>
      <c r="H748" s="2">
        <v>2.0601851851851853E-3</v>
      </c>
      <c r="I748" s="1">
        <v>0.5</v>
      </c>
    </row>
    <row r="749" spans="1:9" x14ac:dyDescent="0.3">
      <c r="A749">
        <v>748</v>
      </c>
      <c r="B749">
        <v>180</v>
      </c>
      <c r="C749">
        <v>169</v>
      </c>
      <c r="D749" s="1">
        <v>0.93889999999999996</v>
      </c>
      <c r="E749">
        <v>11</v>
      </c>
      <c r="F749" s="2">
        <v>2.6620370370370372E-4</v>
      </c>
      <c r="G749" s="2">
        <v>1.8981481481481482E-3</v>
      </c>
      <c r="H749" s="2">
        <v>1.4467592592592592E-3</v>
      </c>
      <c r="I749" s="1">
        <v>0.67979999999999996</v>
      </c>
    </row>
    <row r="750" spans="1:9" x14ac:dyDescent="0.3">
      <c r="A750">
        <v>749</v>
      </c>
      <c r="B750">
        <v>213</v>
      </c>
      <c r="C750">
        <v>198</v>
      </c>
      <c r="D750" s="1">
        <v>0.92959999999999998</v>
      </c>
      <c r="E750">
        <v>15</v>
      </c>
      <c r="F750" s="2">
        <v>1.8518518518518518E-4</v>
      </c>
      <c r="G750" s="2">
        <v>1.9328703703703704E-3</v>
      </c>
      <c r="H750" s="2">
        <v>4.409722222222222E-3</v>
      </c>
      <c r="I750" s="1">
        <v>0.77249999999999996</v>
      </c>
    </row>
    <row r="751" spans="1:9" x14ac:dyDescent="0.3">
      <c r="A751">
        <v>750</v>
      </c>
      <c r="B751">
        <v>251</v>
      </c>
      <c r="C751">
        <v>239</v>
      </c>
      <c r="D751" s="1">
        <v>0.95220000000000005</v>
      </c>
      <c r="E751">
        <v>12</v>
      </c>
      <c r="F751" s="2">
        <v>2.4305555555555555E-4</v>
      </c>
      <c r="G751" s="2">
        <v>1.5972222222222223E-3</v>
      </c>
      <c r="H751" s="2">
        <v>1.9444444444444444E-3</v>
      </c>
      <c r="I751" s="1">
        <v>0.7177</v>
      </c>
    </row>
    <row r="752" spans="1:9" x14ac:dyDescent="0.3">
      <c r="A752">
        <v>751</v>
      </c>
      <c r="B752">
        <v>200</v>
      </c>
      <c r="C752">
        <v>189</v>
      </c>
      <c r="D752" s="1">
        <v>0.94499999999999995</v>
      </c>
      <c r="E752">
        <v>11</v>
      </c>
      <c r="F752" s="2">
        <v>2.199074074074074E-4</v>
      </c>
      <c r="G752" s="2">
        <v>2.0023148148148148E-3</v>
      </c>
      <c r="H752" s="2">
        <v>3.1944444444444446E-3</v>
      </c>
      <c r="I752" s="1">
        <v>0.76259999999999994</v>
      </c>
    </row>
    <row r="753" spans="1:9" x14ac:dyDescent="0.3">
      <c r="A753">
        <v>752</v>
      </c>
      <c r="B753">
        <v>214</v>
      </c>
      <c r="C753">
        <v>205</v>
      </c>
      <c r="D753" s="1">
        <v>0.95789999999999997</v>
      </c>
      <c r="E753">
        <v>9</v>
      </c>
      <c r="F753" s="2">
        <v>2.8935185185185184E-4</v>
      </c>
      <c r="G753" s="2">
        <v>1.9444444444444444E-3</v>
      </c>
      <c r="H753" s="2">
        <v>5.0578703703703706E-3</v>
      </c>
      <c r="I753" s="1">
        <v>0.71960000000000002</v>
      </c>
    </row>
    <row r="754" spans="1:9" x14ac:dyDescent="0.3">
      <c r="A754">
        <v>753</v>
      </c>
      <c r="B754">
        <v>185</v>
      </c>
      <c r="C754">
        <v>154</v>
      </c>
      <c r="D754" s="1">
        <v>0.83240000000000003</v>
      </c>
      <c r="E754">
        <v>31</v>
      </c>
      <c r="F754" s="2">
        <v>5.4398148148148144E-4</v>
      </c>
      <c r="G754" s="2">
        <v>2.0370370370370369E-3</v>
      </c>
      <c r="H754" s="2">
        <v>2.2685185185185187E-3</v>
      </c>
      <c r="I754" s="1">
        <v>0.35909999999999997</v>
      </c>
    </row>
    <row r="755" spans="1:9" x14ac:dyDescent="0.3">
      <c r="A755">
        <v>754</v>
      </c>
      <c r="B755">
        <v>49</v>
      </c>
      <c r="C755">
        <v>46</v>
      </c>
      <c r="D755" s="1">
        <v>0.93879999999999997</v>
      </c>
      <c r="E755">
        <v>3</v>
      </c>
      <c r="F755" s="2">
        <v>4.3981481481481481E-4</v>
      </c>
      <c r="G755" s="2">
        <v>1.6319444444444445E-3</v>
      </c>
      <c r="H755" s="2">
        <v>1.5740740740740741E-3</v>
      </c>
      <c r="I755" s="1">
        <v>0.52080000000000004</v>
      </c>
    </row>
    <row r="756" spans="1:9" x14ac:dyDescent="0.3">
      <c r="A756">
        <v>755</v>
      </c>
      <c r="B756">
        <v>193</v>
      </c>
      <c r="C756">
        <v>185</v>
      </c>
      <c r="D756" s="1">
        <v>0.95850000000000002</v>
      </c>
      <c r="E756">
        <v>8</v>
      </c>
      <c r="F756" s="2">
        <v>2.4305555555555555E-4</v>
      </c>
      <c r="G756" s="2">
        <v>1.9791666666666668E-3</v>
      </c>
      <c r="H756" s="2">
        <v>2.7430555555555554E-3</v>
      </c>
      <c r="I756" s="1">
        <v>0.75790000000000002</v>
      </c>
    </row>
    <row r="757" spans="1:9" x14ac:dyDescent="0.3">
      <c r="A757">
        <v>756</v>
      </c>
      <c r="B757">
        <v>195</v>
      </c>
      <c r="C757">
        <v>184</v>
      </c>
      <c r="D757" s="1">
        <v>0.94359999999999999</v>
      </c>
      <c r="E757">
        <v>11</v>
      </c>
      <c r="F757" s="2">
        <v>2.5462962962962961E-4</v>
      </c>
      <c r="G757" s="2">
        <v>1.8402777777777777E-3</v>
      </c>
      <c r="H757" s="2">
        <v>1.8287037037037037E-3</v>
      </c>
      <c r="I757" s="1">
        <v>0.7</v>
      </c>
    </row>
    <row r="758" spans="1:9" x14ac:dyDescent="0.3">
      <c r="A758">
        <v>757</v>
      </c>
      <c r="B758">
        <v>211</v>
      </c>
      <c r="C758">
        <v>195</v>
      </c>
      <c r="D758" s="1">
        <v>0.92420000000000002</v>
      </c>
      <c r="E758">
        <v>16</v>
      </c>
      <c r="F758" s="2">
        <v>3.9351851851851852E-4</v>
      </c>
      <c r="G758" s="2">
        <v>1.9791666666666668E-3</v>
      </c>
      <c r="H758" s="2">
        <v>3.1365740740740742E-3</v>
      </c>
      <c r="I758" s="1">
        <v>0.56940000000000002</v>
      </c>
    </row>
    <row r="759" spans="1:9" x14ac:dyDescent="0.3">
      <c r="A759">
        <v>758</v>
      </c>
      <c r="B759">
        <v>200</v>
      </c>
      <c r="C759">
        <v>190</v>
      </c>
      <c r="D759" s="1">
        <v>0.95</v>
      </c>
      <c r="E759">
        <v>10</v>
      </c>
      <c r="F759" s="2">
        <v>1.7361111111111112E-4</v>
      </c>
      <c r="G759" s="2">
        <v>2.0370370370370369E-3</v>
      </c>
      <c r="H759" s="2">
        <v>2.1527777777777778E-3</v>
      </c>
      <c r="I759" s="1">
        <v>0.80930000000000002</v>
      </c>
    </row>
    <row r="760" spans="1:9" x14ac:dyDescent="0.3">
      <c r="A760">
        <v>759</v>
      </c>
      <c r="B760">
        <v>48</v>
      </c>
      <c r="C760">
        <v>47</v>
      </c>
      <c r="D760" s="1">
        <v>0.97919999999999996</v>
      </c>
      <c r="E760">
        <v>1</v>
      </c>
      <c r="F760" s="2">
        <v>1.7361111111111112E-4</v>
      </c>
      <c r="G760" s="2">
        <v>2.2337962962962962E-3</v>
      </c>
      <c r="H760" s="2">
        <v>2.0601851851851853E-3</v>
      </c>
      <c r="I760" s="1">
        <v>0.8125</v>
      </c>
    </row>
    <row r="761" spans="1:9" x14ac:dyDescent="0.3">
      <c r="A761">
        <v>760</v>
      </c>
      <c r="B761">
        <v>164</v>
      </c>
      <c r="C761">
        <v>159</v>
      </c>
      <c r="D761" s="1">
        <v>0.96950000000000003</v>
      </c>
      <c r="E761">
        <v>5</v>
      </c>
      <c r="F761" s="2">
        <v>2.3148148148148149E-4</v>
      </c>
      <c r="G761" s="2">
        <v>1.9791666666666668E-3</v>
      </c>
      <c r="H761" s="2">
        <v>3.3217592592592591E-3</v>
      </c>
      <c r="I761" s="1">
        <v>0.77780000000000005</v>
      </c>
    </row>
    <row r="762" spans="1:9" x14ac:dyDescent="0.3">
      <c r="A762">
        <v>761</v>
      </c>
      <c r="B762">
        <v>43</v>
      </c>
      <c r="C762">
        <v>42</v>
      </c>
      <c r="D762" s="1">
        <v>0.97670000000000001</v>
      </c>
      <c r="E762">
        <v>1</v>
      </c>
      <c r="F762" s="2">
        <v>1.6203703703703703E-4</v>
      </c>
      <c r="G762" s="2">
        <v>1.7592592592592592E-3</v>
      </c>
      <c r="H762" s="2">
        <v>1.7824074074074075E-3</v>
      </c>
      <c r="I762" s="1">
        <v>0.83720000000000006</v>
      </c>
    </row>
    <row r="763" spans="1:9" x14ac:dyDescent="0.3">
      <c r="A763">
        <v>762</v>
      </c>
      <c r="B763">
        <v>236</v>
      </c>
      <c r="C763">
        <v>223</v>
      </c>
      <c r="D763" s="1">
        <v>0.94489999999999996</v>
      </c>
      <c r="E763">
        <v>13</v>
      </c>
      <c r="F763" s="2">
        <v>3.0092592592592595E-4</v>
      </c>
      <c r="G763" s="2">
        <v>1.9212962962962964E-3</v>
      </c>
      <c r="H763" s="2">
        <v>2.5231481481481481E-3</v>
      </c>
      <c r="I763" s="1">
        <v>0.64829999999999999</v>
      </c>
    </row>
    <row r="764" spans="1:9" x14ac:dyDescent="0.3">
      <c r="A764">
        <v>763</v>
      </c>
      <c r="B764">
        <v>270</v>
      </c>
      <c r="C764">
        <v>262</v>
      </c>
      <c r="D764" s="1">
        <v>0.97040000000000004</v>
      </c>
      <c r="E764">
        <v>8</v>
      </c>
      <c r="F764" s="2">
        <v>1.7361111111111112E-4</v>
      </c>
      <c r="G764" s="2">
        <v>1.8055555555555555E-3</v>
      </c>
      <c r="H764" s="2">
        <v>1.4814814814814814E-3</v>
      </c>
      <c r="I764" s="1">
        <v>0.83209999999999995</v>
      </c>
    </row>
    <row r="765" spans="1:9" x14ac:dyDescent="0.3">
      <c r="A765">
        <v>764</v>
      </c>
      <c r="B765">
        <v>304</v>
      </c>
      <c r="C765">
        <v>262</v>
      </c>
      <c r="D765" s="1">
        <v>0.86180000000000001</v>
      </c>
      <c r="E765">
        <v>42</v>
      </c>
      <c r="F765" s="2">
        <v>3.9351851851851852E-4</v>
      </c>
      <c r="G765" s="2">
        <v>2.0370370370370369E-3</v>
      </c>
      <c r="H765" s="2">
        <v>4.8726851851851848E-3</v>
      </c>
      <c r="I765" s="1">
        <v>0.56620000000000004</v>
      </c>
    </row>
    <row r="766" spans="1:9" x14ac:dyDescent="0.3">
      <c r="A766">
        <v>765</v>
      </c>
      <c r="B766">
        <v>286</v>
      </c>
      <c r="C766">
        <v>270</v>
      </c>
      <c r="D766" s="1">
        <v>0.94410000000000005</v>
      </c>
      <c r="E766">
        <v>16</v>
      </c>
      <c r="F766" s="2">
        <v>2.3148148148148149E-4</v>
      </c>
      <c r="G766" s="2">
        <v>1.9444444444444444E-3</v>
      </c>
      <c r="H766" s="2">
        <v>2.1527777777777778E-3</v>
      </c>
      <c r="I766" s="1">
        <v>0.71479999999999999</v>
      </c>
    </row>
    <row r="767" spans="1:9" x14ac:dyDescent="0.3">
      <c r="A767">
        <v>766</v>
      </c>
      <c r="B767">
        <v>317</v>
      </c>
      <c r="C767">
        <v>284</v>
      </c>
      <c r="D767" s="1">
        <v>0.89590000000000003</v>
      </c>
      <c r="E767">
        <v>33</v>
      </c>
      <c r="F767" s="2">
        <v>3.4722222222222224E-4</v>
      </c>
      <c r="G767" s="2">
        <v>1.9444444444444444E-3</v>
      </c>
      <c r="H767" s="2">
        <v>5.7407407407407407E-3</v>
      </c>
      <c r="I767" s="1">
        <v>0.6603</v>
      </c>
    </row>
    <row r="768" spans="1:9" x14ac:dyDescent="0.3">
      <c r="A768">
        <v>767</v>
      </c>
      <c r="B768">
        <v>471</v>
      </c>
      <c r="C768">
        <v>396</v>
      </c>
      <c r="D768" s="1">
        <v>0.84079999999999999</v>
      </c>
      <c r="E768">
        <v>75</v>
      </c>
      <c r="F768" s="2">
        <v>6.8287037037037036E-4</v>
      </c>
      <c r="G768" s="2">
        <v>1.8634259259259259E-3</v>
      </c>
      <c r="H768" s="2">
        <v>3.8078703703703703E-3</v>
      </c>
      <c r="I768" s="1">
        <v>0.308</v>
      </c>
    </row>
    <row r="769" spans="1:9" x14ac:dyDescent="0.3">
      <c r="A769">
        <v>768</v>
      </c>
      <c r="B769">
        <v>48</v>
      </c>
      <c r="C769">
        <v>44</v>
      </c>
      <c r="D769" s="1">
        <v>0.91669999999999996</v>
      </c>
      <c r="E769">
        <v>4</v>
      </c>
      <c r="F769" s="2">
        <v>3.3564814814814812E-4</v>
      </c>
      <c r="G769" s="2">
        <v>1.7476851851851852E-3</v>
      </c>
      <c r="H769" s="2">
        <v>2.1643518518518518E-3</v>
      </c>
      <c r="I769" s="1">
        <v>0.65959999999999996</v>
      </c>
    </row>
    <row r="770" spans="1:9" x14ac:dyDescent="0.3">
      <c r="A770">
        <v>769</v>
      </c>
      <c r="B770">
        <v>375</v>
      </c>
      <c r="C770">
        <v>317</v>
      </c>
      <c r="D770" s="1">
        <v>0.84530000000000005</v>
      </c>
      <c r="E770">
        <v>58</v>
      </c>
      <c r="F770" s="2">
        <v>4.9768518518518521E-4</v>
      </c>
      <c r="G770" s="2">
        <v>1.9907407407407408E-3</v>
      </c>
      <c r="H770" s="2">
        <v>3.5416666666666665E-3</v>
      </c>
      <c r="I770" s="1">
        <v>0.40870000000000001</v>
      </c>
    </row>
    <row r="771" spans="1:9" x14ac:dyDescent="0.3">
      <c r="A771">
        <v>770</v>
      </c>
      <c r="B771">
        <v>327</v>
      </c>
      <c r="C771">
        <v>309</v>
      </c>
      <c r="D771" s="1">
        <v>0.94499999999999995</v>
      </c>
      <c r="E771">
        <v>18</v>
      </c>
      <c r="F771" s="2">
        <v>2.5462962962962961E-4</v>
      </c>
      <c r="G771" s="2">
        <v>1.9444444444444444E-3</v>
      </c>
      <c r="H771" s="2">
        <v>2.6157407407407405E-3</v>
      </c>
      <c r="I771" s="1">
        <v>0.68210000000000004</v>
      </c>
    </row>
    <row r="772" spans="1:9" x14ac:dyDescent="0.3">
      <c r="A772">
        <v>771</v>
      </c>
      <c r="B772">
        <v>366</v>
      </c>
      <c r="C772">
        <v>316</v>
      </c>
      <c r="D772" s="1">
        <v>0.86339999999999995</v>
      </c>
      <c r="E772">
        <v>50</v>
      </c>
      <c r="F772" s="2">
        <v>4.2824074074074075E-4</v>
      </c>
      <c r="G772" s="2">
        <v>1.8981481481481482E-3</v>
      </c>
      <c r="H772" s="2">
        <v>3.5995370370370369E-3</v>
      </c>
      <c r="I772" s="1">
        <v>0.53739999999999999</v>
      </c>
    </row>
    <row r="773" spans="1:9" x14ac:dyDescent="0.3">
      <c r="A773">
        <v>772</v>
      </c>
      <c r="B773">
        <v>121</v>
      </c>
      <c r="C773">
        <v>105</v>
      </c>
      <c r="D773" s="1">
        <v>0.86780000000000002</v>
      </c>
      <c r="E773">
        <v>16</v>
      </c>
      <c r="F773" s="2">
        <v>5.4398148148148144E-4</v>
      </c>
      <c r="G773" s="2">
        <v>2.0833333333333333E-3</v>
      </c>
      <c r="H773" s="2">
        <v>6.030092592592593E-3</v>
      </c>
      <c r="I773" s="1">
        <v>0.6</v>
      </c>
    </row>
    <row r="774" spans="1:9" x14ac:dyDescent="0.3">
      <c r="A774">
        <v>773</v>
      </c>
      <c r="B774">
        <v>287</v>
      </c>
      <c r="C774">
        <v>266</v>
      </c>
      <c r="D774" s="1">
        <v>0.92679999999999996</v>
      </c>
      <c r="E774">
        <v>21</v>
      </c>
      <c r="F774" s="2">
        <v>3.9351851851851852E-4</v>
      </c>
      <c r="G774" s="2">
        <v>2.1527777777777778E-3</v>
      </c>
      <c r="H774" s="2">
        <v>2.8703703703703703E-3</v>
      </c>
      <c r="I774" s="1">
        <v>0.59719999999999995</v>
      </c>
    </row>
    <row r="775" spans="1:9" x14ac:dyDescent="0.3">
      <c r="A775">
        <v>774</v>
      </c>
      <c r="B775">
        <v>298</v>
      </c>
      <c r="C775">
        <v>277</v>
      </c>
      <c r="D775" s="1">
        <v>0.92949999999999999</v>
      </c>
      <c r="E775">
        <v>21</v>
      </c>
      <c r="F775" s="2">
        <v>4.5138888888888887E-4</v>
      </c>
      <c r="G775" s="2">
        <v>2.1759259259259258E-3</v>
      </c>
      <c r="H775" s="2">
        <v>2.488425925925926E-3</v>
      </c>
      <c r="I775" s="1">
        <v>0.51180000000000003</v>
      </c>
    </row>
    <row r="776" spans="1:9" x14ac:dyDescent="0.3">
      <c r="A776">
        <v>775</v>
      </c>
      <c r="B776">
        <v>70</v>
      </c>
      <c r="C776">
        <v>56</v>
      </c>
      <c r="D776" s="1">
        <v>0.8</v>
      </c>
      <c r="E776">
        <v>14</v>
      </c>
      <c r="F776" s="2">
        <v>5.3240740740740744E-4</v>
      </c>
      <c r="G776" s="2">
        <v>2.3495370370370371E-3</v>
      </c>
      <c r="H776" s="2">
        <v>3.5648148148148149E-3</v>
      </c>
      <c r="I776" s="1">
        <v>0.45710000000000001</v>
      </c>
    </row>
    <row r="777" spans="1:9" x14ac:dyDescent="0.3">
      <c r="A777">
        <v>776</v>
      </c>
      <c r="B777">
        <v>287</v>
      </c>
      <c r="C777">
        <v>255</v>
      </c>
      <c r="D777" s="1">
        <v>0.88849999999999996</v>
      </c>
      <c r="E777">
        <v>32</v>
      </c>
      <c r="F777" s="2">
        <v>4.6296296296296298E-4</v>
      </c>
      <c r="G777" s="2">
        <v>2.4305555555555556E-3</v>
      </c>
      <c r="H777" s="2">
        <v>2.8819444444444444E-3</v>
      </c>
      <c r="I777" s="1">
        <v>0.46810000000000002</v>
      </c>
    </row>
    <row r="778" spans="1:9" x14ac:dyDescent="0.3">
      <c r="A778">
        <v>777</v>
      </c>
      <c r="B778">
        <v>298</v>
      </c>
      <c r="C778">
        <v>259</v>
      </c>
      <c r="D778" s="1">
        <v>0.86909999999999998</v>
      </c>
      <c r="E778">
        <v>39</v>
      </c>
      <c r="F778" s="2">
        <v>3.4722222222222224E-4</v>
      </c>
      <c r="G778" s="2">
        <v>2.2453703703703702E-3</v>
      </c>
      <c r="H778" s="2">
        <v>5.0347222222222225E-3</v>
      </c>
      <c r="I778" s="1">
        <v>0.57969999999999999</v>
      </c>
    </row>
    <row r="779" spans="1:9" x14ac:dyDescent="0.3">
      <c r="A779">
        <v>778</v>
      </c>
      <c r="B779">
        <v>347</v>
      </c>
      <c r="C779">
        <v>317</v>
      </c>
      <c r="D779" s="1">
        <v>0.91349999999999998</v>
      </c>
      <c r="E779">
        <v>30</v>
      </c>
      <c r="F779" s="2">
        <v>3.4722222222222224E-4</v>
      </c>
      <c r="G779" s="2">
        <v>2.2106481481481482E-3</v>
      </c>
      <c r="H779" s="2">
        <v>4.0740740740740737E-3</v>
      </c>
      <c r="I779" s="1">
        <v>0.59770000000000001</v>
      </c>
    </row>
    <row r="780" spans="1:9" x14ac:dyDescent="0.3">
      <c r="A780">
        <v>779</v>
      </c>
      <c r="B780">
        <v>414</v>
      </c>
      <c r="C780">
        <v>356</v>
      </c>
      <c r="D780" s="1">
        <v>0.8599</v>
      </c>
      <c r="E780">
        <v>58</v>
      </c>
      <c r="F780" s="2">
        <v>4.9768518518518521E-4</v>
      </c>
      <c r="G780" s="2">
        <v>2.3958333333333331E-3</v>
      </c>
      <c r="H780" s="2">
        <v>1.0787037037037038E-2</v>
      </c>
      <c r="I780" s="1">
        <v>0.47149999999999997</v>
      </c>
    </row>
    <row r="781" spans="1:9" x14ac:dyDescent="0.3">
      <c r="A781">
        <v>780</v>
      </c>
      <c r="B781">
        <v>406</v>
      </c>
      <c r="C781">
        <v>362</v>
      </c>
      <c r="D781" s="1">
        <v>0.89159999999999995</v>
      </c>
      <c r="E781">
        <v>44</v>
      </c>
      <c r="F781" s="2">
        <v>4.2824074074074075E-4</v>
      </c>
      <c r="G781" s="2">
        <v>2.1064814814814813E-3</v>
      </c>
      <c r="H781" s="2">
        <v>3.6689814814814814E-3</v>
      </c>
      <c r="I781" s="1">
        <v>0.53480000000000005</v>
      </c>
    </row>
    <row r="782" spans="1:9" x14ac:dyDescent="0.3">
      <c r="A782">
        <v>781</v>
      </c>
      <c r="B782">
        <v>366</v>
      </c>
      <c r="C782">
        <v>322</v>
      </c>
      <c r="D782" s="1">
        <v>0.87980000000000003</v>
      </c>
      <c r="E782">
        <v>44</v>
      </c>
      <c r="F782" s="2">
        <v>4.0509259259259258E-4</v>
      </c>
      <c r="G782" s="2">
        <v>2.1180555555555558E-3</v>
      </c>
      <c r="H782" s="2">
        <v>7.7777777777777776E-3</v>
      </c>
      <c r="I782" s="1">
        <v>0.5706</v>
      </c>
    </row>
    <row r="783" spans="1:9" x14ac:dyDescent="0.3">
      <c r="A783">
        <v>782</v>
      </c>
      <c r="B783">
        <v>68</v>
      </c>
      <c r="C783">
        <v>64</v>
      </c>
      <c r="D783" s="1">
        <v>0.94120000000000004</v>
      </c>
      <c r="E783">
        <v>4</v>
      </c>
      <c r="F783" s="2">
        <v>1.6203703703703703E-4</v>
      </c>
      <c r="G783" s="2">
        <v>2.0601851851851853E-3</v>
      </c>
      <c r="H783" s="2">
        <v>1.4351851851851852E-3</v>
      </c>
      <c r="I783" s="1">
        <v>0.82350000000000001</v>
      </c>
    </row>
    <row r="784" spans="1:9" x14ac:dyDescent="0.3">
      <c r="A784">
        <v>783</v>
      </c>
      <c r="B784">
        <v>350</v>
      </c>
      <c r="C784">
        <v>320</v>
      </c>
      <c r="D784" s="1">
        <v>0.9143</v>
      </c>
      <c r="E784">
        <v>30</v>
      </c>
      <c r="F784" s="2">
        <v>4.2824074074074075E-4</v>
      </c>
      <c r="G784" s="2">
        <v>2.2337962962962962E-3</v>
      </c>
      <c r="H784" s="2">
        <v>3.9236111111111112E-3</v>
      </c>
      <c r="I784" s="1">
        <v>0.54179999999999995</v>
      </c>
    </row>
    <row r="785" spans="1:9" x14ac:dyDescent="0.3">
      <c r="A785">
        <v>784</v>
      </c>
      <c r="B785">
        <v>437</v>
      </c>
      <c r="C785">
        <v>352</v>
      </c>
      <c r="D785" s="1">
        <v>0.80549999999999999</v>
      </c>
      <c r="E785">
        <v>85</v>
      </c>
      <c r="F785" s="2">
        <v>6.018518518518519E-4</v>
      </c>
      <c r="G785" s="2">
        <v>2.0949074074074073E-3</v>
      </c>
      <c r="H785" s="2">
        <v>6.6319444444444446E-3</v>
      </c>
      <c r="I785" s="1">
        <v>0.41260000000000002</v>
      </c>
    </row>
    <row r="786" spans="1:9" x14ac:dyDescent="0.3">
      <c r="A786">
        <v>785</v>
      </c>
      <c r="B786">
        <v>484</v>
      </c>
      <c r="C786">
        <v>438</v>
      </c>
      <c r="D786" s="1">
        <v>0.90500000000000003</v>
      </c>
      <c r="E786">
        <v>46</v>
      </c>
      <c r="F786" s="2">
        <v>5.2083333333333333E-4</v>
      </c>
      <c r="G786" s="2">
        <v>2.0486111111111113E-3</v>
      </c>
      <c r="H786" s="2">
        <v>4.0162037037037041E-3</v>
      </c>
      <c r="I786" s="1">
        <v>0.44790000000000002</v>
      </c>
    </row>
    <row r="787" spans="1:9" x14ac:dyDescent="0.3">
      <c r="A787">
        <v>786</v>
      </c>
      <c r="B787">
        <v>405</v>
      </c>
      <c r="C787">
        <v>368</v>
      </c>
      <c r="D787" s="1">
        <v>0.90859999999999996</v>
      </c>
      <c r="E787">
        <v>37</v>
      </c>
      <c r="F787" s="2">
        <v>4.0509259259259258E-4</v>
      </c>
      <c r="G787" s="2">
        <v>2.1875000000000002E-3</v>
      </c>
      <c r="H787" s="2">
        <v>3.9467592592592592E-3</v>
      </c>
      <c r="I787" s="1">
        <v>0.58099999999999996</v>
      </c>
    </row>
    <row r="788" spans="1:9" x14ac:dyDescent="0.3">
      <c r="A788">
        <v>787</v>
      </c>
      <c r="B788">
        <v>570</v>
      </c>
      <c r="C788">
        <v>368</v>
      </c>
      <c r="D788" s="1">
        <v>0.64559999999999995</v>
      </c>
      <c r="E788">
        <v>202</v>
      </c>
      <c r="F788" s="2">
        <v>8.2175925925925927E-4</v>
      </c>
      <c r="G788" s="2">
        <v>2.3611111111111111E-3</v>
      </c>
      <c r="H788" s="2">
        <v>1.7951388888888888E-2</v>
      </c>
      <c r="I788" s="1">
        <v>0.2354</v>
      </c>
    </row>
    <row r="789" spans="1:9" x14ac:dyDescent="0.3">
      <c r="A789">
        <v>788</v>
      </c>
      <c r="B789">
        <v>424</v>
      </c>
      <c r="C789">
        <v>384</v>
      </c>
      <c r="D789" s="1">
        <v>0.90569999999999995</v>
      </c>
      <c r="E789">
        <v>40</v>
      </c>
      <c r="F789" s="2">
        <v>5.6712962962962967E-4</v>
      </c>
      <c r="G789" s="2">
        <v>2.2453703703703702E-3</v>
      </c>
      <c r="H789" s="2">
        <v>6.2037037037037035E-3</v>
      </c>
      <c r="I789" s="1">
        <v>0.3952</v>
      </c>
    </row>
    <row r="790" spans="1:9" x14ac:dyDescent="0.3">
      <c r="A790">
        <v>789</v>
      </c>
      <c r="B790">
        <v>60</v>
      </c>
      <c r="C790">
        <v>57</v>
      </c>
      <c r="D790" s="1">
        <v>0.95</v>
      </c>
      <c r="E790">
        <v>3</v>
      </c>
      <c r="F790" s="2">
        <v>3.7037037037037035E-4</v>
      </c>
      <c r="G790" s="2">
        <v>2.3032407407407407E-3</v>
      </c>
      <c r="H790" s="2">
        <v>2.0833333333333333E-3</v>
      </c>
      <c r="I790" s="1">
        <v>0.55930000000000002</v>
      </c>
    </row>
    <row r="791" spans="1:9" x14ac:dyDescent="0.3">
      <c r="A791">
        <v>790</v>
      </c>
      <c r="B791">
        <v>497</v>
      </c>
      <c r="C791">
        <v>442</v>
      </c>
      <c r="D791" s="1">
        <v>0.88929999999999998</v>
      </c>
      <c r="E791">
        <v>55</v>
      </c>
      <c r="F791" s="2">
        <v>5.5555555555555556E-4</v>
      </c>
      <c r="G791" s="2">
        <v>1.1111111111111111E-3</v>
      </c>
      <c r="H791" s="2">
        <v>7.4652777777777781E-3</v>
      </c>
      <c r="I791" s="1">
        <v>0.57579999999999998</v>
      </c>
    </row>
    <row r="792" spans="1:9" x14ac:dyDescent="0.3">
      <c r="A792">
        <v>791</v>
      </c>
      <c r="B792">
        <v>429</v>
      </c>
      <c r="C792">
        <v>378</v>
      </c>
      <c r="D792" s="1">
        <v>0.88109999999999999</v>
      </c>
      <c r="E792">
        <v>51</v>
      </c>
      <c r="F792" s="2">
        <v>4.2824074074074075E-4</v>
      </c>
      <c r="G792" s="2">
        <v>1.4467592592592592E-3</v>
      </c>
      <c r="H792" s="2">
        <v>7.5810185185185182E-3</v>
      </c>
      <c r="I792" s="1">
        <v>0.55289999999999995</v>
      </c>
    </row>
    <row r="793" spans="1:9" x14ac:dyDescent="0.3">
      <c r="A793">
        <v>792</v>
      </c>
      <c r="B793">
        <v>499</v>
      </c>
      <c r="C793">
        <v>388</v>
      </c>
      <c r="D793" s="1">
        <v>0.77759999999999996</v>
      </c>
      <c r="E793">
        <v>111</v>
      </c>
      <c r="F793" s="2">
        <v>6.2500000000000001E-4</v>
      </c>
      <c r="G793" s="2">
        <v>1.5625000000000001E-3</v>
      </c>
      <c r="H793" s="2">
        <v>1.1793981481481482E-2</v>
      </c>
      <c r="I793" s="1">
        <v>0.47760000000000002</v>
      </c>
    </row>
    <row r="794" spans="1:9" x14ac:dyDescent="0.3">
      <c r="A794">
        <v>793</v>
      </c>
      <c r="B794">
        <v>510</v>
      </c>
      <c r="C794">
        <v>434</v>
      </c>
      <c r="D794" s="1">
        <v>0.85099999999999998</v>
      </c>
      <c r="E794">
        <v>76</v>
      </c>
      <c r="F794" s="2">
        <v>5.5555555555555556E-4</v>
      </c>
      <c r="G794" s="2">
        <v>2.4189814814814816E-3</v>
      </c>
      <c r="H794" s="2">
        <v>7.1875000000000003E-3</v>
      </c>
      <c r="I794" s="1">
        <v>0.4219</v>
      </c>
    </row>
    <row r="795" spans="1:9" x14ac:dyDescent="0.3">
      <c r="A795">
        <v>794</v>
      </c>
      <c r="B795">
        <v>549</v>
      </c>
      <c r="C795">
        <v>458</v>
      </c>
      <c r="D795" s="1">
        <v>0.83420000000000005</v>
      </c>
      <c r="E795">
        <v>91</v>
      </c>
      <c r="F795" s="2">
        <v>8.4490740740740739E-4</v>
      </c>
      <c r="G795" s="2">
        <v>2.488425925925926E-3</v>
      </c>
      <c r="H795" s="2">
        <v>6.3888888888888893E-3</v>
      </c>
      <c r="I795" s="1">
        <v>0.29070000000000001</v>
      </c>
    </row>
    <row r="796" spans="1:9" x14ac:dyDescent="0.3">
      <c r="A796">
        <v>795</v>
      </c>
      <c r="B796">
        <v>590</v>
      </c>
      <c r="C796">
        <v>444</v>
      </c>
      <c r="D796" s="1">
        <v>0.75249999999999995</v>
      </c>
      <c r="E796">
        <v>146</v>
      </c>
      <c r="F796" s="2">
        <v>9.6064814814814819E-4</v>
      </c>
      <c r="G796" s="2">
        <v>2.476851851851852E-3</v>
      </c>
      <c r="H796" s="2">
        <v>6.2268518518518515E-3</v>
      </c>
      <c r="I796" s="1">
        <v>0.1903</v>
      </c>
    </row>
    <row r="797" spans="1:9" x14ac:dyDescent="0.3">
      <c r="A797">
        <v>796</v>
      </c>
      <c r="B797">
        <v>137</v>
      </c>
      <c r="C797">
        <v>120</v>
      </c>
      <c r="D797" s="1">
        <v>0.87590000000000001</v>
      </c>
      <c r="E797">
        <v>17</v>
      </c>
      <c r="F797" s="2">
        <v>6.7129629629629625E-4</v>
      </c>
      <c r="G797" s="2">
        <v>2.2106481481481482E-3</v>
      </c>
      <c r="H797" s="2">
        <v>3.7268518518518519E-3</v>
      </c>
      <c r="I797" s="1">
        <v>0.33090000000000003</v>
      </c>
    </row>
    <row r="798" spans="1:9" x14ac:dyDescent="0.3">
      <c r="A798">
        <v>797</v>
      </c>
      <c r="B798">
        <v>598</v>
      </c>
      <c r="C798">
        <v>476</v>
      </c>
      <c r="D798" s="1">
        <v>0.79600000000000004</v>
      </c>
      <c r="E798">
        <v>122</v>
      </c>
      <c r="F798" s="2">
        <v>6.7129629629629625E-4</v>
      </c>
      <c r="G798" s="2">
        <v>2.5347222222222221E-3</v>
      </c>
      <c r="H798" s="2">
        <v>6.076388888888889E-3</v>
      </c>
      <c r="I798" s="1">
        <v>0.32029999999999997</v>
      </c>
    </row>
    <row r="799" spans="1:9" x14ac:dyDescent="0.3">
      <c r="A799">
        <v>798</v>
      </c>
      <c r="B799">
        <v>231</v>
      </c>
      <c r="C799">
        <v>180</v>
      </c>
      <c r="D799" s="1">
        <v>0.7792</v>
      </c>
      <c r="E799">
        <v>51</v>
      </c>
      <c r="F799" s="2">
        <v>7.407407407407407E-4</v>
      </c>
      <c r="G799" s="2">
        <v>2.4652777777777776E-3</v>
      </c>
      <c r="H799" s="2">
        <v>6.3310185185185188E-3</v>
      </c>
      <c r="I799" s="1">
        <v>0.33779999999999999</v>
      </c>
    </row>
    <row r="800" spans="1:9" x14ac:dyDescent="0.3">
      <c r="A800">
        <v>799</v>
      </c>
      <c r="B800">
        <v>724</v>
      </c>
      <c r="C800">
        <v>362</v>
      </c>
      <c r="D800" s="1">
        <v>0.5</v>
      </c>
      <c r="E800">
        <v>362</v>
      </c>
      <c r="F800" s="2">
        <v>1.4004629629629629E-3</v>
      </c>
      <c r="G800" s="2">
        <v>2.7199074074074074E-3</v>
      </c>
      <c r="H800" s="2">
        <v>8.5416666666666662E-3</v>
      </c>
      <c r="I800" s="1">
        <v>0.1166</v>
      </c>
    </row>
    <row r="801" spans="1:9" x14ac:dyDescent="0.3">
      <c r="A801">
        <v>800</v>
      </c>
      <c r="B801">
        <v>732</v>
      </c>
      <c r="C801">
        <v>367</v>
      </c>
      <c r="D801" s="1">
        <v>0.50139999999999996</v>
      </c>
      <c r="E801">
        <v>365</v>
      </c>
      <c r="F801" s="2">
        <v>1.9444444444444444E-3</v>
      </c>
      <c r="G801" s="2">
        <v>1.9907407407407408E-3</v>
      </c>
      <c r="H801" s="2">
        <v>1.1550925925925926E-2</v>
      </c>
      <c r="I801" s="1">
        <v>8.09E-2</v>
      </c>
    </row>
    <row r="802" spans="1:9" x14ac:dyDescent="0.3">
      <c r="A802">
        <v>801</v>
      </c>
      <c r="B802">
        <v>582</v>
      </c>
      <c r="C802">
        <v>301</v>
      </c>
      <c r="D802" s="1">
        <v>0.51719999999999999</v>
      </c>
      <c r="E802">
        <v>281</v>
      </c>
      <c r="F802" s="2">
        <v>1.8634259259259259E-3</v>
      </c>
      <c r="G802" s="2">
        <v>2.9282407407407408E-3</v>
      </c>
      <c r="H802" s="2">
        <v>1.5069444444444444E-2</v>
      </c>
      <c r="I802" s="1">
        <v>0.1208</v>
      </c>
    </row>
    <row r="803" spans="1:9" x14ac:dyDescent="0.3">
      <c r="A803">
        <v>802</v>
      </c>
      <c r="B803">
        <v>621</v>
      </c>
      <c r="C803">
        <v>344</v>
      </c>
      <c r="D803" s="1">
        <v>0.55389999999999995</v>
      </c>
      <c r="E803">
        <v>277</v>
      </c>
      <c r="F803" s="2">
        <v>1.4699074074074074E-3</v>
      </c>
      <c r="G803" s="2">
        <v>2.4189814814814816E-3</v>
      </c>
      <c r="H803" s="2">
        <v>8.611111111111111E-3</v>
      </c>
      <c r="I803" s="1">
        <v>0.1447</v>
      </c>
    </row>
    <row r="804" spans="1:9" x14ac:dyDescent="0.3">
      <c r="A804">
        <v>803</v>
      </c>
      <c r="B804">
        <v>116</v>
      </c>
      <c r="C804">
        <v>106</v>
      </c>
      <c r="D804" s="1">
        <v>0.91379999999999995</v>
      </c>
      <c r="E804">
        <v>10</v>
      </c>
      <c r="F804" s="2">
        <v>3.9351851851851852E-4</v>
      </c>
      <c r="G804" s="2">
        <v>3.0439814814814813E-3</v>
      </c>
      <c r="H804" s="2">
        <v>3.2870370370370371E-3</v>
      </c>
      <c r="I804" s="1">
        <v>0.62929999999999997</v>
      </c>
    </row>
    <row r="805" spans="1:9" x14ac:dyDescent="0.3">
      <c r="A805">
        <v>804</v>
      </c>
      <c r="B805">
        <v>533</v>
      </c>
      <c r="C805">
        <v>300</v>
      </c>
      <c r="D805" s="1">
        <v>0.56289999999999996</v>
      </c>
      <c r="E805">
        <v>233</v>
      </c>
      <c r="F805" s="2">
        <v>1.5277777777777779E-3</v>
      </c>
      <c r="G805" s="2">
        <v>2.8124999999999999E-3</v>
      </c>
      <c r="H805" s="2">
        <v>8.611111111111111E-3</v>
      </c>
      <c r="I805" s="1">
        <v>0.1255</v>
      </c>
    </row>
    <row r="806" spans="1:9" x14ac:dyDescent="0.3">
      <c r="A806">
        <v>805</v>
      </c>
      <c r="B806">
        <v>416</v>
      </c>
      <c r="C806">
        <v>322</v>
      </c>
      <c r="D806" s="1">
        <v>0.77400000000000002</v>
      </c>
      <c r="E806">
        <v>94</v>
      </c>
      <c r="F806" s="2">
        <v>7.407407407407407E-4</v>
      </c>
      <c r="G806" s="2">
        <v>2.476851851851852E-3</v>
      </c>
      <c r="H806" s="2">
        <v>4.3055555555555555E-3</v>
      </c>
      <c r="I806" s="1">
        <v>0.38590000000000002</v>
      </c>
    </row>
    <row r="807" spans="1:9" x14ac:dyDescent="0.3">
      <c r="A807">
        <v>806</v>
      </c>
      <c r="B807">
        <v>415</v>
      </c>
      <c r="C807">
        <v>259</v>
      </c>
      <c r="D807" s="1">
        <v>0.62409999999999999</v>
      </c>
      <c r="E807">
        <v>156</v>
      </c>
      <c r="F807" s="2">
        <v>1.5046296296296296E-3</v>
      </c>
      <c r="G807" s="2">
        <v>2.7430555555555554E-3</v>
      </c>
      <c r="H807" s="2">
        <v>9.4675925925925934E-3</v>
      </c>
      <c r="I807" s="1">
        <v>0.1789</v>
      </c>
    </row>
    <row r="808" spans="1:9" x14ac:dyDescent="0.3">
      <c r="A808">
        <v>807</v>
      </c>
      <c r="B808">
        <v>433</v>
      </c>
      <c r="C808">
        <v>289</v>
      </c>
      <c r="D808" s="1">
        <v>0.66739999999999999</v>
      </c>
      <c r="E808">
        <v>144</v>
      </c>
      <c r="F808" s="2">
        <v>1.1805555555555556E-3</v>
      </c>
      <c r="G808" s="2">
        <v>2.4074074074074076E-3</v>
      </c>
      <c r="H808" s="2">
        <v>9.1666666666666667E-3</v>
      </c>
      <c r="I808" s="1">
        <v>0.22950000000000001</v>
      </c>
    </row>
    <row r="809" spans="1:9" x14ac:dyDescent="0.3">
      <c r="A809">
        <v>808</v>
      </c>
      <c r="B809">
        <v>454</v>
      </c>
      <c r="C809">
        <v>284</v>
      </c>
      <c r="D809" s="1">
        <v>0.62560000000000004</v>
      </c>
      <c r="E809">
        <v>170</v>
      </c>
      <c r="F809" s="2">
        <v>1.3078703703703703E-3</v>
      </c>
      <c r="G809" s="2">
        <v>2.476851851851852E-3</v>
      </c>
      <c r="H809" s="2">
        <v>1.3449074074074073E-2</v>
      </c>
      <c r="I809" s="1">
        <v>0.24440000000000001</v>
      </c>
    </row>
    <row r="810" spans="1:9" x14ac:dyDescent="0.3">
      <c r="A810">
        <v>809</v>
      </c>
      <c r="B810">
        <v>244</v>
      </c>
      <c r="C810">
        <v>195</v>
      </c>
      <c r="D810" s="1">
        <v>0.79920000000000002</v>
      </c>
      <c r="E810">
        <v>49</v>
      </c>
      <c r="F810" s="2">
        <v>9.837962962962962E-4</v>
      </c>
      <c r="G810" s="2">
        <v>2.673611111111111E-3</v>
      </c>
      <c r="H810" s="2">
        <v>7.8935185185185185E-3</v>
      </c>
      <c r="I810" s="1">
        <v>0.36670000000000003</v>
      </c>
    </row>
    <row r="811" spans="1:9" x14ac:dyDescent="0.3">
      <c r="A811">
        <v>810</v>
      </c>
      <c r="B811">
        <v>51</v>
      </c>
      <c r="C811">
        <v>48</v>
      </c>
      <c r="D811" s="1">
        <v>0.94120000000000004</v>
      </c>
      <c r="E811">
        <v>3</v>
      </c>
      <c r="F811" s="2">
        <v>1.6203703703703703E-4</v>
      </c>
      <c r="G811" s="2">
        <v>2.3842592592592591E-3</v>
      </c>
      <c r="H811" s="2">
        <v>2.3263888888888887E-3</v>
      </c>
      <c r="I811" s="1">
        <v>0.84309999999999996</v>
      </c>
    </row>
    <row r="812" spans="1:9" x14ac:dyDescent="0.3">
      <c r="A812">
        <v>811</v>
      </c>
      <c r="B812">
        <v>202</v>
      </c>
      <c r="C812">
        <v>176</v>
      </c>
      <c r="D812" s="1">
        <v>0.87129999999999996</v>
      </c>
      <c r="E812">
        <v>26</v>
      </c>
      <c r="F812" s="2">
        <v>2.7777777777777778E-4</v>
      </c>
      <c r="G812" s="2">
        <v>2.5694444444444445E-3</v>
      </c>
      <c r="H812" s="2">
        <v>3.7962962962962963E-3</v>
      </c>
      <c r="I812" s="1">
        <v>0.67159999999999997</v>
      </c>
    </row>
    <row r="813" spans="1:9" x14ac:dyDescent="0.3">
      <c r="A813">
        <v>812</v>
      </c>
      <c r="B813">
        <v>128</v>
      </c>
      <c r="C813">
        <v>118</v>
      </c>
      <c r="D813" s="1">
        <v>0.92190000000000005</v>
      </c>
      <c r="E813">
        <v>10</v>
      </c>
      <c r="F813" s="2">
        <v>3.4722222222222224E-4</v>
      </c>
      <c r="G813" s="2">
        <v>2.5694444444444445E-3</v>
      </c>
      <c r="H813" s="2">
        <v>5.4745370370370373E-3</v>
      </c>
      <c r="I813" s="1">
        <v>0.74019999999999997</v>
      </c>
    </row>
    <row r="814" spans="1:9" x14ac:dyDescent="0.3">
      <c r="A814">
        <v>813</v>
      </c>
      <c r="B814">
        <v>102</v>
      </c>
      <c r="C814">
        <v>100</v>
      </c>
      <c r="D814" s="1">
        <v>0.98040000000000005</v>
      </c>
      <c r="E814">
        <v>2</v>
      </c>
      <c r="F814" s="2">
        <v>1.6203703703703703E-4</v>
      </c>
      <c r="G814" s="2">
        <v>2.4537037037037036E-3</v>
      </c>
      <c r="H814" s="2">
        <v>2.1875000000000002E-3</v>
      </c>
      <c r="I814" s="1">
        <v>0.85289999999999999</v>
      </c>
    </row>
    <row r="815" spans="1:9" x14ac:dyDescent="0.3">
      <c r="A815">
        <v>814</v>
      </c>
      <c r="B815">
        <v>201</v>
      </c>
      <c r="C815">
        <v>169</v>
      </c>
      <c r="D815" s="1">
        <v>0.84079999999999999</v>
      </c>
      <c r="E815">
        <v>32</v>
      </c>
      <c r="F815" s="2">
        <v>3.7037037037037035E-4</v>
      </c>
      <c r="G815" s="2">
        <v>2.3726851851851851E-3</v>
      </c>
      <c r="H815" s="2">
        <v>4.3055555555555555E-3</v>
      </c>
      <c r="I815" s="1">
        <v>0.58079999999999998</v>
      </c>
    </row>
    <row r="816" spans="1:9" x14ac:dyDescent="0.3">
      <c r="A816">
        <v>815</v>
      </c>
      <c r="B816">
        <v>261</v>
      </c>
      <c r="C816">
        <v>195</v>
      </c>
      <c r="D816" s="1">
        <v>0.74709999999999999</v>
      </c>
      <c r="E816">
        <v>66</v>
      </c>
      <c r="F816" s="2">
        <v>7.0601851851851847E-4</v>
      </c>
      <c r="G816" s="2">
        <v>2.3958333333333331E-3</v>
      </c>
      <c r="H816" s="2">
        <v>5.4976851851851853E-3</v>
      </c>
      <c r="I816" s="1">
        <v>0.37980000000000003</v>
      </c>
    </row>
    <row r="817" spans="1:9" x14ac:dyDescent="0.3">
      <c r="A817">
        <v>816</v>
      </c>
      <c r="B817">
        <v>201</v>
      </c>
      <c r="C817">
        <v>173</v>
      </c>
      <c r="D817" s="1">
        <v>0.86070000000000002</v>
      </c>
      <c r="E817">
        <v>28</v>
      </c>
      <c r="F817" s="2">
        <v>4.7453703703703704E-4</v>
      </c>
      <c r="G817" s="2">
        <v>2.2569444444444442E-3</v>
      </c>
      <c r="H817" s="2">
        <v>4.7453703703703703E-3</v>
      </c>
      <c r="I817" s="1">
        <v>0.59499999999999997</v>
      </c>
    </row>
    <row r="818" spans="1:9" x14ac:dyDescent="0.3">
      <c r="A818">
        <v>817</v>
      </c>
      <c r="B818">
        <v>64</v>
      </c>
      <c r="C818">
        <v>61</v>
      </c>
      <c r="D818" s="1">
        <v>0.95309999999999995</v>
      </c>
      <c r="E818">
        <v>3</v>
      </c>
      <c r="F818" s="2">
        <v>1.0416666666666667E-4</v>
      </c>
      <c r="G818" s="2">
        <v>2.2569444444444442E-3</v>
      </c>
      <c r="H818" s="2">
        <v>1.6550925925925926E-3</v>
      </c>
      <c r="I818" s="1">
        <v>0.92059999999999997</v>
      </c>
    </row>
    <row r="819" spans="1:9" x14ac:dyDescent="0.3">
      <c r="A819">
        <v>818</v>
      </c>
      <c r="B819">
        <v>200</v>
      </c>
      <c r="C819">
        <v>168</v>
      </c>
      <c r="D819" s="1">
        <v>0.84</v>
      </c>
      <c r="E819">
        <v>32</v>
      </c>
      <c r="F819" s="2">
        <v>5.9027777777777778E-4</v>
      </c>
      <c r="G819" s="2">
        <v>2.3495370370370371E-3</v>
      </c>
      <c r="H819" s="2">
        <v>4.6990740740740743E-3</v>
      </c>
      <c r="I819" s="1">
        <v>0.4874</v>
      </c>
    </row>
    <row r="820" spans="1:9" x14ac:dyDescent="0.3">
      <c r="A820">
        <v>819</v>
      </c>
      <c r="B820">
        <v>158</v>
      </c>
      <c r="C820">
        <v>148</v>
      </c>
      <c r="D820" s="1">
        <v>0.93669999999999998</v>
      </c>
      <c r="E820">
        <v>10</v>
      </c>
      <c r="F820" s="2">
        <v>3.4722222222222224E-4</v>
      </c>
      <c r="G820" s="2">
        <v>2.2800925925925927E-3</v>
      </c>
      <c r="H820" s="2">
        <v>2.8703703703703703E-3</v>
      </c>
      <c r="I820" s="1">
        <v>0.56689999999999996</v>
      </c>
    </row>
    <row r="821" spans="1:9" x14ac:dyDescent="0.3">
      <c r="A821">
        <v>820</v>
      </c>
      <c r="B821">
        <v>174</v>
      </c>
      <c r="C821">
        <v>155</v>
      </c>
      <c r="D821" s="1">
        <v>0.89080000000000004</v>
      </c>
      <c r="E821">
        <v>19</v>
      </c>
      <c r="F821" s="2">
        <v>3.0092592592592595E-4</v>
      </c>
      <c r="G821" s="2">
        <v>2.0949074074074073E-3</v>
      </c>
      <c r="H821" s="2">
        <v>3.5879629629629629E-3</v>
      </c>
      <c r="I821" s="1">
        <v>0.62350000000000005</v>
      </c>
    </row>
    <row r="822" spans="1:9" x14ac:dyDescent="0.3">
      <c r="A822">
        <v>821</v>
      </c>
      <c r="B822">
        <v>67</v>
      </c>
      <c r="C822">
        <v>64</v>
      </c>
      <c r="D822" s="1">
        <v>0.95520000000000005</v>
      </c>
      <c r="E822">
        <v>3</v>
      </c>
      <c r="F822" s="2">
        <v>3.0092592592592595E-4</v>
      </c>
      <c r="G822" s="2">
        <v>2.4421296296296296E-3</v>
      </c>
      <c r="H822" s="2">
        <v>3.449074074074074E-3</v>
      </c>
      <c r="I822" s="1">
        <v>0.71209999999999996</v>
      </c>
    </row>
    <row r="823" spans="1:9" x14ac:dyDescent="0.3">
      <c r="A823">
        <v>822</v>
      </c>
      <c r="B823">
        <v>24</v>
      </c>
      <c r="C823">
        <v>23</v>
      </c>
      <c r="D823" s="1">
        <v>0.95830000000000004</v>
      </c>
      <c r="E823">
        <v>1</v>
      </c>
      <c r="F823" s="2">
        <v>2.6620370370370372E-4</v>
      </c>
      <c r="G823" s="2">
        <v>1.9675925925925924E-3</v>
      </c>
      <c r="H823" s="2">
        <v>1.4004629629629629E-3</v>
      </c>
      <c r="I823" s="1">
        <v>0.75</v>
      </c>
    </row>
    <row r="824" spans="1:9" x14ac:dyDescent="0.3">
      <c r="A824">
        <v>823</v>
      </c>
      <c r="B824">
        <v>106</v>
      </c>
      <c r="C824">
        <v>92</v>
      </c>
      <c r="D824" s="1">
        <v>0.8679</v>
      </c>
      <c r="E824">
        <v>14</v>
      </c>
      <c r="F824" s="2">
        <v>5.0925925925925921E-4</v>
      </c>
      <c r="G824" s="2">
        <v>2.1180555555555558E-3</v>
      </c>
      <c r="H824" s="2">
        <v>3.5185185185185185E-3</v>
      </c>
      <c r="I824" s="1">
        <v>0.45629999999999998</v>
      </c>
    </row>
    <row r="825" spans="1:9" x14ac:dyDescent="0.3">
      <c r="A825">
        <v>824</v>
      </c>
      <c r="B825">
        <v>52</v>
      </c>
      <c r="C825">
        <v>50</v>
      </c>
      <c r="D825" s="1">
        <v>0.96150000000000002</v>
      </c>
      <c r="E825">
        <v>2</v>
      </c>
      <c r="F825" s="2">
        <v>1.273148148148148E-4</v>
      </c>
      <c r="G825" s="2">
        <v>2.3032407407407407E-3</v>
      </c>
      <c r="H825" s="2">
        <v>9.7222222222222219E-4</v>
      </c>
      <c r="I825" s="1">
        <v>0.88460000000000005</v>
      </c>
    </row>
    <row r="826" spans="1:9" x14ac:dyDescent="0.3">
      <c r="A826">
        <v>825</v>
      </c>
      <c r="B826">
        <v>223</v>
      </c>
      <c r="C826">
        <v>203</v>
      </c>
      <c r="D826" s="1">
        <v>0.9103</v>
      </c>
      <c r="E826">
        <v>20</v>
      </c>
      <c r="F826" s="2">
        <v>3.5879629629629629E-4</v>
      </c>
      <c r="G826" s="2">
        <v>2.2916666666666667E-3</v>
      </c>
      <c r="H826" s="2">
        <v>2.9050925925925928E-3</v>
      </c>
      <c r="I826" s="1">
        <v>0.621</v>
      </c>
    </row>
    <row r="827" spans="1:9" x14ac:dyDescent="0.3">
      <c r="A827">
        <v>826</v>
      </c>
      <c r="B827">
        <v>274</v>
      </c>
      <c r="C827">
        <v>233</v>
      </c>
      <c r="D827" s="1">
        <v>0.85040000000000004</v>
      </c>
      <c r="E827">
        <v>41</v>
      </c>
      <c r="F827" s="2">
        <v>5.5555555555555556E-4</v>
      </c>
      <c r="G827" s="2">
        <v>2.3958333333333331E-3</v>
      </c>
      <c r="H827" s="2">
        <v>3.5879629629629629E-3</v>
      </c>
      <c r="I827" s="1">
        <v>0.36059999999999998</v>
      </c>
    </row>
    <row r="828" spans="1:9" x14ac:dyDescent="0.3">
      <c r="A828">
        <v>827</v>
      </c>
      <c r="B828">
        <v>280</v>
      </c>
      <c r="C828">
        <v>263</v>
      </c>
      <c r="D828" s="1">
        <v>0.93930000000000002</v>
      </c>
      <c r="E828">
        <v>17</v>
      </c>
      <c r="F828" s="2">
        <v>2.6620370370370372E-4</v>
      </c>
      <c r="G828" s="2">
        <v>2.2337962962962962E-3</v>
      </c>
      <c r="H828" s="2">
        <v>2.662037037037037E-3</v>
      </c>
      <c r="I828" s="1">
        <v>0.6764</v>
      </c>
    </row>
    <row r="829" spans="1:9" x14ac:dyDescent="0.3">
      <c r="A829">
        <v>828</v>
      </c>
      <c r="B829">
        <v>534</v>
      </c>
      <c r="C829">
        <v>468</v>
      </c>
      <c r="D829" s="1">
        <v>0.87639999999999996</v>
      </c>
      <c r="E829">
        <v>66</v>
      </c>
      <c r="F829" s="2">
        <v>3.4722222222222224E-4</v>
      </c>
      <c r="G829" s="2">
        <v>1.9212962962962964E-3</v>
      </c>
      <c r="H829" s="2">
        <v>3.2291666666666666E-3</v>
      </c>
      <c r="I829" s="1">
        <v>0.57469999999999999</v>
      </c>
    </row>
    <row r="830" spans="1:9" x14ac:dyDescent="0.3">
      <c r="A830">
        <v>829</v>
      </c>
      <c r="B830">
        <v>315</v>
      </c>
      <c r="C830">
        <v>300</v>
      </c>
      <c r="D830" s="1">
        <v>0.95240000000000002</v>
      </c>
      <c r="E830">
        <v>15</v>
      </c>
      <c r="F830" s="2">
        <v>2.7777777777777778E-4</v>
      </c>
      <c r="G830" s="2">
        <v>2.2106481481481482E-3</v>
      </c>
      <c r="H830" s="2">
        <v>1.9675925925925924E-3</v>
      </c>
      <c r="I830" s="1">
        <v>0.70230000000000004</v>
      </c>
    </row>
    <row r="831" spans="1:9" x14ac:dyDescent="0.3">
      <c r="A831">
        <v>830</v>
      </c>
      <c r="B831">
        <v>122</v>
      </c>
      <c r="C831">
        <v>113</v>
      </c>
      <c r="D831" s="1">
        <v>0.92620000000000002</v>
      </c>
      <c r="E831">
        <v>9</v>
      </c>
      <c r="F831" s="2">
        <v>2.3148148148148149E-4</v>
      </c>
      <c r="G831" s="2">
        <v>2.0601851851851853E-3</v>
      </c>
      <c r="H831" s="2">
        <v>1.6087962962962963E-3</v>
      </c>
      <c r="I831" s="1">
        <v>0.76670000000000005</v>
      </c>
    </row>
    <row r="832" spans="1:9" x14ac:dyDescent="0.3">
      <c r="A832">
        <v>831</v>
      </c>
      <c r="B832">
        <v>63</v>
      </c>
      <c r="C832">
        <v>60</v>
      </c>
      <c r="D832" s="1">
        <v>0.95240000000000002</v>
      </c>
      <c r="E832">
        <v>3</v>
      </c>
      <c r="F832" s="2">
        <v>2.4305555555555555E-4</v>
      </c>
      <c r="G832" s="2">
        <v>1.9791666666666668E-3</v>
      </c>
      <c r="H832" s="2">
        <v>1.9907407407407408E-3</v>
      </c>
      <c r="I832" s="1">
        <v>0.7419</v>
      </c>
    </row>
    <row r="833" spans="1:9" x14ac:dyDescent="0.3">
      <c r="A833">
        <v>832</v>
      </c>
      <c r="B833">
        <v>402</v>
      </c>
      <c r="C833">
        <v>368</v>
      </c>
      <c r="D833" s="1">
        <v>0.91539999999999999</v>
      </c>
      <c r="E833">
        <v>34</v>
      </c>
      <c r="F833" s="2">
        <v>3.7037037037037035E-4</v>
      </c>
      <c r="G833" s="2">
        <v>2.1643518518518518E-3</v>
      </c>
      <c r="H833" s="2">
        <v>2.1527777777777778E-3</v>
      </c>
      <c r="I833" s="1">
        <v>0.54179999999999995</v>
      </c>
    </row>
    <row r="834" spans="1:9" x14ac:dyDescent="0.3">
      <c r="A834">
        <v>833</v>
      </c>
      <c r="B834">
        <v>413</v>
      </c>
      <c r="C834">
        <v>370</v>
      </c>
      <c r="D834" s="1">
        <v>0.89590000000000003</v>
      </c>
      <c r="E834">
        <v>43</v>
      </c>
      <c r="F834" s="2">
        <v>3.3564814814814812E-4</v>
      </c>
      <c r="G834" s="2">
        <v>2.1990740740740742E-3</v>
      </c>
      <c r="H834" s="2">
        <v>2.3379629629629631E-3</v>
      </c>
      <c r="I834" s="1">
        <v>0.58420000000000005</v>
      </c>
    </row>
    <row r="835" spans="1:9" x14ac:dyDescent="0.3">
      <c r="A835">
        <v>834</v>
      </c>
      <c r="B835">
        <v>389</v>
      </c>
      <c r="C835">
        <v>346</v>
      </c>
      <c r="D835" s="1">
        <v>0.88949999999999996</v>
      </c>
      <c r="E835">
        <v>43</v>
      </c>
      <c r="F835" s="2">
        <v>4.1666666666666669E-4</v>
      </c>
      <c r="G835" s="2">
        <v>2.3263888888888887E-3</v>
      </c>
      <c r="H835" s="2">
        <v>3.5879629629629629E-3</v>
      </c>
      <c r="I835" s="1">
        <v>0.49869999999999998</v>
      </c>
    </row>
    <row r="836" spans="1:9" x14ac:dyDescent="0.3">
      <c r="A836">
        <v>835</v>
      </c>
      <c r="B836">
        <v>495</v>
      </c>
      <c r="C836">
        <v>308</v>
      </c>
      <c r="D836" s="1">
        <v>0.62219999999999998</v>
      </c>
      <c r="E836">
        <v>187</v>
      </c>
      <c r="F836" s="2">
        <v>1.0532407407407407E-3</v>
      </c>
      <c r="G836" s="2">
        <v>2.3726851851851851E-3</v>
      </c>
      <c r="H836" s="2">
        <v>1.1516203703703704E-2</v>
      </c>
      <c r="I836" s="1">
        <v>0.18559999999999999</v>
      </c>
    </row>
    <row r="837" spans="1:9" x14ac:dyDescent="0.3">
      <c r="A837">
        <v>836</v>
      </c>
      <c r="B837">
        <v>712</v>
      </c>
      <c r="C837">
        <v>340</v>
      </c>
      <c r="D837" s="1">
        <v>0.47749999999999998</v>
      </c>
      <c r="E837">
        <v>372</v>
      </c>
      <c r="F837" s="2">
        <v>1.3888888888888889E-3</v>
      </c>
      <c r="G837" s="2">
        <v>2.3842592592592591E-3</v>
      </c>
      <c r="H837" s="2">
        <v>1.1400462962962963E-2</v>
      </c>
      <c r="I837" s="1">
        <v>0.1226</v>
      </c>
    </row>
    <row r="838" spans="1:9" x14ac:dyDescent="0.3">
      <c r="A838">
        <v>837</v>
      </c>
      <c r="B838">
        <v>1057</v>
      </c>
      <c r="C838">
        <v>602</v>
      </c>
      <c r="D838" s="1">
        <v>0.56950000000000001</v>
      </c>
      <c r="E838">
        <v>455</v>
      </c>
      <c r="F838" s="2">
        <v>1.2037037037037038E-3</v>
      </c>
      <c r="G838" s="2">
        <v>1.7708333333333332E-3</v>
      </c>
      <c r="H838" s="2">
        <v>8.611111111111111E-3</v>
      </c>
      <c r="I838" s="1">
        <v>0.1149</v>
      </c>
    </row>
    <row r="839" spans="1:9" x14ac:dyDescent="0.3">
      <c r="A839">
        <v>838</v>
      </c>
      <c r="B839">
        <v>620</v>
      </c>
      <c r="C839">
        <v>321</v>
      </c>
      <c r="D839" s="1">
        <v>0.51770000000000005</v>
      </c>
      <c r="E839">
        <v>299</v>
      </c>
      <c r="F839" s="2">
        <v>1.8749999999999999E-3</v>
      </c>
      <c r="G839" s="2">
        <v>2.2337962962962962E-3</v>
      </c>
      <c r="H839" s="2">
        <v>1.150462962962963E-2</v>
      </c>
      <c r="I839" s="1">
        <v>0.1087</v>
      </c>
    </row>
    <row r="840" spans="1:9" x14ac:dyDescent="0.3">
      <c r="A840">
        <v>839</v>
      </c>
      <c r="B840">
        <v>1575</v>
      </c>
      <c r="C840">
        <v>871</v>
      </c>
      <c r="D840" s="1">
        <v>0.55300000000000005</v>
      </c>
      <c r="E840">
        <v>704</v>
      </c>
      <c r="F840" s="2">
        <v>1.0648148148148149E-3</v>
      </c>
      <c r="G840" s="2">
        <v>1.7708333333333332E-3</v>
      </c>
      <c r="H840" s="2">
        <v>1.579861111111111E-2</v>
      </c>
      <c r="I840" s="1">
        <v>0.13930000000000001</v>
      </c>
    </row>
    <row r="841" spans="1:9" x14ac:dyDescent="0.3">
      <c r="A841">
        <v>840</v>
      </c>
      <c r="B841">
        <v>1349</v>
      </c>
      <c r="C841">
        <v>775</v>
      </c>
      <c r="D841" s="1">
        <v>0.57450000000000001</v>
      </c>
      <c r="E841">
        <v>574</v>
      </c>
      <c r="F841" s="2">
        <v>1.2268518518518518E-3</v>
      </c>
      <c r="G841" s="2">
        <v>2.1990740740740742E-3</v>
      </c>
      <c r="H841" s="2">
        <v>1.1030092592592593E-2</v>
      </c>
      <c r="I841" s="1">
        <v>0.1216</v>
      </c>
    </row>
    <row r="842" spans="1:9" x14ac:dyDescent="0.3">
      <c r="A842">
        <v>841</v>
      </c>
      <c r="B842">
        <v>999</v>
      </c>
      <c r="C842">
        <v>454</v>
      </c>
      <c r="D842" s="1">
        <v>0.45450000000000002</v>
      </c>
      <c r="E842">
        <v>545</v>
      </c>
      <c r="F842" s="2">
        <v>1.9444444444444444E-3</v>
      </c>
      <c r="G842" s="2">
        <v>2.2453703703703702E-3</v>
      </c>
      <c r="H842" s="2">
        <v>9.3055555555555548E-3</v>
      </c>
      <c r="I842" s="1">
        <v>4.07E-2</v>
      </c>
    </row>
    <row r="843" spans="1:9" x14ac:dyDescent="0.3">
      <c r="A843">
        <v>842</v>
      </c>
      <c r="B843">
        <v>968</v>
      </c>
      <c r="C843">
        <v>547</v>
      </c>
      <c r="D843" s="1">
        <v>0.56510000000000005</v>
      </c>
      <c r="E843">
        <v>421</v>
      </c>
      <c r="F843" s="2">
        <v>1.6898148148148148E-3</v>
      </c>
      <c r="G843" s="2">
        <v>2.2916666666666667E-3</v>
      </c>
      <c r="H843" s="2">
        <v>9.8726851851851857E-3</v>
      </c>
      <c r="I843" s="1">
        <v>0.1171</v>
      </c>
    </row>
    <row r="844" spans="1:9" x14ac:dyDescent="0.3">
      <c r="A844">
        <v>843</v>
      </c>
      <c r="B844">
        <v>1066</v>
      </c>
      <c r="C844">
        <v>453</v>
      </c>
      <c r="D844" s="1">
        <v>0.42499999999999999</v>
      </c>
      <c r="E844">
        <v>613</v>
      </c>
      <c r="F844" s="2">
        <v>3.5185185185185185E-3</v>
      </c>
      <c r="G844" s="2">
        <v>2.5347222222222221E-3</v>
      </c>
      <c r="H844" s="2">
        <v>1.5706018518518518E-2</v>
      </c>
      <c r="I844" s="1">
        <v>2.24E-2</v>
      </c>
    </row>
    <row r="845" spans="1:9" x14ac:dyDescent="0.3">
      <c r="A845">
        <v>844</v>
      </c>
      <c r="B845">
        <v>788</v>
      </c>
      <c r="C845">
        <v>633</v>
      </c>
      <c r="D845" s="1">
        <v>0.80330000000000001</v>
      </c>
      <c r="E845">
        <v>155</v>
      </c>
      <c r="F845" s="2">
        <v>8.4490740740740739E-4</v>
      </c>
      <c r="G845" s="2">
        <v>2.3495370370370371E-3</v>
      </c>
      <c r="H845" s="2">
        <v>8.6342592592592599E-3</v>
      </c>
      <c r="I845" s="1">
        <v>0.20880000000000001</v>
      </c>
    </row>
    <row r="846" spans="1:9" x14ac:dyDescent="0.3">
      <c r="A846">
        <v>845</v>
      </c>
      <c r="B846">
        <v>252</v>
      </c>
      <c r="C846">
        <v>213</v>
      </c>
      <c r="D846" s="1">
        <v>0.84519999999999995</v>
      </c>
      <c r="E846">
        <v>39</v>
      </c>
      <c r="F846" s="2">
        <v>6.134259259259259E-4</v>
      </c>
      <c r="G846" s="2">
        <v>2.4421296296296296E-3</v>
      </c>
      <c r="H846" s="2">
        <v>5.7523148148148151E-3</v>
      </c>
      <c r="I846" s="1">
        <v>0.44080000000000003</v>
      </c>
    </row>
    <row r="847" spans="1:9" x14ac:dyDescent="0.3">
      <c r="A847">
        <v>846</v>
      </c>
      <c r="B847">
        <v>842</v>
      </c>
      <c r="C847">
        <v>625</v>
      </c>
      <c r="D847" s="1">
        <v>0.74229999999999996</v>
      </c>
      <c r="E847">
        <v>217</v>
      </c>
      <c r="F847" s="2">
        <v>8.2175925925925927E-4</v>
      </c>
      <c r="G847" s="2">
        <v>2.1990740740740742E-3</v>
      </c>
      <c r="H847" s="2">
        <v>1.0046296296296296E-2</v>
      </c>
      <c r="I847" s="1">
        <v>0.26929999999999998</v>
      </c>
    </row>
    <row r="848" spans="1:9" x14ac:dyDescent="0.3">
      <c r="A848">
        <v>847</v>
      </c>
      <c r="B848">
        <v>847</v>
      </c>
      <c r="C848">
        <v>722</v>
      </c>
      <c r="D848" s="1">
        <v>0.85240000000000005</v>
      </c>
      <c r="E848">
        <v>125</v>
      </c>
      <c r="F848" s="2">
        <v>6.2500000000000001E-4</v>
      </c>
      <c r="G848" s="2">
        <v>2.1296296296296298E-3</v>
      </c>
      <c r="H848" s="2">
        <v>5.6134259259259262E-3</v>
      </c>
      <c r="I848" s="1">
        <v>0.33489999999999998</v>
      </c>
    </row>
    <row r="849" spans="1:9" x14ac:dyDescent="0.3">
      <c r="A849">
        <v>848</v>
      </c>
      <c r="B849">
        <v>800</v>
      </c>
      <c r="C849">
        <v>615</v>
      </c>
      <c r="D849" s="1">
        <v>0.76880000000000004</v>
      </c>
      <c r="E849">
        <v>185</v>
      </c>
      <c r="F849" s="2">
        <v>7.7546296296296293E-4</v>
      </c>
      <c r="G849" s="2">
        <v>2.3726851851851851E-3</v>
      </c>
      <c r="H849" s="2">
        <v>5.138888888888889E-3</v>
      </c>
      <c r="I849" s="1">
        <v>0.23980000000000001</v>
      </c>
    </row>
    <row r="850" spans="1:9" x14ac:dyDescent="0.3">
      <c r="A850">
        <v>849</v>
      </c>
      <c r="B850">
        <v>1100</v>
      </c>
      <c r="C850">
        <v>823</v>
      </c>
      <c r="D850" s="1">
        <v>0.74819999999999998</v>
      </c>
      <c r="E850">
        <v>277</v>
      </c>
      <c r="F850" s="2">
        <v>7.8703703703703705E-4</v>
      </c>
      <c r="G850" s="2">
        <v>2.2916666666666667E-3</v>
      </c>
      <c r="H850" s="2">
        <v>1.0775462962962962E-2</v>
      </c>
      <c r="I850" s="1">
        <v>0.29649999999999999</v>
      </c>
    </row>
    <row r="851" spans="1:9" x14ac:dyDescent="0.3">
      <c r="A851">
        <v>850</v>
      </c>
      <c r="B851">
        <v>1242</v>
      </c>
      <c r="C851">
        <v>909</v>
      </c>
      <c r="D851" s="1">
        <v>0.7319</v>
      </c>
      <c r="E851">
        <v>333</v>
      </c>
      <c r="F851" s="2">
        <v>9.6064814814814819E-4</v>
      </c>
      <c r="G851" s="2">
        <v>2.1296296296296298E-3</v>
      </c>
      <c r="H851" s="2">
        <v>7.766203703703704E-3</v>
      </c>
      <c r="I851" s="1">
        <v>0.19</v>
      </c>
    </row>
    <row r="852" spans="1:9" x14ac:dyDescent="0.3">
      <c r="A852">
        <v>851</v>
      </c>
      <c r="B852">
        <v>732</v>
      </c>
      <c r="C852">
        <v>460</v>
      </c>
      <c r="D852" s="1">
        <v>0.62839999999999996</v>
      </c>
      <c r="E852">
        <v>272</v>
      </c>
      <c r="F852" s="2">
        <v>1.0532407407407407E-3</v>
      </c>
      <c r="G852" s="2">
        <v>2.2222222222222222E-3</v>
      </c>
      <c r="H852" s="2">
        <v>7.2800925925925923E-3</v>
      </c>
      <c r="I852" s="1">
        <v>0.1792</v>
      </c>
    </row>
    <row r="853" spans="1:9" x14ac:dyDescent="0.3">
      <c r="A853">
        <v>852</v>
      </c>
      <c r="B853">
        <v>112</v>
      </c>
      <c r="C853">
        <v>104</v>
      </c>
      <c r="D853" s="1">
        <v>0.92859999999999998</v>
      </c>
      <c r="E853">
        <v>8</v>
      </c>
      <c r="F853" s="2">
        <v>3.9351851851851852E-4</v>
      </c>
      <c r="G853" s="2">
        <v>2.3263888888888887E-3</v>
      </c>
      <c r="H853" s="2">
        <v>2.9282407407407408E-3</v>
      </c>
      <c r="I853" s="1">
        <v>0.56359999999999999</v>
      </c>
    </row>
    <row r="854" spans="1:9" x14ac:dyDescent="0.3">
      <c r="A854">
        <v>853</v>
      </c>
      <c r="B854">
        <v>482</v>
      </c>
      <c r="C854">
        <v>434</v>
      </c>
      <c r="D854" s="1">
        <v>0.90039999999999998</v>
      </c>
      <c r="E854">
        <v>48</v>
      </c>
      <c r="F854" s="2">
        <v>4.7453703703703704E-4</v>
      </c>
      <c r="G854" s="2">
        <v>2.0949074074074073E-3</v>
      </c>
      <c r="H854" s="2">
        <v>7.6504629629629631E-3</v>
      </c>
      <c r="I854" s="1">
        <v>0.47439999999999999</v>
      </c>
    </row>
    <row r="855" spans="1:9" x14ac:dyDescent="0.3">
      <c r="A855">
        <v>854</v>
      </c>
      <c r="B855">
        <v>570</v>
      </c>
      <c r="C855">
        <v>484</v>
      </c>
      <c r="D855" s="1">
        <v>0.84909999999999997</v>
      </c>
      <c r="E855">
        <v>86</v>
      </c>
      <c r="F855" s="2">
        <v>5.9027777777777778E-4</v>
      </c>
      <c r="G855" s="2">
        <v>2.1643518518518518E-3</v>
      </c>
      <c r="H855" s="2">
        <v>8.1944444444444452E-3</v>
      </c>
      <c r="I855" s="1">
        <v>0.36899999999999999</v>
      </c>
    </row>
    <row r="856" spans="1:9" x14ac:dyDescent="0.3">
      <c r="A856">
        <v>855</v>
      </c>
      <c r="B856">
        <v>490</v>
      </c>
      <c r="C856">
        <v>398</v>
      </c>
      <c r="D856" s="1">
        <v>0.81220000000000003</v>
      </c>
      <c r="E856">
        <v>92</v>
      </c>
      <c r="F856" s="2">
        <v>5.7870370370370367E-4</v>
      </c>
      <c r="G856" s="2">
        <v>2.2800925925925927E-3</v>
      </c>
      <c r="H856" s="2">
        <v>1.5092592592592593E-2</v>
      </c>
      <c r="I856" s="1">
        <v>0.36099999999999999</v>
      </c>
    </row>
    <row r="857" spans="1:9" x14ac:dyDescent="0.3">
      <c r="A857">
        <v>856</v>
      </c>
      <c r="B857">
        <v>462</v>
      </c>
      <c r="C857">
        <v>311</v>
      </c>
      <c r="D857" s="1">
        <v>0.67320000000000002</v>
      </c>
      <c r="E857">
        <v>151</v>
      </c>
      <c r="F857" s="2">
        <v>8.2175925925925927E-4</v>
      </c>
      <c r="G857" s="2">
        <v>2.2800925925925927E-3</v>
      </c>
      <c r="H857" s="2">
        <v>6.1342592592592594E-3</v>
      </c>
      <c r="I857" s="1">
        <v>0.26340000000000002</v>
      </c>
    </row>
    <row r="858" spans="1:9" x14ac:dyDescent="0.3">
      <c r="A858">
        <v>857</v>
      </c>
      <c r="B858">
        <v>428</v>
      </c>
      <c r="C858">
        <v>373</v>
      </c>
      <c r="D858" s="1">
        <v>0.87150000000000005</v>
      </c>
      <c r="E858">
        <v>55</v>
      </c>
      <c r="F858" s="2">
        <v>4.6296296296296298E-4</v>
      </c>
      <c r="G858" s="2">
        <v>2.0601851851851853E-3</v>
      </c>
      <c r="H858" s="2">
        <v>4.8726851851851848E-3</v>
      </c>
      <c r="I858" s="1">
        <v>0.50600000000000001</v>
      </c>
    </row>
    <row r="859" spans="1:9" x14ac:dyDescent="0.3">
      <c r="A859">
        <v>858</v>
      </c>
      <c r="B859">
        <v>393</v>
      </c>
      <c r="C859">
        <v>312</v>
      </c>
      <c r="D859" s="1">
        <v>0.79390000000000005</v>
      </c>
      <c r="E859">
        <v>81</v>
      </c>
      <c r="F859" s="2">
        <v>7.1759259259259259E-4</v>
      </c>
      <c r="G859" s="2">
        <v>2.2685185185185187E-3</v>
      </c>
      <c r="H859" s="2">
        <v>5.7407407407407407E-3</v>
      </c>
      <c r="I859" s="1">
        <v>0.314</v>
      </c>
    </row>
    <row r="860" spans="1:9" x14ac:dyDescent="0.3">
      <c r="A860">
        <v>859</v>
      </c>
      <c r="B860">
        <v>58</v>
      </c>
      <c r="C860">
        <v>50</v>
      </c>
      <c r="D860" s="1">
        <v>0.86209999999999998</v>
      </c>
      <c r="E860">
        <v>8</v>
      </c>
      <c r="F860" s="2">
        <v>3.3564814814814812E-4</v>
      </c>
      <c r="G860" s="2">
        <v>2.1296296296296298E-3</v>
      </c>
      <c r="H860" s="2">
        <v>2.1527777777777778E-3</v>
      </c>
      <c r="I860" s="1">
        <v>0.6724</v>
      </c>
    </row>
    <row r="861" spans="1:9" x14ac:dyDescent="0.3">
      <c r="A861">
        <v>860</v>
      </c>
      <c r="B861">
        <v>316</v>
      </c>
      <c r="C861">
        <v>279</v>
      </c>
      <c r="D861" s="1">
        <v>0.88290000000000002</v>
      </c>
      <c r="E861">
        <v>37</v>
      </c>
      <c r="F861" s="2">
        <v>4.6296296296296298E-4</v>
      </c>
      <c r="G861" s="2">
        <v>2.0601851851851853E-3</v>
      </c>
      <c r="H861" s="2">
        <v>2.4421296296296296E-3</v>
      </c>
      <c r="I861" s="1">
        <v>0.44159999999999999</v>
      </c>
    </row>
    <row r="862" spans="1:9" x14ac:dyDescent="0.3">
      <c r="A862">
        <v>861</v>
      </c>
      <c r="B862">
        <v>298</v>
      </c>
      <c r="C862">
        <v>274</v>
      </c>
      <c r="D862" s="1">
        <v>0.91949999999999998</v>
      </c>
      <c r="E862">
        <v>24</v>
      </c>
      <c r="F862" s="2">
        <v>3.4722222222222224E-4</v>
      </c>
      <c r="G862" s="2">
        <v>2.0717592592592593E-3</v>
      </c>
      <c r="H862" s="2">
        <v>2.1064814814814813E-3</v>
      </c>
      <c r="I862" s="1">
        <v>0.55779999999999996</v>
      </c>
    </row>
    <row r="863" spans="1:9" x14ac:dyDescent="0.3">
      <c r="A863">
        <v>862</v>
      </c>
      <c r="B863">
        <v>308</v>
      </c>
      <c r="C863">
        <v>275</v>
      </c>
      <c r="D863" s="1">
        <v>0.89290000000000003</v>
      </c>
      <c r="E863">
        <v>33</v>
      </c>
      <c r="F863" s="2">
        <v>4.6296296296296298E-4</v>
      </c>
      <c r="G863" s="2">
        <v>2.0370370370370369E-3</v>
      </c>
      <c r="H863" s="2">
        <v>4.7916666666666663E-3</v>
      </c>
      <c r="I863" s="1">
        <v>0.51629999999999998</v>
      </c>
    </row>
    <row r="864" spans="1:9" x14ac:dyDescent="0.3">
      <c r="A864">
        <v>863</v>
      </c>
      <c r="B864">
        <v>259</v>
      </c>
      <c r="C864">
        <v>242</v>
      </c>
      <c r="D864" s="1">
        <v>0.93440000000000001</v>
      </c>
      <c r="E864">
        <v>17</v>
      </c>
      <c r="F864" s="2">
        <v>1.8518518518518518E-4</v>
      </c>
      <c r="G864" s="2">
        <v>2.0138888888888888E-3</v>
      </c>
      <c r="H864" s="2">
        <v>2.8819444444444444E-3</v>
      </c>
      <c r="I864" s="1">
        <v>0.78259999999999996</v>
      </c>
    </row>
    <row r="865" spans="1:9" x14ac:dyDescent="0.3">
      <c r="A865">
        <v>864</v>
      </c>
      <c r="B865">
        <v>464</v>
      </c>
      <c r="C865">
        <v>391</v>
      </c>
      <c r="D865" s="1">
        <v>0.8427</v>
      </c>
      <c r="E865">
        <v>73</v>
      </c>
      <c r="F865" s="2">
        <v>6.3657407407407413E-4</v>
      </c>
      <c r="G865" s="2">
        <v>2.4421296296296296E-3</v>
      </c>
      <c r="H865" s="2">
        <v>3.6226851851851854E-3</v>
      </c>
      <c r="I865" s="1">
        <v>0.35449999999999998</v>
      </c>
    </row>
    <row r="866" spans="1:9" x14ac:dyDescent="0.3">
      <c r="A866">
        <v>865</v>
      </c>
      <c r="B866">
        <v>302</v>
      </c>
      <c r="C866">
        <v>275</v>
      </c>
      <c r="D866" s="1">
        <v>0.91059999999999997</v>
      </c>
      <c r="E866">
        <v>27</v>
      </c>
      <c r="F866" s="2">
        <v>3.4722222222222224E-4</v>
      </c>
      <c r="G866" s="2">
        <v>2.1064814814814813E-3</v>
      </c>
      <c r="H866" s="2">
        <v>6.875E-3</v>
      </c>
      <c r="I866" s="1">
        <v>0.56040000000000001</v>
      </c>
    </row>
    <row r="867" spans="1:9" x14ac:dyDescent="0.3">
      <c r="A867">
        <v>866</v>
      </c>
      <c r="B867">
        <v>47</v>
      </c>
      <c r="C867">
        <v>45</v>
      </c>
      <c r="D867" s="1">
        <v>0.95740000000000003</v>
      </c>
      <c r="E867">
        <v>2</v>
      </c>
      <c r="F867" s="2">
        <v>1.3888888888888889E-4</v>
      </c>
      <c r="G867" s="2">
        <v>1.8634259259259259E-3</v>
      </c>
      <c r="H867" s="2">
        <v>1.8171296296296297E-3</v>
      </c>
      <c r="I867" s="1">
        <v>0.85109999999999997</v>
      </c>
    </row>
    <row r="868" spans="1:9" x14ac:dyDescent="0.3">
      <c r="A868">
        <v>867</v>
      </c>
      <c r="B868">
        <v>293</v>
      </c>
      <c r="C868">
        <v>279</v>
      </c>
      <c r="D868" s="1">
        <v>0.95220000000000005</v>
      </c>
      <c r="E868">
        <v>14</v>
      </c>
      <c r="F868" s="2">
        <v>2.5462962962962961E-4</v>
      </c>
      <c r="G868" s="2">
        <v>2.0023148148148148E-3</v>
      </c>
      <c r="H868" s="2">
        <v>2.0486111111111113E-3</v>
      </c>
      <c r="I868" s="1">
        <v>0.67469999999999997</v>
      </c>
    </row>
    <row r="869" spans="1:9" x14ac:dyDescent="0.3">
      <c r="A869">
        <v>868</v>
      </c>
      <c r="B869">
        <v>245</v>
      </c>
      <c r="C869">
        <v>225</v>
      </c>
      <c r="D869" s="1">
        <v>0.91839999999999999</v>
      </c>
      <c r="E869">
        <v>20</v>
      </c>
      <c r="F869" s="2">
        <v>2.0833333333333335E-4</v>
      </c>
      <c r="G869" s="2">
        <v>2.0254629629629629E-3</v>
      </c>
      <c r="H869" s="2">
        <v>2.9050925925925928E-3</v>
      </c>
      <c r="I869" s="1">
        <v>0.73550000000000004</v>
      </c>
    </row>
    <row r="870" spans="1:9" x14ac:dyDescent="0.3">
      <c r="A870">
        <v>869</v>
      </c>
      <c r="B870">
        <v>295</v>
      </c>
      <c r="C870">
        <v>227</v>
      </c>
      <c r="D870" s="1">
        <v>0.76949999999999996</v>
      </c>
      <c r="E870">
        <v>68</v>
      </c>
      <c r="F870" s="2">
        <v>5.5555555555555556E-4</v>
      </c>
      <c r="G870" s="2">
        <v>2.3032407407407407E-3</v>
      </c>
      <c r="H870" s="2">
        <v>3.9583333333333337E-3</v>
      </c>
      <c r="I870" s="1">
        <v>0.44790000000000002</v>
      </c>
    </row>
    <row r="871" spans="1:9" x14ac:dyDescent="0.3">
      <c r="A871">
        <v>870</v>
      </c>
      <c r="B871">
        <v>205</v>
      </c>
      <c r="C871">
        <v>196</v>
      </c>
      <c r="D871" s="1">
        <v>0.95609999999999995</v>
      </c>
      <c r="E871">
        <v>9</v>
      </c>
      <c r="F871" s="2">
        <v>2.3148148148148149E-4</v>
      </c>
      <c r="G871" s="2">
        <v>2.1527777777777778E-3</v>
      </c>
      <c r="H871" s="2">
        <v>3.5879629629629629E-3</v>
      </c>
      <c r="I871" s="1">
        <v>0.73660000000000003</v>
      </c>
    </row>
    <row r="872" spans="1:9" x14ac:dyDescent="0.3">
      <c r="A872">
        <v>871</v>
      </c>
      <c r="B872">
        <v>249</v>
      </c>
      <c r="C872">
        <v>215</v>
      </c>
      <c r="D872" s="1">
        <v>0.86350000000000005</v>
      </c>
      <c r="E872">
        <v>34</v>
      </c>
      <c r="F872" s="2">
        <v>4.6296296296296298E-4</v>
      </c>
      <c r="G872" s="2">
        <v>2.0601851851851853E-3</v>
      </c>
      <c r="H872" s="2">
        <v>1.7256944444444443E-2</v>
      </c>
      <c r="I872" s="1">
        <v>0.46089999999999998</v>
      </c>
    </row>
    <row r="873" spans="1:9" x14ac:dyDescent="0.3">
      <c r="A873">
        <v>872</v>
      </c>
      <c r="B873">
        <v>236</v>
      </c>
      <c r="C873">
        <v>213</v>
      </c>
      <c r="D873" s="1">
        <v>0.90249999999999997</v>
      </c>
      <c r="E873">
        <v>23</v>
      </c>
      <c r="F873" s="2">
        <v>3.0092592592592595E-4</v>
      </c>
      <c r="G873" s="2">
        <v>2.2453703703703702E-3</v>
      </c>
      <c r="H873" s="2">
        <v>2.7083333333333334E-3</v>
      </c>
      <c r="I873" s="1">
        <v>0.63360000000000005</v>
      </c>
    </row>
    <row r="874" spans="1:9" x14ac:dyDescent="0.3">
      <c r="A874">
        <v>873</v>
      </c>
      <c r="B874">
        <v>39</v>
      </c>
      <c r="C874">
        <v>39</v>
      </c>
      <c r="D874" s="1">
        <v>1</v>
      </c>
      <c r="E874">
        <v>0</v>
      </c>
      <c r="F874" s="2">
        <v>1.6203703703703703E-4</v>
      </c>
      <c r="G874" s="2">
        <v>1.736111111111111E-3</v>
      </c>
      <c r="H874" s="2">
        <v>1.7013888888888888E-3</v>
      </c>
      <c r="I874" s="1">
        <v>0.87180000000000002</v>
      </c>
    </row>
    <row r="875" spans="1:9" x14ac:dyDescent="0.3">
      <c r="A875">
        <v>874</v>
      </c>
      <c r="B875">
        <v>208</v>
      </c>
      <c r="C875">
        <v>194</v>
      </c>
      <c r="D875" s="1">
        <v>0.93269999999999997</v>
      </c>
      <c r="E875">
        <v>14</v>
      </c>
      <c r="F875" s="2">
        <v>1.9675925925925926E-4</v>
      </c>
      <c r="G875" s="2">
        <v>2.0138888888888888E-3</v>
      </c>
      <c r="H875" s="2">
        <v>2.0717592592592593E-3</v>
      </c>
      <c r="I875" s="1">
        <v>0.76959999999999995</v>
      </c>
    </row>
    <row r="876" spans="1:9" x14ac:dyDescent="0.3">
      <c r="A876">
        <v>875</v>
      </c>
      <c r="B876">
        <v>39</v>
      </c>
      <c r="C876">
        <v>38</v>
      </c>
      <c r="D876" s="1">
        <v>0.97440000000000004</v>
      </c>
      <c r="E876">
        <v>1</v>
      </c>
      <c r="F876" s="2">
        <v>4.6296296296296294E-5</v>
      </c>
      <c r="G876" s="2">
        <v>1.6319444444444445E-3</v>
      </c>
      <c r="H876" s="2">
        <v>7.1759259259259259E-4</v>
      </c>
      <c r="I876" s="1">
        <v>0.94869999999999999</v>
      </c>
    </row>
    <row r="877" spans="1:9" x14ac:dyDescent="0.3">
      <c r="A877">
        <v>876</v>
      </c>
      <c r="B877">
        <v>115</v>
      </c>
      <c r="C877">
        <v>110</v>
      </c>
      <c r="D877" s="1">
        <v>0.95650000000000002</v>
      </c>
      <c r="E877">
        <v>5</v>
      </c>
      <c r="F877" s="2">
        <v>9.2592592592592588E-5</v>
      </c>
      <c r="G877" s="2">
        <v>1.9212962962962964E-3</v>
      </c>
      <c r="H877" s="2">
        <v>2.9166666666666668E-3</v>
      </c>
      <c r="I877" s="1">
        <v>0.90429999999999999</v>
      </c>
    </row>
    <row r="878" spans="1:9" x14ac:dyDescent="0.3">
      <c r="A878">
        <v>877</v>
      </c>
      <c r="B878">
        <v>338</v>
      </c>
      <c r="C878">
        <v>308</v>
      </c>
      <c r="D878" s="1">
        <v>0.91120000000000001</v>
      </c>
      <c r="E878">
        <v>30</v>
      </c>
      <c r="F878" s="2">
        <v>3.1250000000000001E-4</v>
      </c>
      <c r="G878" s="2">
        <v>1.9675925925925924E-3</v>
      </c>
      <c r="H878" s="2">
        <v>2.9050925925925928E-3</v>
      </c>
      <c r="I878" s="1">
        <v>0.63100000000000001</v>
      </c>
    </row>
    <row r="879" spans="1:9" x14ac:dyDescent="0.3">
      <c r="A879">
        <v>878</v>
      </c>
      <c r="B879">
        <v>404</v>
      </c>
      <c r="C879">
        <v>320</v>
      </c>
      <c r="D879" s="1">
        <v>0.79210000000000003</v>
      </c>
      <c r="E879">
        <v>84</v>
      </c>
      <c r="F879" s="2">
        <v>5.2083333333333333E-4</v>
      </c>
      <c r="G879" s="2">
        <v>2.0601851851851853E-3</v>
      </c>
      <c r="H879" s="2">
        <v>8.2523148148148148E-3</v>
      </c>
      <c r="I879" s="1">
        <v>0.51390000000000002</v>
      </c>
    </row>
    <row r="880" spans="1:9" x14ac:dyDescent="0.3">
      <c r="A880">
        <v>879</v>
      </c>
      <c r="B880">
        <v>436</v>
      </c>
      <c r="C880">
        <v>393</v>
      </c>
      <c r="D880" s="1">
        <v>0.90139999999999998</v>
      </c>
      <c r="E880">
        <v>43</v>
      </c>
      <c r="F880" s="2">
        <v>3.0092592592592595E-4</v>
      </c>
      <c r="G880" s="2">
        <v>1.9791666666666668E-3</v>
      </c>
      <c r="H880" s="2">
        <v>4.31712962962963E-3</v>
      </c>
      <c r="I880" s="1">
        <v>0.65259999999999996</v>
      </c>
    </row>
    <row r="881" spans="1:9" x14ac:dyDescent="0.3">
      <c r="A881">
        <v>880</v>
      </c>
      <c r="B881">
        <v>73</v>
      </c>
      <c r="C881">
        <v>72</v>
      </c>
      <c r="D881" s="1">
        <v>0.98629999999999995</v>
      </c>
      <c r="E881">
        <v>1</v>
      </c>
      <c r="F881" s="2">
        <v>8.1018518518518516E-5</v>
      </c>
      <c r="G881" s="2">
        <v>1.9212962962962964E-3</v>
      </c>
      <c r="H881" s="2">
        <v>1.1921296296296296E-3</v>
      </c>
      <c r="I881" s="1">
        <v>0.93149999999999999</v>
      </c>
    </row>
    <row r="882" spans="1:9" x14ac:dyDescent="0.3">
      <c r="A882">
        <v>881</v>
      </c>
      <c r="B882">
        <v>521</v>
      </c>
      <c r="C882">
        <v>492</v>
      </c>
      <c r="D882" s="1">
        <v>0.94430000000000003</v>
      </c>
      <c r="E882">
        <v>29</v>
      </c>
      <c r="F882" s="2">
        <v>1.9675925925925926E-4</v>
      </c>
      <c r="G882" s="2">
        <v>1.9097222222222222E-3</v>
      </c>
      <c r="H882" s="2">
        <v>2.3495370370370371E-3</v>
      </c>
      <c r="I882" s="1">
        <v>0.78939999999999999</v>
      </c>
    </row>
    <row r="883" spans="1:9" x14ac:dyDescent="0.3">
      <c r="A883">
        <v>882</v>
      </c>
      <c r="B883">
        <v>648</v>
      </c>
      <c r="C883">
        <v>564</v>
      </c>
      <c r="D883" s="1">
        <v>0.87039999999999995</v>
      </c>
      <c r="E883">
        <v>84</v>
      </c>
      <c r="F883" s="2">
        <v>3.1250000000000001E-4</v>
      </c>
      <c r="G883" s="2">
        <v>1.9212962962962964E-3</v>
      </c>
      <c r="H883" s="2">
        <v>3.7615740740740739E-3</v>
      </c>
      <c r="I883" s="1">
        <v>0.61360000000000003</v>
      </c>
    </row>
    <row r="884" spans="1:9" x14ac:dyDescent="0.3">
      <c r="A884">
        <v>883</v>
      </c>
      <c r="B884">
        <v>729</v>
      </c>
      <c r="C884">
        <v>592</v>
      </c>
      <c r="D884" s="1">
        <v>0.81210000000000004</v>
      </c>
      <c r="E884">
        <v>137</v>
      </c>
      <c r="F884" s="2">
        <v>6.3657407407407413E-4</v>
      </c>
      <c r="G884" s="2">
        <v>2.0023148148148148E-3</v>
      </c>
      <c r="H884" s="2">
        <v>5.1967592592592595E-3</v>
      </c>
      <c r="I884" s="1">
        <v>0.35830000000000001</v>
      </c>
    </row>
    <row r="885" spans="1:9" x14ac:dyDescent="0.3">
      <c r="A885">
        <v>884</v>
      </c>
      <c r="B885">
        <v>1196</v>
      </c>
      <c r="C885">
        <v>718</v>
      </c>
      <c r="D885" s="1">
        <v>0.60029999999999994</v>
      </c>
      <c r="E885">
        <v>478</v>
      </c>
      <c r="F885" s="2">
        <v>1.2962962962962963E-3</v>
      </c>
      <c r="G885" s="2">
        <v>2.1875000000000002E-3</v>
      </c>
      <c r="H885" s="2">
        <v>7.7083333333333335E-3</v>
      </c>
      <c r="I885" s="1">
        <v>0.1462</v>
      </c>
    </row>
    <row r="886" spans="1:9" x14ac:dyDescent="0.3">
      <c r="A886">
        <v>885</v>
      </c>
      <c r="B886">
        <v>436</v>
      </c>
      <c r="C886">
        <v>323</v>
      </c>
      <c r="D886" s="1">
        <v>0.74080000000000001</v>
      </c>
      <c r="E886">
        <v>113</v>
      </c>
      <c r="F886" s="2">
        <v>5.0925925925925921E-4</v>
      </c>
      <c r="G886" s="2">
        <v>2.1064814814814813E-3</v>
      </c>
      <c r="H886" s="2">
        <v>4.3055555555555555E-3</v>
      </c>
      <c r="I886" s="1">
        <v>0.4375</v>
      </c>
    </row>
    <row r="887" spans="1:9" x14ac:dyDescent="0.3">
      <c r="A887">
        <v>886</v>
      </c>
      <c r="B887">
        <v>191</v>
      </c>
      <c r="C887">
        <v>178</v>
      </c>
      <c r="D887" s="1">
        <v>0.93189999999999995</v>
      </c>
      <c r="E887">
        <v>13</v>
      </c>
      <c r="F887" s="2">
        <v>1.8518518518518518E-4</v>
      </c>
      <c r="G887" s="2">
        <v>1.9791666666666668E-3</v>
      </c>
      <c r="H887" s="2">
        <v>2.8703703703703703E-3</v>
      </c>
      <c r="I887" s="1">
        <v>0.80530000000000002</v>
      </c>
    </row>
    <row r="888" spans="1:9" x14ac:dyDescent="0.3">
      <c r="A888">
        <v>887</v>
      </c>
      <c r="B888">
        <v>68</v>
      </c>
      <c r="C888">
        <v>68</v>
      </c>
      <c r="D888" s="1">
        <v>1</v>
      </c>
      <c r="E888">
        <v>0</v>
      </c>
      <c r="F888" s="2">
        <v>5.7870370370370373E-5</v>
      </c>
      <c r="G888" s="2">
        <v>2.0370370370370369E-3</v>
      </c>
      <c r="H888" s="2">
        <v>1.1458333333333333E-3</v>
      </c>
      <c r="I888" s="1">
        <v>0.98529999999999995</v>
      </c>
    </row>
    <row r="889" spans="1:9" x14ac:dyDescent="0.3">
      <c r="A889">
        <v>888</v>
      </c>
      <c r="B889">
        <v>498</v>
      </c>
      <c r="C889">
        <v>429</v>
      </c>
      <c r="D889" s="1">
        <v>0.86140000000000005</v>
      </c>
      <c r="E889">
        <v>69</v>
      </c>
      <c r="F889" s="2">
        <v>3.9351851851851852E-4</v>
      </c>
      <c r="G889" s="2">
        <v>2.1875000000000002E-3</v>
      </c>
      <c r="H889" s="2">
        <v>2.9166666666666668E-3</v>
      </c>
      <c r="I889" s="1">
        <v>0.5071</v>
      </c>
    </row>
    <row r="890" spans="1:9" x14ac:dyDescent="0.3">
      <c r="A890">
        <v>889</v>
      </c>
      <c r="B890">
        <v>358</v>
      </c>
      <c r="C890">
        <v>329</v>
      </c>
      <c r="D890" s="1">
        <v>0.91900000000000004</v>
      </c>
      <c r="E890">
        <v>29</v>
      </c>
      <c r="F890" s="2">
        <v>2.4305555555555555E-4</v>
      </c>
      <c r="G890" s="2">
        <v>2.1180555555555558E-3</v>
      </c>
      <c r="H890" s="2">
        <v>1.5625000000000001E-3</v>
      </c>
      <c r="I890" s="1">
        <v>0.66949999999999998</v>
      </c>
    </row>
    <row r="891" spans="1:9" x14ac:dyDescent="0.3">
      <c r="A891">
        <v>890</v>
      </c>
      <c r="B891">
        <v>340</v>
      </c>
      <c r="C891">
        <v>302</v>
      </c>
      <c r="D891" s="1">
        <v>0.88819999999999999</v>
      </c>
      <c r="E891">
        <v>38</v>
      </c>
      <c r="F891" s="2">
        <v>2.7777777777777778E-4</v>
      </c>
      <c r="G891" s="2">
        <v>1.9675925925925924E-3</v>
      </c>
      <c r="H891" s="2">
        <v>3.5879629629629629E-3</v>
      </c>
      <c r="I891" s="1">
        <v>0.65669999999999995</v>
      </c>
    </row>
    <row r="892" spans="1:9" x14ac:dyDescent="0.3">
      <c r="A892">
        <v>891</v>
      </c>
      <c r="B892">
        <v>322</v>
      </c>
      <c r="C892">
        <v>306</v>
      </c>
      <c r="D892" s="1">
        <v>0.95030000000000003</v>
      </c>
      <c r="E892">
        <v>16</v>
      </c>
      <c r="F892" s="2">
        <v>1.8518518518518518E-4</v>
      </c>
      <c r="G892" s="2">
        <v>1.8402777777777777E-3</v>
      </c>
      <c r="H892" s="2">
        <v>4.363425925925926E-3</v>
      </c>
      <c r="I892" s="1">
        <v>0.77739999999999998</v>
      </c>
    </row>
    <row r="893" spans="1:9" x14ac:dyDescent="0.3">
      <c r="A893">
        <v>892</v>
      </c>
      <c r="B893">
        <v>296</v>
      </c>
      <c r="C893">
        <v>282</v>
      </c>
      <c r="D893" s="1">
        <v>0.95269999999999999</v>
      </c>
      <c r="E893">
        <v>14</v>
      </c>
      <c r="F893" s="2">
        <v>2.0833333333333335E-4</v>
      </c>
      <c r="G893" s="2">
        <v>1.8171296296296297E-3</v>
      </c>
      <c r="H893" s="2">
        <v>1.9097222222222222E-3</v>
      </c>
      <c r="I893" s="1">
        <v>0.76529999999999998</v>
      </c>
    </row>
    <row r="894" spans="1:9" x14ac:dyDescent="0.3">
      <c r="A894">
        <v>893</v>
      </c>
      <c r="B894">
        <v>264</v>
      </c>
      <c r="C894">
        <v>234</v>
      </c>
      <c r="D894" s="1">
        <v>0.88639999999999997</v>
      </c>
      <c r="E894">
        <v>30</v>
      </c>
      <c r="F894" s="2">
        <v>2.3148148148148149E-4</v>
      </c>
      <c r="G894" s="2">
        <v>1.7824074074074075E-3</v>
      </c>
      <c r="H894" s="2">
        <v>3.4027777777777776E-3</v>
      </c>
      <c r="I894" s="1">
        <v>0.69879999999999998</v>
      </c>
    </row>
    <row r="895" spans="1:9" x14ac:dyDescent="0.3">
      <c r="A895">
        <v>894</v>
      </c>
      <c r="B895">
        <v>52</v>
      </c>
      <c r="C895">
        <v>51</v>
      </c>
      <c r="D895" s="1">
        <v>0.98080000000000001</v>
      </c>
      <c r="E895">
        <v>1</v>
      </c>
      <c r="F895" s="2">
        <v>6.9444444444444444E-5</v>
      </c>
      <c r="G895" s="2">
        <v>1.8055555555555555E-3</v>
      </c>
      <c r="H895" s="2">
        <v>7.5231481481481482E-4</v>
      </c>
      <c r="I895" s="1">
        <v>0.94120000000000004</v>
      </c>
    </row>
    <row r="896" spans="1:9" x14ac:dyDescent="0.3">
      <c r="A896">
        <v>895</v>
      </c>
      <c r="B896">
        <v>266</v>
      </c>
      <c r="C896">
        <v>264</v>
      </c>
      <c r="D896" s="1">
        <v>0.99250000000000005</v>
      </c>
      <c r="E896">
        <v>2</v>
      </c>
      <c r="F896" s="2">
        <v>1.0416666666666667E-4</v>
      </c>
      <c r="G896" s="2">
        <v>1.8402777777777777E-3</v>
      </c>
      <c r="H896" s="2">
        <v>1.4004629629629629E-3</v>
      </c>
      <c r="I896" s="1">
        <v>0.90980000000000005</v>
      </c>
    </row>
    <row r="897" spans="1:9" x14ac:dyDescent="0.3">
      <c r="A897">
        <v>896</v>
      </c>
      <c r="B897">
        <v>242</v>
      </c>
      <c r="C897">
        <v>238</v>
      </c>
      <c r="D897" s="1">
        <v>0.98350000000000004</v>
      </c>
      <c r="E897">
        <v>4</v>
      </c>
      <c r="F897" s="2">
        <v>1.0416666666666667E-4</v>
      </c>
      <c r="G897" s="2">
        <v>1.9097222222222222E-3</v>
      </c>
      <c r="H897" s="2">
        <v>1.736111111111111E-3</v>
      </c>
      <c r="I897" s="1">
        <v>0.90459999999999996</v>
      </c>
    </row>
    <row r="898" spans="1:9" x14ac:dyDescent="0.3">
      <c r="A898">
        <v>897</v>
      </c>
      <c r="B898">
        <v>241</v>
      </c>
      <c r="C898">
        <v>228</v>
      </c>
      <c r="D898" s="1">
        <v>0.94610000000000005</v>
      </c>
      <c r="E898">
        <v>13</v>
      </c>
      <c r="F898" s="2">
        <v>2.199074074074074E-4</v>
      </c>
      <c r="G898" s="2">
        <v>1.9444444444444444E-3</v>
      </c>
      <c r="H898" s="2">
        <v>4.2592592592592595E-3</v>
      </c>
      <c r="I898" s="1">
        <v>0.79579999999999995</v>
      </c>
    </row>
    <row r="899" spans="1:9" x14ac:dyDescent="0.3">
      <c r="A899">
        <v>898</v>
      </c>
      <c r="B899">
        <v>279</v>
      </c>
      <c r="C899">
        <v>269</v>
      </c>
      <c r="D899" s="1">
        <v>0.96419999999999995</v>
      </c>
      <c r="E899">
        <v>10</v>
      </c>
      <c r="F899" s="2">
        <v>9.2592592592592588E-5</v>
      </c>
      <c r="G899" s="2">
        <v>1.8865740740740742E-3</v>
      </c>
      <c r="H899" s="2">
        <v>2.1643518518518518E-3</v>
      </c>
      <c r="I899" s="1">
        <v>0.91300000000000003</v>
      </c>
    </row>
    <row r="900" spans="1:9" x14ac:dyDescent="0.3">
      <c r="A900">
        <v>899</v>
      </c>
      <c r="B900">
        <v>73</v>
      </c>
      <c r="C900">
        <v>72</v>
      </c>
      <c r="D900" s="1">
        <v>0.98629999999999995</v>
      </c>
      <c r="E900">
        <v>1</v>
      </c>
      <c r="F900" s="2">
        <v>9.2592592592592588E-5</v>
      </c>
      <c r="G900" s="2">
        <v>2.1296296296296298E-3</v>
      </c>
      <c r="H900" s="2">
        <v>1.5046296296296296E-3</v>
      </c>
      <c r="I900" s="1">
        <v>0.91779999999999995</v>
      </c>
    </row>
    <row r="901" spans="1:9" x14ac:dyDescent="0.3">
      <c r="A901">
        <v>900</v>
      </c>
      <c r="B901">
        <v>226</v>
      </c>
      <c r="C901">
        <v>218</v>
      </c>
      <c r="D901" s="1">
        <v>0.96460000000000001</v>
      </c>
      <c r="E901">
        <v>8</v>
      </c>
      <c r="F901" s="2">
        <v>9.2592592592592588E-5</v>
      </c>
      <c r="G901" s="2">
        <v>2.0138888888888888E-3</v>
      </c>
      <c r="H901" s="2">
        <v>1.9328703703703704E-3</v>
      </c>
      <c r="I901" s="1">
        <v>0.91859999999999997</v>
      </c>
    </row>
    <row r="902" spans="1:9" x14ac:dyDescent="0.3">
      <c r="A902">
        <v>901</v>
      </c>
      <c r="B902">
        <v>43</v>
      </c>
      <c r="C902">
        <v>42</v>
      </c>
      <c r="D902" s="1">
        <v>0.97670000000000001</v>
      </c>
      <c r="E902">
        <v>1</v>
      </c>
      <c r="F902" s="2">
        <v>1.273148148148148E-4</v>
      </c>
      <c r="G902" s="2">
        <v>1.8287037037037037E-3</v>
      </c>
      <c r="H902" s="2">
        <v>8.9120370370370373E-4</v>
      </c>
      <c r="I902" s="1">
        <v>0.83720000000000006</v>
      </c>
    </row>
    <row r="903" spans="1:9" x14ac:dyDescent="0.3">
      <c r="A903">
        <v>902</v>
      </c>
      <c r="B903">
        <v>311</v>
      </c>
      <c r="C903">
        <v>255</v>
      </c>
      <c r="D903" s="1">
        <v>0.81989999999999996</v>
      </c>
      <c r="E903">
        <v>56</v>
      </c>
      <c r="F903" s="2">
        <v>5.2083333333333333E-4</v>
      </c>
      <c r="G903" s="2">
        <v>2.0254629629629629E-3</v>
      </c>
      <c r="H903" s="2">
        <v>3.3564814814814816E-3</v>
      </c>
      <c r="I903" s="1">
        <v>0.4718</v>
      </c>
    </row>
    <row r="904" spans="1:9" x14ac:dyDescent="0.3">
      <c r="A904">
        <v>903</v>
      </c>
      <c r="B904">
        <v>251</v>
      </c>
      <c r="C904">
        <v>210</v>
      </c>
      <c r="D904" s="1">
        <v>0.8367</v>
      </c>
      <c r="E904">
        <v>41</v>
      </c>
      <c r="F904" s="2">
        <v>3.0092592592592595E-4</v>
      </c>
      <c r="G904" s="2">
        <v>2.0138888888888888E-3</v>
      </c>
      <c r="H904" s="2">
        <v>6.4583333333333333E-3</v>
      </c>
      <c r="I904" s="1">
        <v>0.63519999999999999</v>
      </c>
    </row>
    <row r="905" spans="1:9" x14ac:dyDescent="0.3">
      <c r="A905">
        <v>904</v>
      </c>
      <c r="B905">
        <v>339</v>
      </c>
      <c r="C905">
        <v>313</v>
      </c>
      <c r="D905" s="1">
        <v>0.92330000000000001</v>
      </c>
      <c r="E905">
        <v>26</v>
      </c>
      <c r="F905" s="2">
        <v>1.3888888888888889E-4</v>
      </c>
      <c r="G905" s="2">
        <v>1.4120370370370369E-3</v>
      </c>
      <c r="H905" s="2">
        <v>4.6412037037037038E-3</v>
      </c>
      <c r="I905" s="1">
        <v>0.82089999999999996</v>
      </c>
    </row>
    <row r="906" spans="1:9" x14ac:dyDescent="0.3">
      <c r="A906">
        <v>905</v>
      </c>
      <c r="B906">
        <v>323</v>
      </c>
      <c r="C906">
        <v>261</v>
      </c>
      <c r="D906" s="1">
        <v>0.80800000000000005</v>
      </c>
      <c r="E906">
        <v>62</v>
      </c>
      <c r="F906" s="2">
        <v>4.7453703703703704E-4</v>
      </c>
      <c r="G906" s="2">
        <v>2.0486111111111113E-3</v>
      </c>
      <c r="H906" s="2">
        <v>6.5624999999999998E-3</v>
      </c>
      <c r="I906" s="1">
        <v>0.53990000000000005</v>
      </c>
    </row>
    <row r="907" spans="1:9" x14ac:dyDescent="0.3">
      <c r="A907">
        <v>906</v>
      </c>
      <c r="B907">
        <v>289</v>
      </c>
      <c r="C907">
        <v>265</v>
      </c>
      <c r="D907" s="1">
        <v>0.91700000000000004</v>
      </c>
      <c r="E907">
        <v>24</v>
      </c>
      <c r="F907" s="2">
        <v>1.273148148148148E-4</v>
      </c>
      <c r="G907" s="2">
        <v>2.0833333333333333E-3</v>
      </c>
      <c r="H907" s="2">
        <v>3.9583333333333337E-3</v>
      </c>
      <c r="I907" s="1">
        <v>0.8327</v>
      </c>
    </row>
    <row r="908" spans="1:9" x14ac:dyDescent="0.3">
      <c r="A908">
        <v>907</v>
      </c>
      <c r="B908">
        <v>310</v>
      </c>
      <c r="C908">
        <v>281</v>
      </c>
      <c r="D908" s="1">
        <v>0.90649999999999997</v>
      </c>
      <c r="E908">
        <v>29</v>
      </c>
      <c r="F908" s="2">
        <v>1.7361111111111112E-4</v>
      </c>
      <c r="G908" s="2">
        <v>1.8634259259259259E-3</v>
      </c>
      <c r="H908" s="2">
        <v>2.0486111111111113E-3</v>
      </c>
      <c r="I908" s="1">
        <v>0.79120000000000001</v>
      </c>
    </row>
    <row r="909" spans="1:9" x14ac:dyDescent="0.3">
      <c r="A909">
        <v>908</v>
      </c>
      <c r="B909">
        <v>33</v>
      </c>
      <c r="C909">
        <v>31</v>
      </c>
      <c r="D909" s="1">
        <v>0.93940000000000001</v>
      </c>
      <c r="E909">
        <v>2</v>
      </c>
      <c r="F909" s="2">
        <v>1.6203703703703703E-4</v>
      </c>
      <c r="G909" s="2">
        <v>2.0023148148148148E-3</v>
      </c>
      <c r="H909" s="2">
        <v>1.4699074074074074E-3</v>
      </c>
      <c r="I909" s="1">
        <v>0.84850000000000003</v>
      </c>
    </row>
    <row r="910" spans="1:9" x14ac:dyDescent="0.3">
      <c r="A910">
        <v>909</v>
      </c>
      <c r="B910">
        <v>346</v>
      </c>
      <c r="C910">
        <v>318</v>
      </c>
      <c r="D910" s="1">
        <v>0.91910000000000003</v>
      </c>
      <c r="E910">
        <v>28</v>
      </c>
      <c r="F910" s="2">
        <v>1.3888888888888889E-4</v>
      </c>
      <c r="G910" s="2">
        <v>1.8055555555555555E-3</v>
      </c>
      <c r="H910" s="2">
        <v>2.4537037037037036E-3</v>
      </c>
      <c r="I910" s="1">
        <v>0.82489999999999997</v>
      </c>
    </row>
    <row r="911" spans="1:9" x14ac:dyDescent="0.3">
      <c r="A911">
        <v>910</v>
      </c>
      <c r="B911">
        <v>325</v>
      </c>
      <c r="C911">
        <v>285</v>
      </c>
      <c r="D911" s="1">
        <v>0.87690000000000001</v>
      </c>
      <c r="E911">
        <v>40</v>
      </c>
      <c r="F911" s="2">
        <v>3.7037037037037035E-4</v>
      </c>
      <c r="G911" s="2">
        <v>1.9097222222222222E-3</v>
      </c>
      <c r="H911" s="2">
        <v>6.7013888888888887E-3</v>
      </c>
      <c r="I911" s="1">
        <v>0.60819999999999996</v>
      </c>
    </row>
    <row r="912" spans="1:9" x14ac:dyDescent="0.3">
      <c r="A912">
        <v>911</v>
      </c>
      <c r="B912">
        <v>627</v>
      </c>
      <c r="C912">
        <v>504</v>
      </c>
      <c r="D912" s="1">
        <v>0.80379999999999996</v>
      </c>
      <c r="E912">
        <v>123</v>
      </c>
      <c r="F912" s="2">
        <v>4.2824074074074075E-4</v>
      </c>
      <c r="G912" s="2">
        <v>2.3148148148148147E-3</v>
      </c>
      <c r="H912" s="2">
        <v>1.3680555555555555E-2</v>
      </c>
      <c r="I912" s="1">
        <v>0.56930000000000003</v>
      </c>
    </row>
    <row r="913" spans="1:9" x14ac:dyDescent="0.3">
      <c r="A913">
        <v>912</v>
      </c>
      <c r="B913">
        <v>905</v>
      </c>
      <c r="C913">
        <v>631</v>
      </c>
      <c r="D913" s="1">
        <v>0.69720000000000004</v>
      </c>
      <c r="E913">
        <v>274</v>
      </c>
      <c r="F913" s="2">
        <v>9.6064814814814819E-4</v>
      </c>
      <c r="G913" s="2">
        <v>2.5694444444444445E-3</v>
      </c>
      <c r="H913" s="2">
        <v>8.3796296296296292E-3</v>
      </c>
      <c r="I913" s="1">
        <v>0.25679999999999997</v>
      </c>
    </row>
    <row r="914" spans="1:9" x14ac:dyDescent="0.3">
      <c r="A914">
        <v>913</v>
      </c>
      <c r="B914">
        <v>1141</v>
      </c>
      <c r="C914">
        <v>610</v>
      </c>
      <c r="D914" s="1">
        <v>0.53459999999999996</v>
      </c>
      <c r="E914">
        <v>531</v>
      </c>
      <c r="F914" s="2">
        <v>1.2268518518518518E-3</v>
      </c>
      <c r="G914" s="2">
        <v>2.2222222222222222E-3</v>
      </c>
      <c r="H914" s="2">
        <v>1.7951388888888888E-2</v>
      </c>
      <c r="I914" s="1">
        <v>0.14549999999999999</v>
      </c>
    </row>
    <row r="915" spans="1:9" x14ac:dyDescent="0.3">
      <c r="A915">
        <v>914</v>
      </c>
      <c r="B915">
        <v>863</v>
      </c>
      <c r="C915">
        <v>511</v>
      </c>
      <c r="D915" s="1">
        <v>0.59209999999999996</v>
      </c>
      <c r="E915">
        <v>352</v>
      </c>
      <c r="F915" s="2">
        <v>1.4699074074074074E-3</v>
      </c>
      <c r="G915" s="2">
        <v>2.1180555555555558E-3</v>
      </c>
      <c r="H915" s="2">
        <v>1.0914351851851852E-2</v>
      </c>
      <c r="I915" s="1">
        <v>0.12130000000000001</v>
      </c>
    </row>
    <row r="916" spans="1:9" x14ac:dyDescent="0.3">
      <c r="A916">
        <v>915</v>
      </c>
      <c r="B916">
        <v>63</v>
      </c>
      <c r="C916">
        <v>56</v>
      </c>
      <c r="D916" s="1">
        <v>0.88890000000000002</v>
      </c>
      <c r="E916">
        <v>7</v>
      </c>
      <c r="F916" s="2">
        <v>1.8518518518518518E-4</v>
      </c>
      <c r="G916" s="2">
        <v>1.7476851851851852E-3</v>
      </c>
      <c r="H916" s="2">
        <v>2.8703703703703703E-3</v>
      </c>
      <c r="I916" s="1">
        <v>0.7097</v>
      </c>
    </row>
    <row r="917" spans="1:9" x14ac:dyDescent="0.3">
      <c r="A917">
        <v>916</v>
      </c>
      <c r="B917">
        <v>573</v>
      </c>
      <c r="C917">
        <v>487</v>
      </c>
      <c r="D917" s="1">
        <v>0.84989999999999999</v>
      </c>
      <c r="E917">
        <v>86</v>
      </c>
      <c r="F917" s="2">
        <v>6.4814814814814813E-4</v>
      </c>
      <c r="G917" s="2">
        <v>1.9097222222222222E-3</v>
      </c>
      <c r="H917" s="2">
        <v>3.9699074074074072E-3</v>
      </c>
      <c r="I917" s="1">
        <v>0.34989999999999999</v>
      </c>
    </row>
    <row r="918" spans="1:9" x14ac:dyDescent="0.3">
      <c r="A918">
        <v>917</v>
      </c>
      <c r="B918">
        <v>391</v>
      </c>
      <c r="C918">
        <v>323</v>
      </c>
      <c r="D918" s="1">
        <v>0.82609999999999995</v>
      </c>
      <c r="E918">
        <v>68</v>
      </c>
      <c r="F918" s="2">
        <v>5.3240740740740744E-4</v>
      </c>
      <c r="G918" s="2">
        <v>2.1759259259259258E-3</v>
      </c>
      <c r="H918" s="2">
        <v>5.7407407407407407E-3</v>
      </c>
      <c r="I918" s="1">
        <v>0.42709999999999998</v>
      </c>
    </row>
    <row r="919" spans="1:9" x14ac:dyDescent="0.3">
      <c r="A919">
        <v>918</v>
      </c>
      <c r="B919">
        <v>526</v>
      </c>
      <c r="C919">
        <v>355</v>
      </c>
      <c r="D919" s="1">
        <v>0.67490000000000006</v>
      </c>
      <c r="E919">
        <v>171</v>
      </c>
      <c r="F919" s="2">
        <v>1.0300925925925926E-3</v>
      </c>
      <c r="G919" s="2">
        <v>2.662037037037037E-3</v>
      </c>
      <c r="H919" s="2">
        <v>1.3043981481481481E-2</v>
      </c>
      <c r="I919" s="1">
        <v>0.224</v>
      </c>
    </row>
    <row r="920" spans="1:9" x14ac:dyDescent="0.3">
      <c r="A920">
        <v>919</v>
      </c>
      <c r="B920">
        <v>343</v>
      </c>
      <c r="C920">
        <v>309</v>
      </c>
      <c r="D920" s="1">
        <v>0.90090000000000003</v>
      </c>
      <c r="E920">
        <v>34</v>
      </c>
      <c r="F920" s="2">
        <v>4.5138888888888887E-4</v>
      </c>
      <c r="G920" s="2">
        <v>2.3611111111111111E-3</v>
      </c>
      <c r="H920" s="2">
        <v>3.5879629629629629E-3</v>
      </c>
      <c r="I920" s="1">
        <v>0.48820000000000002</v>
      </c>
    </row>
    <row r="921" spans="1:9" x14ac:dyDescent="0.3">
      <c r="A921">
        <v>920</v>
      </c>
      <c r="B921">
        <v>401</v>
      </c>
      <c r="C921">
        <v>346</v>
      </c>
      <c r="D921" s="1">
        <v>0.86280000000000001</v>
      </c>
      <c r="E921">
        <v>55</v>
      </c>
      <c r="F921" s="2">
        <v>4.7453703703703704E-4</v>
      </c>
      <c r="G921" s="2">
        <v>2.2337962962962962E-3</v>
      </c>
      <c r="H921" s="2">
        <v>3.5879629629629629E-3</v>
      </c>
      <c r="I921" s="1">
        <v>0.44269999999999998</v>
      </c>
    </row>
    <row r="922" spans="1:9" x14ac:dyDescent="0.3">
      <c r="A922">
        <v>921</v>
      </c>
      <c r="B922">
        <v>281</v>
      </c>
      <c r="C922">
        <v>239</v>
      </c>
      <c r="D922" s="1">
        <v>0.85050000000000003</v>
      </c>
      <c r="E922">
        <v>42</v>
      </c>
      <c r="F922" s="2">
        <v>4.7453703703703704E-4</v>
      </c>
      <c r="G922" s="2">
        <v>2.1643518518518518E-3</v>
      </c>
      <c r="H922" s="2">
        <v>2.3148148148148147E-3</v>
      </c>
      <c r="I922" s="1">
        <v>0.42549999999999999</v>
      </c>
    </row>
    <row r="923" spans="1:9" x14ac:dyDescent="0.3">
      <c r="A923">
        <v>922</v>
      </c>
      <c r="B923">
        <v>46</v>
      </c>
      <c r="C923">
        <v>39</v>
      </c>
      <c r="D923" s="1">
        <v>0.8478</v>
      </c>
      <c r="E923">
        <v>7</v>
      </c>
      <c r="F923" s="2">
        <v>1.273148148148148E-4</v>
      </c>
      <c r="G923" s="2">
        <v>2.1875000000000002E-3</v>
      </c>
      <c r="H923" s="2">
        <v>2.8819444444444444E-3</v>
      </c>
      <c r="I923" s="1">
        <v>0.80430000000000001</v>
      </c>
    </row>
    <row r="924" spans="1:9" x14ac:dyDescent="0.3">
      <c r="A924">
        <v>923</v>
      </c>
      <c r="B924">
        <v>357</v>
      </c>
      <c r="C924">
        <v>323</v>
      </c>
      <c r="D924" s="1">
        <v>0.90480000000000005</v>
      </c>
      <c r="E924">
        <v>34</v>
      </c>
      <c r="F924" s="2">
        <v>3.7037037037037035E-4</v>
      </c>
      <c r="G924" s="2">
        <v>2.1759259259259258E-3</v>
      </c>
      <c r="H924" s="2">
        <v>5.0231481481481481E-3</v>
      </c>
      <c r="I924" s="1">
        <v>0.60909999999999997</v>
      </c>
    </row>
    <row r="925" spans="1:9" x14ac:dyDescent="0.3">
      <c r="A925">
        <v>924</v>
      </c>
      <c r="B925">
        <v>280</v>
      </c>
      <c r="C925">
        <v>255</v>
      </c>
      <c r="D925" s="1">
        <v>0.91069999999999995</v>
      </c>
      <c r="E925">
        <v>25</v>
      </c>
      <c r="F925" s="2">
        <v>3.9351851851851852E-4</v>
      </c>
      <c r="G925" s="2">
        <v>2.1064814814814813E-3</v>
      </c>
      <c r="H925" s="2">
        <v>2.4421296296296296E-3</v>
      </c>
      <c r="I925" s="1">
        <v>0.52900000000000003</v>
      </c>
    </row>
    <row r="926" spans="1:9" x14ac:dyDescent="0.3">
      <c r="A926">
        <v>925</v>
      </c>
      <c r="B926">
        <v>258</v>
      </c>
      <c r="C926">
        <v>247</v>
      </c>
      <c r="D926" s="1">
        <v>0.95740000000000003</v>
      </c>
      <c r="E926">
        <v>11</v>
      </c>
      <c r="F926" s="2">
        <v>2.8935185185185184E-4</v>
      </c>
      <c r="G926" s="2">
        <v>2.0486111111111113E-3</v>
      </c>
      <c r="H926" s="2">
        <v>2.9166666666666668E-3</v>
      </c>
      <c r="I926" s="1">
        <v>0.70199999999999996</v>
      </c>
    </row>
    <row r="927" spans="1:9" x14ac:dyDescent="0.3">
      <c r="A927">
        <v>926</v>
      </c>
      <c r="B927">
        <v>282</v>
      </c>
      <c r="C927">
        <v>255</v>
      </c>
      <c r="D927" s="1">
        <v>0.90429999999999999</v>
      </c>
      <c r="E927">
        <v>27</v>
      </c>
      <c r="F927" s="2">
        <v>2.0833333333333335E-4</v>
      </c>
      <c r="G927" s="2">
        <v>1.9328703703703704E-3</v>
      </c>
      <c r="H927" s="2">
        <v>2.8819444444444444E-3</v>
      </c>
      <c r="I927" s="1">
        <v>0.74729999999999996</v>
      </c>
    </row>
    <row r="928" spans="1:9" x14ac:dyDescent="0.3">
      <c r="A928">
        <v>927</v>
      </c>
      <c r="B928">
        <v>253</v>
      </c>
      <c r="C928">
        <v>240</v>
      </c>
      <c r="D928" s="1">
        <v>0.9486</v>
      </c>
      <c r="E928">
        <v>13</v>
      </c>
      <c r="F928" s="2">
        <v>2.0833333333333335E-4</v>
      </c>
      <c r="G928" s="2">
        <v>1.8634259259259259E-3</v>
      </c>
      <c r="H928" s="2">
        <v>4.2939814814814811E-3</v>
      </c>
      <c r="I928" s="1">
        <v>0.752</v>
      </c>
    </row>
    <row r="929" spans="1:9" x14ac:dyDescent="0.3">
      <c r="A929">
        <v>928</v>
      </c>
      <c r="B929">
        <v>266</v>
      </c>
      <c r="C929">
        <v>232</v>
      </c>
      <c r="D929" s="1">
        <v>0.87219999999999998</v>
      </c>
      <c r="E929">
        <v>34</v>
      </c>
      <c r="F929" s="2">
        <v>4.2824074074074075E-4</v>
      </c>
      <c r="G929" s="2">
        <v>1.9560185185185184E-3</v>
      </c>
      <c r="H929" s="2">
        <v>4.2939814814814811E-3</v>
      </c>
      <c r="I929" s="1">
        <v>0.57589999999999997</v>
      </c>
    </row>
    <row r="930" spans="1:9" x14ac:dyDescent="0.3">
      <c r="A930">
        <v>929</v>
      </c>
      <c r="B930">
        <v>30</v>
      </c>
      <c r="C930">
        <v>29</v>
      </c>
      <c r="D930" s="1">
        <v>0.9667</v>
      </c>
      <c r="E930">
        <v>1</v>
      </c>
      <c r="F930" s="2">
        <v>1.1574074074074075E-4</v>
      </c>
      <c r="G930" s="2">
        <v>2.3263888888888887E-3</v>
      </c>
      <c r="H930" s="2">
        <v>5.6712962962962967E-4</v>
      </c>
      <c r="I930" s="1">
        <v>0.9</v>
      </c>
    </row>
    <row r="931" spans="1:9" x14ac:dyDescent="0.3">
      <c r="A931">
        <v>930</v>
      </c>
      <c r="B931">
        <v>258</v>
      </c>
      <c r="C931">
        <v>230</v>
      </c>
      <c r="D931" s="1">
        <v>0.89149999999999996</v>
      </c>
      <c r="E931">
        <v>28</v>
      </c>
      <c r="F931" s="2">
        <v>3.8194444444444446E-4</v>
      </c>
      <c r="G931" s="2">
        <v>2.0949074074074073E-3</v>
      </c>
      <c r="H931" s="2">
        <v>2.9398148148148148E-3</v>
      </c>
      <c r="I931" s="1">
        <v>0.53539999999999999</v>
      </c>
    </row>
    <row r="932" spans="1:9" x14ac:dyDescent="0.3">
      <c r="A932">
        <v>931</v>
      </c>
      <c r="B932">
        <v>293</v>
      </c>
      <c r="C932">
        <v>282</v>
      </c>
      <c r="D932" s="1">
        <v>0.96250000000000002</v>
      </c>
      <c r="E932">
        <v>11</v>
      </c>
      <c r="F932" s="2">
        <v>2.6620370370370372E-4</v>
      </c>
      <c r="G932" s="2">
        <v>1.8402777777777777E-3</v>
      </c>
      <c r="H932" s="2">
        <v>1.8287037037037037E-3</v>
      </c>
      <c r="I932" s="1">
        <v>0.70240000000000002</v>
      </c>
    </row>
    <row r="933" spans="1:9" x14ac:dyDescent="0.3">
      <c r="A933">
        <v>932</v>
      </c>
      <c r="B933">
        <v>377</v>
      </c>
      <c r="C933">
        <v>341</v>
      </c>
      <c r="D933" s="1">
        <v>0.90449999999999997</v>
      </c>
      <c r="E933">
        <v>36</v>
      </c>
      <c r="F933" s="2">
        <v>2.3148148148148149E-4</v>
      </c>
      <c r="G933" s="2">
        <v>1.6319444444444445E-3</v>
      </c>
      <c r="H933" s="2">
        <v>2.1875000000000002E-3</v>
      </c>
      <c r="I933" s="1">
        <v>0.68279999999999996</v>
      </c>
    </row>
    <row r="934" spans="1:9" x14ac:dyDescent="0.3">
      <c r="A934">
        <v>933</v>
      </c>
      <c r="B934">
        <v>196</v>
      </c>
      <c r="C934">
        <v>182</v>
      </c>
      <c r="D934" s="1">
        <v>0.92859999999999998</v>
      </c>
      <c r="E934">
        <v>14</v>
      </c>
      <c r="F934" s="2">
        <v>3.2407407407407406E-4</v>
      </c>
      <c r="G934" s="2">
        <v>1.8171296296296297E-3</v>
      </c>
      <c r="H934" s="2">
        <v>2.0138888888888888E-3</v>
      </c>
      <c r="I934" s="1">
        <v>0.61860000000000004</v>
      </c>
    </row>
    <row r="935" spans="1:9" x14ac:dyDescent="0.3">
      <c r="A935">
        <v>934</v>
      </c>
      <c r="B935">
        <v>192</v>
      </c>
      <c r="C935">
        <v>173</v>
      </c>
      <c r="D935" s="1">
        <v>0.90100000000000002</v>
      </c>
      <c r="E935">
        <v>19</v>
      </c>
      <c r="F935" s="2">
        <v>3.8194444444444446E-4</v>
      </c>
      <c r="G935" s="2">
        <v>1.8981481481481482E-3</v>
      </c>
      <c r="H935" s="2">
        <v>4.6180555555555558E-3</v>
      </c>
      <c r="I935" s="1">
        <v>0.61780000000000002</v>
      </c>
    </row>
    <row r="936" spans="1:9" x14ac:dyDescent="0.3">
      <c r="A936">
        <v>935</v>
      </c>
      <c r="B936">
        <v>185</v>
      </c>
      <c r="C936">
        <v>178</v>
      </c>
      <c r="D936" s="1">
        <v>0.96220000000000006</v>
      </c>
      <c r="E936">
        <v>7</v>
      </c>
      <c r="F936" s="2">
        <v>1.9675925925925926E-4</v>
      </c>
      <c r="G936" s="2">
        <v>1.9212962962962964E-3</v>
      </c>
      <c r="H936" s="2">
        <v>2.1875000000000002E-3</v>
      </c>
      <c r="I936" s="1">
        <v>0.7772</v>
      </c>
    </row>
    <row r="937" spans="1:9" x14ac:dyDescent="0.3">
      <c r="A937">
        <v>936</v>
      </c>
      <c r="B937">
        <v>27</v>
      </c>
      <c r="C937">
        <v>25</v>
      </c>
      <c r="D937" s="1">
        <v>0.92589999999999995</v>
      </c>
      <c r="E937">
        <v>2</v>
      </c>
      <c r="F937" s="2">
        <v>2.0833333333333335E-4</v>
      </c>
      <c r="G937" s="2">
        <v>1.4930555555555556E-3</v>
      </c>
      <c r="H937" s="2">
        <v>2.1643518518518518E-3</v>
      </c>
      <c r="I937" s="1">
        <v>0.74070000000000003</v>
      </c>
    </row>
    <row r="938" spans="1:9" x14ac:dyDescent="0.3">
      <c r="A938">
        <v>937</v>
      </c>
      <c r="B938">
        <v>222</v>
      </c>
      <c r="C938">
        <v>214</v>
      </c>
      <c r="D938" s="1">
        <v>0.96399999999999997</v>
      </c>
      <c r="E938">
        <v>8</v>
      </c>
      <c r="F938" s="2">
        <v>2.0833333333333335E-4</v>
      </c>
      <c r="G938" s="2">
        <v>2.0486111111111113E-3</v>
      </c>
      <c r="H938" s="2">
        <v>4.3055555555555555E-3</v>
      </c>
      <c r="I938" s="1">
        <v>0.74660000000000004</v>
      </c>
    </row>
    <row r="939" spans="1:9" x14ac:dyDescent="0.3">
      <c r="A939">
        <v>938</v>
      </c>
      <c r="B939">
        <v>217</v>
      </c>
      <c r="C939">
        <v>198</v>
      </c>
      <c r="D939" s="1">
        <v>0.91239999999999999</v>
      </c>
      <c r="E939">
        <v>19</v>
      </c>
      <c r="F939" s="2">
        <v>1.0416666666666667E-4</v>
      </c>
      <c r="G939" s="2">
        <v>1.8865740740740742E-3</v>
      </c>
      <c r="H939" s="2">
        <v>2.0486111111111113E-3</v>
      </c>
      <c r="I939" s="1">
        <v>0.88829999999999998</v>
      </c>
    </row>
    <row r="940" spans="1:9" x14ac:dyDescent="0.3">
      <c r="A940">
        <v>939</v>
      </c>
      <c r="B940">
        <v>204</v>
      </c>
      <c r="C940">
        <v>197</v>
      </c>
      <c r="D940" s="1">
        <v>0.9657</v>
      </c>
      <c r="E940">
        <v>7</v>
      </c>
      <c r="F940" s="2">
        <v>1.9675925925925926E-4</v>
      </c>
      <c r="G940" s="2">
        <v>1.8518518518518519E-3</v>
      </c>
      <c r="H940" s="2">
        <v>2.662037037037037E-3</v>
      </c>
      <c r="I940" s="1">
        <v>0.79700000000000004</v>
      </c>
    </row>
    <row r="941" spans="1:9" x14ac:dyDescent="0.3">
      <c r="A941">
        <v>940</v>
      </c>
      <c r="B941">
        <v>191</v>
      </c>
      <c r="C941">
        <v>181</v>
      </c>
      <c r="D941" s="1">
        <v>0.9476</v>
      </c>
      <c r="E941">
        <v>10</v>
      </c>
      <c r="F941" s="2">
        <v>1.3888888888888889E-4</v>
      </c>
      <c r="G941" s="2">
        <v>1.9212962962962964E-3</v>
      </c>
      <c r="H941" s="2">
        <v>3.2870370370370371E-3</v>
      </c>
      <c r="I941" s="1">
        <v>0.87229999999999996</v>
      </c>
    </row>
    <row r="942" spans="1:9" x14ac:dyDescent="0.3">
      <c r="A942">
        <v>941</v>
      </c>
      <c r="B942">
        <v>176</v>
      </c>
      <c r="C942">
        <v>157</v>
      </c>
      <c r="D942" s="1">
        <v>0.89200000000000002</v>
      </c>
      <c r="E942">
        <v>19</v>
      </c>
      <c r="F942" s="2">
        <v>1.9675925925925926E-4</v>
      </c>
      <c r="G942" s="2">
        <v>1.9791666666666668E-3</v>
      </c>
      <c r="H942" s="2">
        <v>2.8703703703703703E-3</v>
      </c>
      <c r="I942" s="1">
        <v>0.73529999999999995</v>
      </c>
    </row>
    <row r="943" spans="1:9" x14ac:dyDescent="0.3">
      <c r="A943">
        <v>942</v>
      </c>
      <c r="B943">
        <v>176</v>
      </c>
      <c r="C943">
        <v>163</v>
      </c>
      <c r="D943" s="1">
        <v>0.92610000000000003</v>
      </c>
      <c r="E943">
        <v>13</v>
      </c>
      <c r="F943" s="2">
        <v>2.7777777777777778E-4</v>
      </c>
      <c r="G943" s="2">
        <v>2.2106481481481482E-3</v>
      </c>
      <c r="H943" s="2">
        <v>2.1643518518518518E-3</v>
      </c>
      <c r="I943" s="1">
        <v>0.64159999999999995</v>
      </c>
    </row>
    <row r="944" spans="1:9" x14ac:dyDescent="0.3">
      <c r="A944">
        <v>943</v>
      </c>
      <c r="B944">
        <v>26</v>
      </c>
      <c r="C944">
        <v>26</v>
      </c>
      <c r="D944" s="1">
        <v>1</v>
      </c>
      <c r="E944">
        <v>0</v>
      </c>
      <c r="F944" s="2">
        <v>2.7777777777777778E-4</v>
      </c>
      <c r="G944" s="2">
        <v>2.1180555555555558E-3</v>
      </c>
      <c r="H944" s="2">
        <v>1.3541666666666667E-3</v>
      </c>
      <c r="I944" s="1">
        <v>0.69230000000000003</v>
      </c>
    </row>
    <row r="945" spans="1:9" x14ac:dyDescent="0.3">
      <c r="A945">
        <v>944</v>
      </c>
      <c r="B945">
        <v>170</v>
      </c>
      <c r="C945">
        <v>167</v>
      </c>
      <c r="D945" s="1">
        <v>0.98240000000000005</v>
      </c>
      <c r="E945">
        <v>3</v>
      </c>
      <c r="F945" s="2">
        <v>1.8518518518518518E-4</v>
      </c>
      <c r="G945" s="2">
        <v>1.9328703703703704E-3</v>
      </c>
      <c r="H945" s="2">
        <v>1.4814814814814814E-3</v>
      </c>
      <c r="I945" s="1">
        <v>0.79410000000000003</v>
      </c>
    </row>
    <row r="946" spans="1:9" x14ac:dyDescent="0.3">
      <c r="A946">
        <v>945</v>
      </c>
      <c r="B946">
        <v>154</v>
      </c>
      <c r="C946">
        <v>147</v>
      </c>
      <c r="D946" s="1">
        <v>0.95450000000000002</v>
      </c>
      <c r="E946">
        <v>7</v>
      </c>
      <c r="F946" s="2">
        <v>2.4305555555555555E-4</v>
      </c>
      <c r="G946" s="2">
        <v>2.1064814814814813E-3</v>
      </c>
      <c r="H946" s="2">
        <v>2.627314814814815E-3</v>
      </c>
      <c r="I946" s="1">
        <v>0.75160000000000005</v>
      </c>
    </row>
    <row r="947" spans="1:9" x14ac:dyDescent="0.3">
      <c r="A947">
        <v>946</v>
      </c>
      <c r="B947">
        <v>165</v>
      </c>
      <c r="C947">
        <v>152</v>
      </c>
      <c r="D947" s="1">
        <v>0.92120000000000002</v>
      </c>
      <c r="E947">
        <v>13</v>
      </c>
      <c r="F947" s="2">
        <v>1.9675925925925926E-4</v>
      </c>
      <c r="G947" s="2">
        <v>2.0601851851851853E-3</v>
      </c>
      <c r="H947" s="2">
        <v>2.5462962962962965E-3</v>
      </c>
      <c r="I947" s="1">
        <v>0.8075</v>
      </c>
    </row>
    <row r="948" spans="1:9" x14ac:dyDescent="0.3">
      <c r="A948">
        <v>947</v>
      </c>
      <c r="B948">
        <v>153</v>
      </c>
      <c r="C948">
        <v>143</v>
      </c>
      <c r="D948" s="1">
        <v>0.93459999999999999</v>
      </c>
      <c r="E948">
        <v>10</v>
      </c>
      <c r="F948" s="2">
        <v>2.199074074074074E-4</v>
      </c>
      <c r="G948" s="2">
        <v>2.1412037037037038E-3</v>
      </c>
      <c r="H948" s="2">
        <v>2.2569444444444442E-3</v>
      </c>
      <c r="I948" s="1">
        <v>0.77629999999999999</v>
      </c>
    </row>
    <row r="949" spans="1:9" x14ac:dyDescent="0.3">
      <c r="A949">
        <v>948</v>
      </c>
      <c r="B949">
        <v>175</v>
      </c>
      <c r="C949">
        <v>169</v>
      </c>
      <c r="D949" s="1">
        <v>0.9657</v>
      </c>
      <c r="E949">
        <v>6</v>
      </c>
      <c r="F949" s="2">
        <v>1.273148148148148E-4</v>
      </c>
      <c r="G949" s="2">
        <v>1.5856481481481481E-3</v>
      </c>
      <c r="H949" s="2">
        <v>1.5277777777777779E-3</v>
      </c>
      <c r="I949" s="1">
        <v>0.85629999999999995</v>
      </c>
    </row>
    <row r="950" spans="1:9" x14ac:dyDescent="0.3">
      <c r="A950">
        <v>949</v>
      </c>
      <c r="B950">
        <v>241</v>
      </c>
      <c r="C950">
        <v>214</v>
      </c>
      <c r="D950" s="1">
        <v>0.88800000000000001</v>
      </c>
      <c r="E950">
        <v>27</v>
      </c>
      <c r="F950" s="2">
        <v>3.3564814814814812E-4</v>
      </c>
      <c r="G950" s="2">
        <v>2.0833333333333333E-3</v>
      </c>
      <c r="H950" s="2">
        <v>1.0104166666666666E-2</v>
      </c>
      <c r="I950" s="1">
        <v>0.6623</v>
      </c>
    </row>
    <row r="951" spans="1:9" x14ac:dyDescent="0.3">
      <c r="A951">
        <v>950</v>
      </c>
      <c r="B951">
        <v>14</v>
      </c>
      <c r="C951">
        <v>14</v>
      </c>
      <c r="D951" s="1">
        <v>1</v>
      </c>
      <c r="E951">
        <v>0</v>
      </c>
      <c r="F951" s="2">
        <v>1.8518518518518518E-4</v>
      </c>
      <c r="G951" s="2">
        <v>1.9212962962962964E-3</v>
      </c>
      <c r="H951" s="2">
        <v>1.0069444444444444E-3</v>
      </c>
      <c r="I951" s="1">
        <v>0.85709999999999997</v>
      </c>
    </row>
    <row r="952" spans="1:9" x14ac:dyDescent="0.3">
      <c r="A952">
        <v>951</v>
      </c>
      <c r="B952">
        <v>57</v>
      </c>
      <c r="C952">
        <v>55</v>
      </c>
      <c r="D952" s="1">
        <v>0.96489999999999998</v>
      </c>
      <c r="E952">
        <v>2</v>
      </c>
      <c r="F952" s="2">
        <v>1.3888888888888889E-4</v>
      </c>
      <c r="G952" s="2">
        <v>1.7939814814814815E-3</v>
      </c>
      <c r="H952" s="2">
        <v>1.4699074074074074E-3</v>
      </c>
      <c r="I952" s="1">
        <v>0.85960000000000003</v>
      </c>
    </row>
    <row r="953" spans="1:9" x14ac:dyDescent="0.3">
      <c r="A953">
        <v>952</v>
      </c>
      <c r="B953">
        <v>954</v>
      </c>
      <c r="C953">
        <v>644</v>
      </c>
      <c r="D953" s="1">
        <v>0.67510000000000003</v>
      </c>
      <c r="E953">
        <v>310</v>
      </c>
      <c r="F953" s="2">
        <v>8.564814814814815E-4</v>
      </c>
      <c r="G953" s="2">
        <v>1.4467592592592592E-3</v>
      </c>
      <c r="H953" s="2">
        <v>7.7777777777777776E-3</v>
      </c>
      <c r="I953" s="1">
        <v>0.26329999999999998</v>
      </c>
    </row>
    <row r="954" spans="1:9" x14ac:dyDescent="0.3">
      <c r="A954">
        <v>953</v>
      </c>
      <c r="B954">
        <v>374</v>
      </c>
      <c r="C954">
        <v>344</v>
      </c>
      <c r="D954" s="1">
        <v>0.91979999999999995</v>
      </c>
      <c r="E954">
        <v>30</v>
      </c>
      <c r="F954" s="2">
        <v>3.2407407407407406E-4</v>
      </c>
      <c r="G954" s="2">
        <v>2.1180555555555558E-3</v>
      </c>
      <c r="H954" s="2">
        <v>6.1574074074074074E-3</v>
      </c>
      <c r="I954" s="1">
        <v>0.61850000000000005</v>
      </c>
    </row>
    <row r="955" spans="1:9" x14ac:dyDescent="0.3">
      <c r="A955">
        <v>954</v>
      </c>
      <c r="B955">
        <v>265</v>
      </c>
      <c r="C955">
        <v>245</v>
      </c>
      <c r="D955" s="1">
        <v>0.92449999999999999</v>
      </c>
      <c r="E955">
        <v>20</v>
      </c>
      <c r="F955" s="2">
        <v>3.5879629629629629E-4</v>
      </c>
      <c r="G955" s="2">
        <v>2.1412037037037038E-3</v>
      </c>
      <c r="H955" s="2">
        <v>2.3263888888888887E-3</v>
      </c>
      <c r="I955" s="1">
        <v>0.56699999999999995</v>
      </c>
    </row>
    <row r="956" spans="1:9" x14ac:dyDescent="0.3">
      <c r="A956">
        <v>955</v>
      </c>
      <c r="B956">
        <v>222</v>
      </c>
      <c r="C956">
        <v>205</v>
      </c>
      <c r="D956" s="1">
        <v>0.9234</v>
      </c>
      <c r="E956">
        <v>17</v>
      </c>
      <c r="F956" s="2">
        <v>2.3148148148148149E-4</v>
      </c>
      <c r="G956" s="2">
        <v>2.2222222222222222E-3</v>
      </c>
      <c r="H956" s="2">
        <v>1.5046296296296296E-3</v>
      </c>
      <c r="I956" s="1">
        <v>0.72689999999999999</v>
      </c>
    </row>
    <row r="957" spans="1:9" x14ac:dyDescent="0.3">
      <c r="A957">
        <v>956</v>
      </c>
      <c r="B957">
        <v>203</v>
      </c>
      <c r="C957">
        <v>192</v>
      </c>
      <c r="D957" s="1">
        <v>0.94579999999999997</v>
      </c>
      <c r="E957">
        <v>11</v>
      </c>
      <c r="F957" s="2">
        <v>3.1250000000000001E-4</v>
      </c>
      <c r="G957" s="2">
        <v>2.1296296296296298E-3</v>
      </c>
      <c r="H957" s="2">
        <v>2.8587962962962963E-3</v>
      </c>
      <c r="I957" s="1">
        <v>0.68659999999999999</v>
      </c>
    </row>
    <row r="958" spans="1:9" x14ac:dyDescent="0.3">
      <c r="A958">
        <v>957</v>
      </c>
      <c r="B958">
        <v>33</v>
      </c>
      <c r="C958">
        <v>31</v>
      </c>
      <c r="D958" s="1">
        <v>0.93940000000000001</v>
      </c>
      <c r="E958">
        <v>2</v>
      </c>
      <c r="F958" s="2">
        <v>3.3564814814814812E-4</v>
      </c>
      <c r="G958" s="2">
        <v>1.5625000000000001E-3</v>
      </c>
      <c r="H958" s="2">
        <v>3.9699074074074072E-3</v>
      </c>
      <c r="I958" s="1">
        <v>0.78129999999999999</v>
      </c>
    </row>
    <row r="959" spans="1:9" x14ac:dyDescent="0.3">
      <c r="A959">
        <v>958</v>
      </c>
      <c r="B959">
        <v>220</v>
      </c>
      <c r="C959">
        <v>195</v>
      </c>
      <c r="D959" s="1">
        <v>0.88639999999999997</v>
      </c>
      <c r="E959">
        <v>25</v>
      </c>
      <c r="F959" s="2">
        <v>3.2407407407407406E-4</v>
      </c>
      <c r="G959" s="2">
        <v>1.9097222222222222E-3</v>
      </c>
      <c r="H959" s="2">
        <v>2.1527777777777778E-3</v>
      </c>
      <c r="I959" s="1">
        <v>0.59619999999999995</v>
      </c>
    </row>
    <row r="960" spans="1:9" x14ac:dyDescent="0.3">
      <c r="A960">
        <v>959</v>
      </c>
      <c r="B960">
        <v>185</v>
      </c>
      <c r="C960">
        <v>177</v>
      </c>
      <c r="D960" s="1">
        <v>0.95679999999999998</v>
      </c>
      <c r="E960">
        <v>8</v>
      </c>
      <c r="F960" s="2">
        <v>1.8518518518518518E-4</v>
      </c>
      <c r="G960" s="2">
        <v>1.7708333333333332E-3</v>
      </c>
      <c r="H960" s="2">
        <v>2.1759259259259258E-3</v>
      </c>
      <c r="I960" s="1">
        <v>0.80110000000000003</v>
      </c>
    </row>
    <row r="961" spans="1:9" x14ac:dyDescent="0.3">
      <c r="A961">
        <v>960</v>
      </c>
      <c r="B961">
        <v>203</v>
      </c>
      <c r="C961">
        <v>172</v>
      </c>
      <c r="D961" s="1">
        <v>0.84730000000000005</v>
      </c>
      <c r="E961">
        <v>31</v>
      </c>
      <c r="F961" s="2">
        <v>3.9351851851851852E-4</v>
      </c>
      <c r="G961" s="2">
        <v>2.0023148148148148E-3</v>
      </c>
      <c r="H961" s="2">
        <v>3.5416666666666665E-3</v>
      </c>
      <c r="I961" s="1">
        <v>0.52790000000000004</v>
      </c>
    </row>
    <row r="962" spans="1:9" x14ac:dyDescent="0.3">
      <c r="A962">
        <v>961</v>
      </c>
      <c r="B962">
        <v>218</v>
      </c>
      <c r="C962">
        <v>193</v>
      </c>
      <c r="D962" s="1">
        <v>0.88529999999999998</v>
      </c>
      <c r="E962">
        <v>25</v>
      </c>
      <c r="F962" s="2">
        <v>3.9351851851851852E-4</v>
      </c>
      <c r="G962" s="2">
        <v>2.0601851851851853E-3</v>
      </c>
      <c r="H962" s="2">
        <v>5.2546296296296299E-3</v>
      </c>
      <c r="I962" s="1">
        <v>0.61970000000000003</v>
      </c>
    </row>
    <row r="963" spans="1:9" x14ac:dyDescent="0.3">
      <c r="A963">
        <v>962</v>
      </c>
      <c r="B963">
        <v>204</v>
      </c>
      <c r="C963">
        <v>194</v>
      </c>
      <c r="D963" s="1">
        <v>0.95099999999999996</v>
      </c>
      <c r="E963">
        <v>10</v>
      </c>
      <c r="F963" s="2">
        <v>1.8518518518518518E-4</v>
      </c>
      <c r="G963" s="2">
        <v>1.9907407407407408E-3</v>
      </c>
      <c r="H963" s="2">
        <v>2.1527777777777778E-3</v>
      </c>
      <c r="I963" s="1">
        <v>0.81310000000000004</v>
      </c>
    </row>
    <row r="964" spans="1:9" x14ac:dyDescent="0.3">
      <c r="A964">
        <v>963</v>
      </c>
      <c r="B964">
        <v>242</v>
      </c>
      <c r="C964">
        <v>211</v>
      </c>
      <c r="D964" s="1">
        <v>0.87190000000000001</v>
      </c>
      <c r="E964">
        <v>31</v>
      </c>
      <c r="F964" s="2">
        <v>5.0925925925925921E-4</v>
      </c>
      <c r="G964" s="2">
        <v>2.0486111111111113E-3</v>
      </c>
      <c r="H964" s="2">
        <v>4.2592592592592595E-3</v>
      </c>
      <c r="I964" s="1">
        <v>0.47699999999999998</v>
      </c>
    </row>
    <row r="965" spans="1:9" x14ac:dyDescent="0.3">
      <c r="A965">
        <v>964</v>
      </c>
      <c r="B965">
        <v>29</v>
      </c>
      <c r="C965">
        <v>29</v>
      </c>
      <c r="D965" s="1">
        <v>1</v>
      </c>
      <c r="E965">
        <v>0</v>
      </c>
      <c r="F965" s="2">
        <v>9.2592592592592588E-5</v>
      </c>
      <c r="G965" s="2">
        <v>1.8518518518518519E-3</v>
      </c>
      <c r="H965" s="2">
        <v>5.0925925925925921E-4</v>
      </c>
      <c r="I965" s="1">
        <v>0.89659999999999995</v>
      </c>
    </row>
    <row r="966" spans="1:9" x14ac:dyDescent="0.3">
      <c r="A966">
        <v>965</v>
      </c>
      <c r="B966">
        <v>171</v>
      </c>
      <c r="C966">
        <v>163</v>
      </c>
      <c r="D966" s="1">
        <v>0.95320000000000005</v>
      </c>
      <c r="E966">
        <v>8</v>
      </c>
      <c r="F966" s="2">
        <v>2.7777777777777778E-4</v>
      </c>
      <c r="G966" s="2">
        <v>2.0601851851851853E-3</v>
      </c>
      <c r="H966" s="2">
        <v>2.3032407407407407E-3</v>
      </c>
      <c r="I966" s="1">
        <v>0.69230000000000003</v>
      </c>
    </row>
    <row r="967" spans="1:9" x14ac:dyDescent="0.3">
      <c r="A967">
        <v>966</v>
      </c>
      <c r="B967">
        <v>190</v>
      </c>
      <c r="C967">
        <v>166</v>
      </c>
      <c r="D967" s="1">
        <v>0.87370000000000003</v>
      </c>
      <c r="E967">
        <v>24</v>
      </c>
      <c r="F967" s="2">
        <v>5.3240740740740744E-4</v>
      </c>
      <c r="G967" s="2">
        <v>2.0717592592592593E-3</v>
      </c>
      <c r="H967" s="2">
        <v>6.4814814814814813E-3</v>
      </c>
      <c r="I967" s="1">
        <v>0.42249999999999999</v>
      </c>
    </row>
    <row r="968" spans="1:9" x14ac:dyDescent="0.3">
      <c r="A968">
        <v>967</v>
      </c>
      <c r="B968">
        <v>221</v>
      </c>
      <c r="C968">
        <v>196</v>
      </c>
      <c r="D968" s="1">
        <v>0.88690000000000002</v>
      </c>
      <c r="E968">
        <v>25</v>
      </c>
      <c r="F968" s="2">
        <v>3.8194444444444446E-4</v>
      </c>
      <c r="G968" s="2">
        <v>2.0486111111111113E-3</v>
      </c>
      <c r="H968" s="2">
        <v>3.7615740740740739E-3</v>
      </c>
      <c r="I968" s="1">
        <v>0.53669999999999995</v>
      </c>
    </row>
    <row r="969" spans="1:9" x14ac:dyDescent="0.3">
      <c r="A969">
        <v>968</v>
      </c>
      <c r="B969">
        <v>297</v>
      </c>
      <c r="C969">
        <v>241</v>
      </c>
      <c r="D969" s="1">
        <v>0.81140000000000001</v>
      </c>
      <c r="E969">
        <v>56</v>
      </c>
      <c r="F969" s="2">
        <v>5.6712962962962967E-4</v>
      </c>
      <c r="G969" s="2">
        <v>2.2106481481481482E-3</v>
      </c>
      <c r="H969" s="2">
        <v>4.7685185185185183E-3</v>
      </c>
      <c r="I969" s="1">
        <v>0.44829999999999998</v>
      </c>
    </row>
    <row r="970" spans="1:9" x14ac:dyDescent="0.3">
      <c r="A970">
        <v>969</v>
      </c>
      <c r="B970">
        <v>233</v>
      </c>
      <c r="C970">
        <v>214</v>
      </c>
      <c r="D970" s="1">
        <v>0.91849999999999998</v>
      </c>
      <c r="E970">
        <v>19</v>
      </c>
      <c r="F970" s="2">
        <v>3.0092592592592595E-4</v>
      </c>
      <c r="G970" s="2">
        <v>1.9560185185185184E-3</v>
      </c>
      <c r="H970" s="2">
        <v>2.6967592592592594E-3</v>
      </c>
      <c r="I970" s="1">
        <v>0.625</v>
      </c>
    </row>
    <row r="971" spans="1:9" x14ac:dyDescent="0.3">
      <c r="A971">
        <v>970</v>
      </c>
      <c r="B971">
        <v>198</v>
      </c>
      <c r="C971">
        <v>191</v>
      </c>
      <c r="D971" s="1">
        <v>0.96460000000000001</v>
      </c>
      <c r="E971">
        <v>7</v>
      </c>
      <c r="F971" s="2">
        <v>1.6203703703703703E-4</v>
      </c>
      <c r="G971" s="2">
        <v>2.0949074074074073E-3</v>
      </c>
      <c r="H971" s="2">
        <v>1.4930555555555556E-3</v>
      </c>
      <c r="I971" s="1">
        <v>0.82740000000000002</v>
      </c>
    </row>
    <row r="972" spans="1:9" x14ac:dyDescent="0.3">
      <c r="A972">
        <v>971</v>
      </c>
      <c r="B972">
        <v>15</v>
      </c>
      <c r="C972">
        <v>15</v>
      </c>
      <c r="D972" s="1">
        <v>1</v>
      </c>
      <c r="E972">
        <v>0</v>
      </c>
      <c r="F972" s="2">
        <v>4.6296296296296294E-5</v>
      </c>
      <c r="G972" s="2">
        <v>2.3032407407407407E-3</v>
      </c>
      <c r="H972" s="2">
        <v>1.6203703703703703E-4</v>
      </c>
      <c r="I972" s="1">
        <v>1</v>
      </c>
    </row>
    <row r="973" spans="1:9" x14ac:dyDescent="0.3">
      <c r="A973">
        <v>972</v>
      </c>
      <c r="B973">
        <v>27</v>
      </c>
      <c r="C973">
        <v>25</v>
      </c>
      <c r="D973" s="1">
        <v>0.92589999999999995</v>
      </c>
      <c r="E973">
        <v>2</v>
      </c>
      <c r="F973" s="2">
        <v>9.2592592592592588E-5</v>
      </c>
      <c r="G973" s="2">
        <v>1.7824074074074075E-3</v>
      </c>
      <c r="H973" s="2">
        <v>1.4351851851851852E-3</v>
      </c>
      <c r="I973" s="1">
        <v>0.88890000000000002</v>
      </c>
    </row>
    <row r="974" spans="1:9" x14ac:dyDescent="0.3">
      <c r="A974">
        <v>973</v>
      </c>
      <c r="B974">
        <v>7</v>
      </c>
      <c r="C974">
        <v>6</v>
      </c>
      <c r="D974" s="1">
        <v>0.85709999999999997</v>
      </c>
      <c r="E974">
        <v>1</v>
      </c>
      <c r="F974" s="2">
        <v>3.4722222222222222E-5</v>
      </c>
      <c r="G974" s="2">
        <v>3.3333333333333335E-3</v>
      </c>
      <c r="H974" s="2">
        <v>3.5879629629629629E-4</v>
      </c>
      <c r="I974" s="1">
        <v>0.85709999999999997</v>
      </c>
    </row>
    <row r="975" spans="1:9" x14ac:dyDescent="0.3">
      <c r="A975">
        <v>974</v>
      </c>
      <c r="B975">
        <v>169</v>
      </c>
      <c r="C975">
        <v>144</v>
      </c>
      <c r="D975" s="1">
        <v>0.85209999999999997</v>
      </c>
      <c r="E975">
        <v>25</v>
      </c>
      <c r="F975" s="2">
        <v>3.8194444444444446E-4</v>
      </c>
      <c r="G975" s="2">
        <v>1.8055555555555555E-3</v>
      </c>
      <c r="H975" s="2">
        <v>5.9143518518518521E-3</v>
      </c>
      <c r="I975" s="1">
        <v>0.56359999999999999</v>
      </c>
    </row>
    <row r="976" spans="1:9" x14ac:dyDescent="0.3">
      <c r="A976">
        <v>975</v>
      </c>
      <c r="B976">
        <v>224</v>
      </c>
      <c r="C976">
        <v>206</v>
      </c>
      <c r="D976" s="1">
        <v>0.91959999999999997</v>
      </c>
      <c r="E976">
        <v>18</v>
      </c>
      <c r="F976" s="2">
        <v>2.3148148148148149E-4</v>
      </c>
      <c r="G976" s="2">
        <v>1.7939814814814815E-3</v>
      </c>
      <c r="H976" s="2">
        <v>1.6898148148148148E-3</v>
      </c>
      <c r="I976" s="1">
        <v>0.70720000000000005</v>
      </c>
    </row>
    <row r="977" spans="1:9" x14ac:dyDescent="0.3">
      <c r="A977">
        <v>976</v>
      </c>
      <c r="B977">
        <v>170</v>
      </c>
      <c r="C977">
        <v>160</v>
      </c>
      <c r="D977" s="1">
        <v>0.94120000000000004</v>
      </c>
      <c r="E977">
        <v>10</v>
      </c>
      <c r="F977" s="2">
        <v>3.2407407407407406E-4</v>
      </c>
      <c r="G977" s="2">
        <v>2.0949074074074073E-3</v>
      </c>
      <c r="H977" s="2">
        <v>3.5879629629629629E-3</v>
      </c>
      <c r="I977" s="1">
        <v>0.62350000000000005</v>
      </c>
    </row>
    <row r="978" spans="1:9" x14ac:dyDescent="0.3">
      <c r="A978">
        <v>977</v>
      </c>
      <c r="B978">
        <v>161</v>
      </c>
      <c r="C978">
        <v>149</v>
      </c>
      <c r="D978" s="1">
        <v>0.92549999999999999</v>
      </c>
      <c r="E978">
        <v>12</v>
      </c>
      <c r="F978" s="2">
        <v>2.7777777777777778E-4</v>
      </c>
      <c r="G978" s="2">
        <v>2.1759259259259258E-3</v>
      </c>
      <c r="H978" s="2">
        <v>1.7824074074074075E-3</v>
      </c>
      <c r="I978" s="1">
        <v>0.68130000000000002</v>
      </c>
    </row>
    <row r="979" spans="1:9" x14ac:dyDescent="0.3">
      <c r="A979">
        <v>978</v>
      </c>
      <c r="B979">
        <v>37</v>
      </c>
      <c r="C979">
        <v>35</v>
      </c>
      <c r="D979" s="1">
        <v>0.94589999999999996</v>
      </c>
      <c r="E979">
        <v>2</v>
      </c>
      <c r="F979" s="2">
        <v>1.3888888888888889E-4</v>
      </c>
      <c r="G979" s="2">
        <v>1.9444444444444444E-3</v>
      </c>
      <c r="H979" s="2">
        <v>7.291666666666667E-4</v>
      </c>
      <c r="I979" s="1">
        <v>0.80559999999999998</v>
      </c>
    </row>
    <row r="980" spans="1:9" x14ac:dyDescent="0.3">
      <c r="A980">
        <v>979</v>
      </c>
      <c r="B980">
        <v>183</v>
      </c>
      <c r="C980">
        <v>169</v>
      </c>
      <c r="D980" s="1">
        <v>0.92349999999999999</v>
      </c>
      <c r="E980">
        <v>14</v>
      </c>
      <c r="F980" s="2">
        <v>3.7037037037037035E-4</v>
      </c>
      <c r="G980" s="2">
        <v>2.0601851851851853E-3</v>
      </c>
      <c r="H980" s="2">
        <v>3.1018518518518517E-3</v>
      </c>
      <c r="I980" s="1">
        <v>0.59889999999999999</v>
      </c>
    </row>
    <row r="981" spans="1:9" x14ac:dyDescent="0.3">
      <c r="A981">
        <v>980</v>
      </c>
      <c r="B981">
        <v>221</v>
      </c>
      <c r="C981">
        <v>206</v>
      </c>
      <c r="D981" s="1">
        <v>0.93210000000000004</v>
      </c>
      <c r="E981">
        <v>15</v>
      </c>
      <c r="F981" s="2">
        <v>3.4722222222222224E-4</v>
      </c>
      <c r="G981" s="2">
        <v>2.0138888888888888E-3</v>
      </c>
      <c r="H981" s="2">
        <v>3.0439814814814813E-3</v>
      </c>
      <c r="I981" s="1">
        <v>0.58179999999999998</v>
      </c>
    </row>
    <row r="982" spans="1:9" x14ac:dyDescent="0.3">
      <c r="A982">
        <v>981</v>
      </c>
      <c r="B982">
        <v>202</v>
      </c>
      <c r="C982">
        <v>193</v>
      </c>
      <c r="D982" s="1">
        <v>0.95540000000000003</v>
      </c>
      <c r="E982">
        <v>9</v>
      </c>
      <c r="F982" s="2">
        <v>2.0833333333333335E-4</v>
      </c>
      <c r="G982" s="2">
        <v>2.0023148148148148E-3</v>
      </c>
      <c r="H982" s="2">
        <v>1.9444444444444444E-3</v>
      </c>
      <c r="I982" s="1">
        <v>0.75380000000000003</v>
      </c>
    </row>
    <row r="983" spans="1:9" x14ac:dyDescent="0.3">
      <c r="A983">
        <v>982</v>
      </c>
      <c r="B983">
        <v>193</v>
      </c>
      <c r="C983">
        <v>163</v>
      </c>
      <c r="D983" s="1">
        <v>0.84460000000000002</v>
      </c>
      <c r="E983">
        <v>30</v>
      </c>
      <c r="F983" s="2">
        <v>4.1666666666666669E-4</v>
      </c>
      <c r="G983" s="2">
        <v>2.2222222222222222E-3</v>
      </c>
      <c r="H983" s="2">
        <v>3.6111111111111109E-3</v>
      </c>
      <c r="I983" s="1">
        <v>0.53400000000000003</v>
      </c>
    </row>
    <row r="984" spans="1:9" x14ac:dyDescent="0.3">
      <c r="A984">
        <v>983</v>
      </c>
      <c r="B984">
        <v>201</v>
      </c>
      <c r="C984">
        <v>196</v>
      </c>
      <c r="D984" s="1">
        <v>0.97509999999999997</v>
      </c>
      <c r="E984">
        <v>5</v>
      </c>
      <c r="F984" s="2">
        <v>1.1574074074074075E-4</v>
      </c>
      <c r="G984" s="2">
        <v>1.8865740740740742E-3</v>
      </c>
      <c r="H984" s="2">
        <v>1.7592592592592592E-3</v>
      </c>
      <c r="I984" s="1">
        <v>0.89</v>
      </c>
    </row>
    <row r="985" spans="1:9" x14ac:dyDescent="0.3">
      <c r="A985">
        <v>984</v>
      </c>
      <c r="B985">
        <v>193</v>
      </c>
      <c r="C985">
        <v>180</v>
      </c>
      <c r="D985" s="1">
        <v>0.93259999999999998</v>
      </c>
      <c r="E985">
        <v>13</v>
      </c>
      <c r="F985" s="2">
        <v>2.4305555555555555E-4</v>
      </c>
      <c r="G985" s="2">
        <v>1.8749999999999999E-3</v>
      </c>
      <c r="H985" s="2">
        <v>2.2800925925925927E-3</v>
      </c>
      <c r="I985" s="1">
        <v>0.73160000000000003</v>
      </c>
    </row>
    <row r="986" spans="1:9" x14ac:dyDescent="0.3">
      <c r="A986">
        <v>985</v>
      </c>
      <c r="B986">
        <v>27</v>
      </c>
      <c r="C986">
        <v>25</v>
      </c>
      <c r="D986" s="1">
        <v>0.92589999999999995</v>
      </c>
      <c r="E986">
        <v>2</v>
      </c>
      <c r="F986" s="2">
        <v>2.8935185185185184E-4</v>
      </c>
      <c r="G986" s="2">
        <v>1.4236111111111112E-3</v>
      </c>
      <c r="H986" s="2">
        <v>1.4699074074074074E-3</v>
      </c>
      <c r="I986" s="1">
        <v>0.66669999999999996</v>
      </c>
    </row>
    <row r="987" spans="1:9" x14ac:dyDescent="0.3">
      <c r="A987">
        <v>986</v>
      </c>
      <c r="B987">
        <v>227</v>
      </c>
      <c r="C987">
        <v>206</v>
      </c>
      <c r="D987" s="1">
        <v>0.90749999999999997</v>
      </c>
      <c r="E987">
        <v>21</v>
      </c>
      <c r="F987" s="2">
        <v>3.3564814814814812E-4</v>
      </c>
      <c r="G987" s="2">
        <v>2.0949074074074073E-3</v>
      </c>
      <c r="H987" s="2">
        <v>3.0787037037037037E-3</v>
      </c>
      <c r="I987" s="1">
        <v>0.66669999999999996</v>
      </c>
    </row>
    <row r="988" spans="1:9" x14ac:dyDescent="0.3">
      <c r="A988">
        <v>987</v>
      </c>
      <c r="B988">
        <v>225</v>
      </c>
      <c r="C988">
        <v>199</v>
      </c>
      <c r="D988" s="1">
        <v>0.88439999999999996</v>
      </c>
      <c r="E988">
        <v>26</v>
      </c>
      <c r="F988" s="2">
        <v>4.0509259259259258E-4</v>
      </c>
      <c r="G988" s="2">
        <v>2.0601851851851853E-3</v>
      </c>
      <c r="H988" s="2">
        <v>3.6921296296296298E-3</v>
      </c>
      <c r="I988" s="1">
        <v>0.52680000000000005</v>
      </c>
    </row>
    <row r="989" spans="1:9" x14ac:dyDescent="0.3">
      <c r="A989">
        <v>988</v>
      </c>
      <c r="B989">
        <v>204</v>
      </c>
      <c r="C989">
        <v>193</v>
      </c>
      <c r="D989" s="1">
        <v>0.94610000000000005</v>
      </c>
      <c r="E989">
        <v>11</v>
      </c>
      <c r="F989" s="2">
        <v>3.8194444444444446E-4</v>
      </c>
      <c r="G989" s="2">
        <v>1.8402777777777777E-3</v>
      </c>
      <c r="H989" s="2">
        <v>3.7152777777777778E-3</v>
      </c>
      <c r="I989" s="1">
        <v>0.58819999999999995</v>
      </c>
    </row>
    <row r="990" spans="1:9" x14ac:dyDescent="0.3">
      <c r="A990">
        <v>989</v>
      </c>
      <c r="B990">
        <v>221</v>
      </c>
      <c r="C990">
        <v>194</v>
      </c>
      <c r="D990" s="1">
        <v>0.87780000000000002</v>
      </c>
      <c r="E990">
        <v>27</v>
      </c>
      <c r="F990" s="2">
        <v>3.3564814814814812E-4</v>
      </c>
      <c r="G990" s="2">
        <v>1.9444444444444444E-3</v>
      </c>
      <c r="H990" s="2">
        <v>3.5300925925925925E-3</v>
      </c>
      <c r="I990" s="1">
        <v>0.60729999999999995</v>
      </c>
    </row>
    <row r="991" spans="1:9" x14ac:dyDescent="0.3">
      <c r="A991">
        <v>990</v>
      </c>
      <c r="B991">
        <v>172</v>
      </c>
      <c r="C991">
        <v>154</v>
      </c>
      <c r="D991" s="1">
        <v>0.89529999999999998</v>
      </c>
      <c r="E991">
        <v>18</v>
      </c>
      <c r="F991" s="2">
        <v>3.9351851851851852E-4</v>
      </c>
      <c r="G991" s="2">
        <v>2.1875000000000002E-3</v>
      </c>
      <c r="H991" s="2">
        <v>2.1527777777777778E-3</v>
      </c>
      <c r="I991" s="1">
        <v>0.54169999999999996</v>
      </c>
    </row>
    <row r="992" spans="1:9" x14ac:dyDescent="0.3">
      <c r="A992">
        <v>991</v>
      </c>
      <c r="B992">
        <v>161</v>
      </c>
      <c r="C992">
        <v>150</v>
      </c>
      <c r="D992" s="1">
        <v>0.93169999999999997</v>
      </c>
      <c r="E992">
        <v>11</v>
      </c>
      <c r="F992" s="2">
        <v>4.1666666666666669E-4</v>
      </c>
      <c r="G992" s="2">
        <v>1.9791666666666668E-3</v>
      </c>
      <c r="H992" s="2">
        <v>4.0856481481481481E-3</v>
      </c>
      <c r="I992" s="1">
        <v>0.52800000000000002</v>
      </c>
    </row>
    <row r="993" spans="1:9" x14ac:dyDescent="0.3">
      <c r="A993">
        <v>992</v>
      </c>
      <c r="B993">
        <v>17</v>
      </c>
      <c r="C993">
        <v>14</v>
      </c>
      <c r="D993" s="1">
        <v>0.82350000000000001</v>
      </c>
      <c r="E993">
        <v>3</v>
      </c>
      <c r="F993" s="2">
        <v>5.4398148148148144E-4</v>
      </c>
      <c r="G993" s="2">
        <v>2.1759259259259258E-3</v>
      </c>
      <c r="H993" s="2">
        <v>1.9907407407407408E-3</v>
      </c>
      <c r="I993" s="1">
        <v>0.4118</v>
      </c>
    </row>
    <row r="994" spans="1:9" x14ac:dyDescent="0.3">
      <c r="A994">
        <v>993</v>
      </c>
      <c r="B994">
        <v>168</v>
      </c>
      <c r="C994">
        <v>145</v>
      </c>
      <c r="D994" s="1">
        <v>0.86309999999999998</v>
      </c>
      <c r="E994">
        <v>23</v>
      </c>
      <c r="F994" s="2">
        <v>4.3981481481481481E-4</v>
      </c>
      <c r="G994" s="2">
        <v>2.0486111111111113E-3</v>
      </c>
      <c r="H994" s="2">
        <v>2.8703703703703703E-3</v>
      </c>
      <c r="I994" s="1">
        <v>0.50609999999999999</v>
      </c>
    </row>
    <row r="995" spans="1:9" x14ac:dyDescent="0.3">
      <c r="A995">
        <v>994</v>
      </c>
      <c r="B995">
        <v>160</v>
      </c>
      <c r="C995">
        <v>142</v>
      </c>
      <c r="D995" s="1">
        <v>0.88749999999999996</v>
      </c>
      <c r="E995">
        <v>18</v>
      </c>
      <c r="F995" s="2">
        <v>3.8194444444444446E-4</v>
      </c>
      <c r="G995" s="2">
        <v>1.8981481481481482E-3</v>
      </c>
      <c r="H995" s="2">
        <v>6.4583333333333333E-3</v>
      </c>
      <c r="I995" s="1">
        <v>0.54139999999999999</v>
      </c>
    </row>
    <row r="996" spans="1:9" x14ac:dyDescent="0.3">
      <c r="A996">
        <v>995</v>
      </c>
      <c r="B996">
        <v>185</v>
      </c>
      <c r="C996">
        <v>159</v>
      </c>
      <c r="D996" s="1">
        <v>0.85950000000000004</v>
      </c>
      <c r="E996">
        <v>26</v>
      </c>
      <c r="F996" s="2">
        <v>4.7453703703703704E-4</v>
      </c>
      <c r="G996" s="2">
        <v>2.0370370370370369E-3</v>
      </c>
      <c r="H996" s="2">
        <v>3.9699074074074072E-3</v>
      </c>
      <c r="I996" s="1">
        <v>0.42699999999999999</v>
      </c>
    </row>
    <row r="997" spans="1:9" x14ac:dyDescent="0.3">
      <c r="A997">
        <v>996</v>
      </c>
      <c r="B997">
        <v>155</v>
      </c>
      <c r="C997">
        <v>146</v>
      </c>
      <c r="D997" s="1">
        <v>0.94189999999999996</v>
      </c>
      <c r="E997">
        <v>9</v>
      </c>
      <c r="F997" s="2">
        <v>3.2407407407407406E-4</v>
      </c>
      <c r="G997" s="2">
        <v>1.9560185185185184E-3</v>
      </c>
      <c r="H997" s="2">
        <v>2.3958333333333331E-3</v>
      </c>
      <c r="I997" s="1">
        <v>0.65159999999999996</v>
      </c>
    </row>
    <row r="998" spans="1:9" x14ac:dyDescent="0.3">
      <c r="A998">
        <v>997</v>
      </c>
      <c r="B998">
        <v>188</v>
      </c>
      <c r="C998">
        <v>172</v>
      </c>
      <c r="D998" s="1">
        <v>0.91490000000000005</v>
      </c>
      <c r="E998">
        <v>16</v>
      </c>
      <c r="F998" s="2">
        <v>3.2407407407407406E-4</v>
      </c>
      <c r="G998" s="2">
        <v>1.8402777777777777E-3</v>
      </c>
      <c r="H998" s="2">
        <v>2.1296296296296298E-3</v>
      </c>
      <c r="I998" s="1">
        <v>0.5978</v>
      </c>
    </row>
    <row r="999" spans="1:9" x14ac:dyDescent="0.3">
      <c r="A999">
        <v>998</v>
      </c>
      <c r="B999">
        <v>152</v>
      </c>
      <c r="C999">
        <v>120</v>
      </c>
      <c r="D999" s="1">
        <v>0.78949999999999998</v>
      </c>
      <c r="E999">
        <v>32</v>
      </c>
      <c r="F999" s="2">
        <v>3.3564814814814812E-4</v>
      </c>
      <c r="G999" s="2">
        <v>2.0138888888888888E-3</v>
      </c>
      <c r="H999" s="2">
        <v>4.5717592592592589E-3</v>
      </c>
      <c r="I999" s="1">
        <v>0.53059999999999996</v>
      </c>
    </row>
    <row r="1000" spans="1:9" x14ac:dyDescent="0.3">
      <c r="A1000">
        <v>999</v>
      </c>
      <c r="B1000">
        <v>26</v>
      </c>
      <c r="C1000">
        <v>26</v>
      </c>
      <c r="D1000" s="1">
        <v>1</v>
      </c>
      <c r="E1000">
        <v>0</v>
      </c>
      <c r="F1000" s="2">
        <v>1.9675925925925926E-4</v>
      </c>
      <c r="G1000" s="2">
        <v>2.0949074074074073E-3</v>
      </c>
      <c r="H1000" s="2">
        <v>9.0277777777777774E-4</v>
      </c>
      <c r="I1000" s="1">
        <v>0.80769999999999997</v>
      </c>
    </row>
    <row r="1001" spans="1:9" x14ac:dyDescent="0.3">
      <c r="A1001">
        <v>1000</v>
      </c>
      <c r="B1001">
        <v>152</v>
      </c>
      <c r="C1001">
        <v>140</v>
      </c>
      <c r="D1001" s="1">
        <v>0.92110000000000003</v>
      </c>
      <c r="E1001">
        <v>12</v>
      </c>
      <c r="F1001" s="2">
        <v>2.4305555555555555E-4</v>
      </c>
      <c r="G1001" s="2">
        <v>2.0601851851851853E-3</v>
      </c>
      <c r="H1001" s="2">
        <v>4.6296296296296294E-3</v>
      </c>
      <c r="I1001" s="1">
        <v>0.70669999999999999</v>
      </c>
    </row>
    <row r="1002" spans="1:9" x14ac:dyDescent="0.3">
      <c r="A1002">
        <v>1001</v>
      </c>
      <c r="B1002">
        <v>130</v>
      </c>
      <c r="C1002">
        <v>125</v>
      </c>
      <c r="D1002" s="1">
        <v>0.96150000000000002</v>
      </c>
      <c r="E1002">
        <v>5</v>
      </c>
      <c r="F1002" s="2">
        <v>9.2592592592592588E-5</v>
      </c>
      <c r="G1002" s="2">
        <v>1.8402777777777777E-3</v>
      </c>
      <c r="H1002" s="2">
        <v>7.1759259259259259E-4</v>
      </c>
      <c r="I1002" s="1">
        <v>0.92</v>
      </c>
    </row>
    <row r="1003" spans="1:9" x14ac:dyDescent="0.3">
      <c r="A1003">
        <v>1002</v>
      </c>
      <c r="B1003">
        <v>191</v>
      </c>
      <c r="C1003">
        <v>187</v>
      </c>
      <c r="D1003" s="1">
        <v>0.97909999999999997</v>
      </c>
      <c r="E1003">
        <v>4</v>
      </c>
      <c r="F1003" s="2">
        <v>2.0833333333333335E-4</v>
      </c>
      <c r="G1003" s="2">
        <v>1.7708333333333332E-3</v>
      </c>
      <c r="H1003" s="2">
        <v>2.0023148148148148E-3</v>
      </c>
      <c r="I1003" s="1">
        <v>0.83069999999999999</v>
      </c>
    </row>
    <row r="1004" spans="1:9" x14ac:dyDescent="0.3">
      <c r="A1004">
        <v>1003</v>
      </c>
      <c r="B1004">
        <v>254</v>
      </c>
      <c r="C1004">
        <v>227</v>
      </c>
      <c r="D1004" s="1">
        <v>0.89370000000000005</v>
      </c>
      <c r="E1004">
        <v>27</v>
      </c>
      <c r="F1004" s="2">
        <v>3.8194444444444446E-4</v>
      </c>
      <c r="G1004" s="2">
        <v>2.0486111111111113E-3</v>
      </c>
      <c r="H1004" s="2">
        <v>3.1828703703703702E-3</v>
      </c>
      <c r="I1004" s="1">
        <v>0.56569999999999998</v>
      </c>
    </row>
    <row r="1005" spans="1:9" x14ac:dyDescent="0.3">
      <c r="A1005">
        <v>1004</v>
      </c>
      <c r="B1005">
        <v>213</v>
      </c>
      <c r="C1005">
        <v>188</v>
      </c>
      <c r="D1005" s="1">
        <v>0.88260000000000005</v>
      </c>
      <c r="E1005">
        <v>25</v>
      </c>
      <c r="F1005" s="2">
        <v>3.4722222222222224E-4</v>
      </c>
      <c r="G1005" s="2">
        <v>1.9907407407407408E-3</v>
      </c>
      <c r="H1005" s="2">
        <v>3.5879629629629629E-3</v>
      </c>
      <c r="I1005" s="1">
        <v>0.54810000000000003</v>
      </c>
    </row>
    <row r="1006" spans="1:9" x14ac:dyDescent="0.3">
      <c r="A1006">
        <v>1005</v>
      </c>
      <c r="B1006">
        <v>176</v>
      </c>
      <c r="C1006">
        <v>151</v>
      </c>
      <c r="D1006" s="1">
        <v>0.85799999999999998</v>
      </c>
      <c r="E1006">
        <v>25</v>
      </c>
      <c r="F1006" s="2">
        <v>3.7037037037037035E-4</v>
      </c>
      <c r="G1006" s="2">
        <v>1.9097222222222222E-3</v>
      </c>
      <c r="H1006" s="2">
        <v>4.3055555555555555E-3</v>
      </c>
      <c r="I1006" s="1">
        <v>0.5575</v>
      </c>
    </row>
    <row r="1007" spans="1:9" x14ac:dyDescent="0.3">
      <c r="A1007">
        <v>1006</v>
      </c>
      <c r="B1007">
        <v>61</v>
      </c>
      <c r="C1007">
        <v>59</v>
      </c>
      <c r="D1007" s="1">
        <v>0.96719999999999995</v>
      </c>
      <c r="E1007">
        <v>2</v>
      </c>
      <c r="F1007" s="2">
        <v>1.8518518518518518E-4</v>
      </c>
      <c r="G1007" s="2">
        <v>1.0532407407407407E-3</v>
      </c>
      <c r="H1007" s="2">
        <v>2.1527777777777778E-3</v>
      </c>
      <c r="I1007" s="1">
        <v>0.80330000000000001</v>
      </c>
    </row>
    <row r="1008" spans="1:9" x14ac:dyDescent="0.3">
      <c r="A1008">
        <v>1007</v>
      </c>
      <c r="B1008">
        <v>166</v>
      </c>
      <c r="C1008">
        <v>154</v>
      </c>
      <c r="D1008" s="1">
        <v>0.92769999999999997</v>
      </c>
      <c r="E1008">
        <v>12</v>
      </c>
      <c r="F1008" s="2">
        <v>3.2407407407407406E-4</v>
      </c>
      <c r="G1008" s="2">
        <v>2.0370370370370369E-3</v>
      </c>
      <c r="H1008" s="2">
        <v>2.2685185185185187E-3</v>
      </c>
      <c r="I1008" s="1">
        <v>0.61819999999999997</v>
      </c>
    </row>
    <row r="1009" spans="1:9" x14ac:dyDescent="0.3">
      <c r="A1009">
        <v>1008</v>
      </c>
      <c r="B1009">
        <v>191</v>
      </c>
      <c r="C1009">
        <v>172</v>
      </c>
      <c r="D1009" s="1">
        <v>0.90049999999999997</v>
      </c>
      <c r="E1009">
        <v>19</v>
      </c>
      <c r="F1009" s="2">
        <v>2.4305555555555555E-4</v>
      </c>
      <c r="G1009" s="2">
        <v>1.8518518518518519E-3</v>
      </c>
      <c r="H1009" s="2">
        <v>2.3495370370370371E-3</v>
      </c>
      <c r="I1009" s="1">
        <v>0.73770000000000002</v>
      </c>
    </row>
    <row r="1010" spans="1:9" x14ac:dyDescent="0.3">
      <c r="A1010">
        <v>1009</v>
      </c>
      <c r="B1010">
        <v>171</v>
      </c>
      <c r="C1010">
        <v>157</v>
      </c>
      <c r="D1010" s="1">
        <v>0.91810000000000003</v>
      </c>
      <c r="E1010">
        <v>14</v>
      </c>
      <c r="F1010" s="2">
        <v>2.199074074074074E-4</v>
      </c>
      <c r="G1010" s="2">
        <v>1.7824074074074075E-3</v>
      </c>
      <c r="H1010" s="2">
        <v>1.4699074074074074E-3</v>
      </c>
      <c r="I1010" s="1">
        <v>0.72619999999999996</v>
      </c>
    </row>
    <row r="1011" spans="1:9" x14ac:dyDescent="0.3">
      <c r="A1011">
        <v>1010</v>
      </c>
      <c r="B1011">
        <v>153</v>
      </c>
      <c r="C1011">
        <v>124</v>
      </c>
      <c r="D1011" s="1">
        <v>0.8105</v>
      </c>
      <c r="E1011">
        <v>29</v>
      </c>
      <c r="F1011" s="2">
        <v>5.7870370370370367E-4</v>
      </c>
      <c r="G1011" s="2">
        <v>2.1296296296296298E-3</v>
      </c>
      <c r="H1011" s="2">
        <v>4.178240740740741E-3</v>
      </c>
      <c r="I1011" s="1">
        <v>0.45329999999999998</v>
      </c>
    </row>
    <row r="1012" spans="1:9" x14ac:dyDescent="0.3">
      <c r="A1012">
        <v>1011</v>
      </c>
      <c r="B1012">
        <v>183</v>
      </c>
      <c r="C1012">
        <v>158</v>
      </c>
      <c r="D1012" s="1">
        <v>0.86339999999999995</v>
      </c>
      <c r="E1012">
        <v>25</v>
      </c>
      <c r="F1012" s="2">
        <v>3.8194444444444446E-4</v>
      </c>
      <c r="G1012" s="2">
        <v>1.9907407407407408E-3</v>
      </c>
      <c r="H1012" s="2">
        <v>3.5879629629629629E-3</v>
      </c>
      <c r="I1012" s="1">
        <v>0.51910000000000001</v>
      </c>
    </row>
    <row r="1013" spans="1:9" x14ac:dyDescent="0.3">
      <c r="A1013">
        <v>1012</v>
      </c>
      <c r="B1013">
        <v>14</v>
      </c>
      <c r="C1013">
        <v>14</v>
      </c>
      <c r="D1013" s="1">
        <v>1</v>
      </c>
      <c r="E1013">
        <v>0</v>
      </c>
      <c r="F1013" s="2">
        <v>1.7361111111111112E-4</v>
      </c>
      <c r="G1013" s="2">
        <v>2.5810185185185185E-3</v>
      </c>
      <c r="H1013" s="2">
        <v>1.0648148148148149E-3</v>
      </c>
      <c r="I1013" s="1">
        <v>0.85709999999999997</v>
      </c>
    </row>
    <row r="1014" spans="1:9" x14ac:dyDescent="0.3">
      <c r="A1014">
        <v>1013</v>
      </c>
      <c r="B1014">
        <v>18</v>
      </c>
      <c r="C1014">
        <v>18</v>
      </c>
      <c r="D1014" s="1">
        <v>1</v>
      </c>
      <c r="E1014">
        <v>0</v>
      </c>
      <c r="F1014" s="2">
        <v>3.4722222222222222E-5</v>
      </c>
      <c r="G1014" s="2">
        <v>2.0370370370370369E-3</v>
      </c>
      <c r="H1014" s="2">
        <v>6.9444444444444444E-5</v>
      </c>
      <c r="I1014" s="1">
        <v>1</v>
      </c>
    </row>
    <row r="1015" spans="1:9" x14ac:dyDescent="0.3">
      <c r="A1015">
        <v>1014</v>
      </c>
      <c r="B1015">
        <v>159</v>
      </c>
      <c r="C1015">
        <v>148</v>
      </c>
      <c r="D1015" s="1">
        <v>0.93079999999999996</v>
      </c>
      <c r="E1015">
        <v>11</v>
      </c>
      <c r="F1015" s="2">
        <v>2.5462962962962961E-4</v>
      </c>
      <c r="G1015" s="2">
        <v>1.8055555555555555E-3</v>
      </c>
      <c r="H1015" s="2">
        <v>2.2569444444444442E-3</v>
      </c>
      <c r="I1015" s="1">
        <v>0.69430000000000003</v>
      </c>
    </row>
    <row r="1016" spans="1:9" x14ac:dyDescent="0.3">
      <c r="A1016">
        <v>1015</v>
      </c>
      <c r="B1016">
        <v>143</v>
      </c>
      <c r="C1016">
        <v>134</v>
      </c>
      <c r="D1016" s="1">
        <v>0.93710000000000004</v>
      </c>
      <c r="E1016">
        <v>9</v>
      </c>
      <c r="F1016" s="2">
        <v>2.5462962962962961E-4</v>
      </c>
      <c r="G1016" s="2">
        <v>1.9791666666666668E-3</v>
      </c>
      <c r="H1016" s="2">
        <v>3.5879629629629629E-3</v>
      </c>
      <c r="I1016" s="1">
        <v>0.74099999999999999</v>
      </c>
    </row>
    <row r="1017" spans="1:9" x14ac:dyDescent="0.3">
      <c r="A1017">
        <v>1016</v>
      </c>
      <c r="B1017">
        <v>195</v>
      </c>
      <c r="C1017">
        <v>175</v>
      </c>
      <c r="D1017" s="1">
        <v>0.89739999999999998</v>
      </c>
      <c r="E1017">
        <v>20</v>
      </c>
      <c r="F1017" s="2">
        <v>3.3564814814814812E-4</v>
      </c>
      <c r="G1017" s="2">
        <v>1.9328703703703704E-3</v>
      </c>
      <c r="H1017" s="2">
        <v>2.9050925925925928E-3</v>
      </c>
      <c r="I1017" s="1">
        <v>0.61580000000000001</v>
      </c>
    </row>
    <row r="1018" spans="1:9" x14ac:dyDescent="0.3">
      <c r="A1018">
        <v>1017</v>
      </c>
      <c r="B1018">
        <v>194</v>
      </c>
      <c r="C1018">
        <v>150</v>
      </c>
      <c r="D1018" s="1">
        <v>0.7732</v>
      </c>
      <c r="E1018">
        <v>44</v>
      </c>
      <c r="F1018" s="2">
        <v>4.2824074074074075E-4</v>
      </c>
      <c r="G1018" s="2">
        <v>1.9328703703703704E-3</v>
      </c>
      <c r="H1018" s="2">
        <v>2.9745370370370373E-3</v>
      </c>
      <c r="I1018" s="1">
        <v>0.47339999999999999</v>
      </c>
    </row>
    <row r="1019" spans="1:9" x14ac:dyDescent="0.3">
      <c r="A1019">
        <v>1018</v>
      </c>
      <c r="B1019">
        <v>390</v>
      </c>
      <c r="C1019">
        <v>362</v>
      </c>
      <c r="D1019" s="1">
        <v>0.92820000000000003</v>
      </c>
      <c r="E1019">
        <v>28</v>
      </c>
      <c r="F1019" s="2">
        <v>3.5879629629629629E-4</v>
      </c>
      <c r="G1019" s="2">
        <v>1.9675925925925924E-3</v>
      </c>
      <c r="H1019" s="2">
        <v>4.0046296296296297E-3</v>
      </c>
      <c r="I1019" s="1">
        <v>0.5948</v>
      </c>
    </row>
    <row r="1020" spans="1:9" x14ac:dyDescent="0.3">
      <c r="A1020">
        <v>1019</v>
      </c>
      <c r="B1020">
        <v>238</v>
      </c>
      <c r="C1020">
        <v>205</v>
      </c>
      <c r="D1020" s="1">
        <v>0.86129999999999995</v>
      </c>
      <c r="E1020">
        <v>33</v>
      </c>
      <c r="F1020" s="2">
        <v>3.3564814814814812E-4</v>
      </c>
      <c r="G1020" s="2">
        <v>1.5972222222222223E-3</v>
      </c>
      <c r="H1020" s="2">
        <v>3.5879629629629629E-3</v>
      </c>
      <c r="I1020" s="1">
        <v>0.60870000000000002</v>
      </c>
    </row>
    <row r="1021" spans="1:9" x14ac:dyDescent="0.3">
      <c r="A1021">
        <v>1020</v>
      </c>
      <c r="B1021">
        <v>29</v>
      </c>
      <c r="C1021">
        <v>28</v>
      </c>
      <c r="D1021" s="1">
        <v>0.96550000000000002</v>
      </c>
      <c r="E1021">
        <v>1</v>
      </c>
      <c r="F1021" s="2">
        <v>1.0416666666666667E-4</v>
      </c>
      <c r="G1021" s="2">
        <v>1.712962962962963E-3</v>
      </c>
      <c r="H1021" s="2">
        <v>7.5231481481481482E-4</v>
      </c>
      <c r="I1021" s="1">
        <v>0.89290000000000003</v>
      </c>
    </row>
    <row r="1022" spans="1:9" x14ac:dyDescent="0.3">
      <c r="A1022">
        <v>1021</v>
      </c>
      <c r="B1022">
        <v>30</v>
      </c>
      <c r="C1022">
        <v>29</v>
      </c>
      <c r="D1022" s="1">
        <v>0.9667</v>
      </c>
      <c r="E1022">
        <v>1</v>
      </c>
      <c r="F1022" s="2">
        <v>2.199074074074074E-4</v>
      </c>
      <c r="G1022" s="2">
        <v>1.736111111111111E-3</v>
      </c>
      <c r="H1022" s="2">
        <v>1.7476851851851852E-3</v>
      </c>
      <c r="I1022" s="1">
        <v>0.83330000000000004</v>
      </c>
    </row>
    <row r="1023" spans="1:9" x14ac:dyDescent="0.3">
      <c r="A1023">
        <v>1022</v>
      </c>
      <c r="B1023">
        <v>287</v>
      </c>
      <c r="C1023">
        <v>273</v>
      </c>
      <c r="D1023" s="1">
        <v>0.95120000000000005</v>
      </c>
      <c r="E1023">
        <v>14</v>
      </c>
      <c r="F1023" s="2">
        <v>1.8518518518518518E-4</v>
      </c>
      <c r="G1023" s="2">
        <v>1.6203703703703703E-3</v>
      </c>
      <c r="H1023" s="2">
        <v>2.1527777777777778E-3</v>
      </c>
      <c r="I1023" s="1">
        <v>0.79</v>
      </c>
    </row>
    <row r="1024" spans="1:9" x14ac:dyDescent="0.3">
      <c r="A1024">
        <v>1023</v>
      </c>
      <c r="B1024">
        <v>474</v>
      </c>
      <c r="C1024">
        <v>380</v>
      </c>
      <c r="D1024" s="1">
        <v>0.80169999999999997</v>
      </c>
      <c r="E1024">
        <v>94</v>
      </c>
      <c r="F1024" s="2">
        <v>4.5138888888888887E-4</v>
      </c>
      <c r="G1024" s="2">
        <v>1.4814814814814814E-3</v>
      </c>
      <c r="H1024" s="2">
        <v>5.5324074074074078E-3</v>
      </c>
      <c r="I1024" s="1">
        <v>0.47420000000000001</v>
      </c>
    </row>
    <row r="1025" spans="1:9" x14ac:dyDescent="0.3">
      <c r="A1025">
        <v>1024</v>
      </c>
      <c r="B1025">
        <v>277</v>
      </c>
      <c r="C1025">
        <v>230</v>
      </c>
      <c r="D1025" s="1">
        <v>0.83030000000000004</v>
      </c>
      <c r="E1025">
        <v>47</v>
      </c>
      <c r="F1025" s="2">
        <v>4.6296296296296298E-4</v>
      </c>
      <c r="G1025" s="2">
        <v>1.9907407407407408E-3</v>
      </c>
      <c r="H1025" s="2">
        <v>4.31712962962963E-3</v>
      </c>
      <c r="I1025" s="1">
        <v>0.46179999999999999</v>
      </c>
    </row>
    <row r="1026" spans="1:9" x14ac:dyDescent="0.3">
      <c r="A1026">
        <v>1025</v>
      </c>
      <c r="B1026">
        <v>173</v>
      </c>
      <c r="C1026">
        <v>163</v>
      </c>
      <c r="D1026" s="1">
        <v>0.94220000000000004</v>
      </c>
      <c r="E1026">
        <v>10</v>
      </c>
      <c r="F1026" s="2">
        <v>1.9675925925925926E-4</v>
      </c>
      <c r="G1026" s="2">
        <v>1.9212962962962964E-3</v>
      </c>
      <c r="H1026" s="2">
        <v>1.8981481481481482E-3</v>
      </c>
      <c r="I1026" s="1">
        <v>0.77190000000000003</v>
      </c>
    </row>
    <row r="1027" spans="1:9" x14ac:dyDescent="0.3">
      <c r="A1027">
        <v>1026</v>
      </c>
      <c r="B1027">
        <v>167</v>
      </c>
      <c r="C1027">
        <v>152</v>
      </c>
      <c r="D1027" s="1">
        <v>0.91020000000000001</v>
      </c>
      <c r="E1027">
        <v>15</v>
      </c>
      <c r="F1027" s="2">
        <v>1.5046296296296297E-4</v>
      </c>
      <c r="G1027" s="2">
        <v>1.8171296296296297E-3</v>
      </c>
      <c r="H1027" s="2">
        <v>3.5879629629629629E-3</v>
      </c>
      <c r="I1027" s="1">
        <v>0.84150000000000003</v>
      </c>
    </row>
    <row r="1028" spans="1:9" x14ac:dyDescent="0.3">
      <c r="A1028">
        <v>1027</v>
      </c>
      <c r="B1028">
        <v>27</v>
      </c>
      <c r="C1028">
        <v>24</v>
      </c>
      <c r="D1028" s="1">
        <v>0.88890000000000002</v>
      </c>
      <c r="E1028">
        <v>3</v>
      </c>
      <c r="F1028" s="2">
        <v>2.3148148148148149E-4</v>
      </c>
      <c r="G1028" s="2">
        <v>1.4467592592592592E-3</v>
      </c>
      <c r="H1028" s="2">
        <v>2.5810185185185185E-3</v>
      </c>
      <c r="I1028" s="1">
        <v>0.76919999999999999</v>
      </c>
    </row>
    <row r="1029" spans="1:9" x14ac:dyDescent="0.3">
      <c r="A1029">
        <v>1028</v>
      </c>
      <c r="B1029">
        <v>173</v>
      </c>
      <c r="C1029">
        <v>153</v>
      </c>
      <c r="D1029" s="1">
        <v>0.88439999999999996</v>
      </c>
      <c r="E1029">
        <v>20</v>
      </c>
      <c r="F1029" s="2">
        <v>3.3564814814814812E-4</v>
      </c>
      <c r="G1029" s="2">
        <v>1.9212962962962964E-3</v>
      </c>
      <c r="H1029" s="2">
        <v>2.1527777777777778E-3</v>
      </c>
      <c r="I1029" s="1">
        <v>0.57989999999999997</v>
      </c>
    </row>
    <row r="1030" spans="1:9" x14ac:dyDescent="0.3">
      <c r="A1030">
        <v>1029</v>
      </c>
      <c r="B1030">
        <v>36</v>
      </c>
      <c r="C1030">
        <v>27</v>
      </c>
      <c r="D1030" s="1">
        <v>0.75</v>
      </c>
      <c r="E1030">
        <v>9</v>
      </c>
      <c r="F1030" s="2">
        <v>4.1666666666666669E-4</v>
      </c>
      <c r="G1030" s="2">
        <v>2.0254629629629629E-3</v>
      </c>
      <c r="H1030" s="2">
        <v>2.7430555555555554E-3</v>
      </c>
      <c r="I1030" s="1">
        <v>0.41670000000000001</v>
      </c>
    </row>
    <row r="1031" spans="1:9" x14ac:dyDescent="0.3">
      <c r="A1031">
        <v>1030</v>
      </c>
      <c r="B1031">
        <v>186</v>
      </c>
      <c r="C1031">
        <v>171</v>
      </c>
      <c r="D1031" s="1">
        <v>0.9194</v>
      </c>
      <c r="E1031">
        <v>15</v>
      </c>
      <c r="F1031" s="2">
        <v>3.1250000000000001E-4</v>
      </c>
      <c r="G1031" s="2">
        <v>1.9560185185185184E-3</v>
      </c>
      <c r="H1031" s="2">
        <v>2.4074074074074076E-3</v>
      </c>
      <c r="I1031" s="1">
        <v>0.64480000000000004</v>
      </c>
    </row>
    <row r="1032" spans="1:9" x14ac:dyDescent="0.3">
      <c r="A1032">
        <v>1031</v>
      </c>
      <c r="B1032">
        <v>160</v>
      </c>
      <c r="C1032">
        <v>149</v>
      </c>
      <c r="D1032" s="1">
        <v>0.93130000000000002</v>
      </c>
      <c r="E1032">
        <v>11</v>
      </c>
      <c r="F1032" s="2">
        <v>2.6620370370370372E-4</v>
      </c>
      <c r="G1032" s="2">
        <v>1.9328703703703704E-3</v>
      </c>
      <c r="H1032" s="2">
        <v>3.3796296296296296E-3</v>
      </c>
      <c r="I1032" s="1">
        <v>0.74050000000000005</v>
      </c>
    </row>
    <row r="1033" spans="1:9" x14ac:dyDescent="0.3">
      <c r="A1033">
        <v>1032</v>
      </c>
      <c r="B1033">
        <v>233</v>
      </c>
      <c r="C1033">
        <v>215</v>
      </c>
      <c r="D1033" s="1">
        <v>0.92269999999999996</v>
      </c>
      <c r="E1033">
        <v>18</v>
      </c>
      <c r="F1033" s="2">
        <v>2.5462962962962961E-4</v>
      </c>
      <c r="G1033" s="2">
        <v>1.7824074074074075E-3</v>
      </c>
      <c r="H1033" s="2">
        <v>5.6481481481481478E-3</v>
      </c>
      <c r="I1033" s="1">
        <v>0.74119999999999997</v>
      </c>
    </row>
    <row r="1034" spans="1:9" x14ac:dyDescent="0.3">
      <c r="A1034">
        <v>1033</v>
      </c>
      <c r="B1034">
        <v>162</v>
      </c>
      <c r="C1034">
        <v>157</v>
      </c>
      <c r="D1034" s="1">
        <v>0.96909999999999996</v>
      </c>
      <c r="E1034">
        <v>5</v>
      </c>
      <c r="F1034" s="2">
        <v>1.5046296296296297E-4</v>
      </c>
      <c r="G1034" s="2">
        <v>1.7592592592592592E-3</v>
      </c>
      <c r="H1034" s="2">
        <v>3.5879629629629629E-3</v>
      </c>
      <c r="I1034" s="1">
        <v>0.82720000000000005</v>
      </c>
    </row>
    <row r="1035" spans="1:9" x14ac:dyDescent="0.3">
      <c r="A1035">
        <v>1034</v>
      </c>
      <c r="B1035">
        <v>27</v>
      </c>
      <c r="C1035">
        <v>24</v>
      </c>
      <c r="D1035" s="1">
        <v>0.88890000000000002</v>
      </c>
      <c r="E1035">
        <v>3</v>
      </c>
      <c r="F1035" s="2">
        <v>2.0833333333333335E-4</v>
      </c>
      <c r="G1035" s="2">
        <v>1.5046296296296296E-3</v>
      </c>
      <c r="H1035" s="2">
        <v>2.673611111111111E-3</v>
      </c>
      <c r="I1035" s="1">
        <v>0.70369999999999999</v>
      </c>
    </row>
    <row r="1036" spans="1:9" x14ac:dyDescent="0.3">
      <c r="A1036">
        <v>1035</v>
      </c>
      <c r="B1036">
        <v>168</v>
      </c>
      <c r="C1036">
        <v>155</v>
      </c>
      <c r="D1036" s="1">
        <v>0.92259999999999998</v>
      </c>
      <c r="E1036">
        <v>13</v>
      </c>
      <c r="F1036" s="2">
        <v>3.0092592592592595E-4</v>
      </c>
      <c r="G1036" s="2">
        <v>2.2916666666666667E-3</v>
      </c>
      <c r="H1036" s="2">
        <v>2.1759259259259258E-3</v>
      </c>
      <c r="I1036" s="1">
        <v>0.64880000000000004</v>
      </c>
    </row>
    <row r="1037" spans="1:9" x14ac:dyDescent="0.3">
      <c r="A1037">
        <v>1036</v>
      </c>
      <c r="B1037">
        <v>328</v>
      </c>
      <c r="C1037">
        <v>301</v>
      </c>
      <c r="D1037" s="1">
        <v>0.91769999999999996</v>
      </c>
      <c r="E1037">
        <v>27</v>
      </c>
      <c r="F1037" s="2">
        <v>2.6620370370370372E-4</v>
      </c>
      <c r="G1037" s="2">
        <v>1.724537037037037E-3</v>
      </c>
      <c r="H1037" s="2">
        <v>4.8495370370370368E-3</v>
      </c>
      <c r="I1037" s="1">
        <v>0.67910000000000004</v>
      </c>
    </row>
    <row r="1038" spans="1:9" x14ac:dyDescent="0.3">
      <c r="A1038">
        <v>1037</v>
      </c>
      <c r="B1038">
        <v>234</v>
      </c>
      <c r="C1038">
        <v>208</v>
      </c>
      <c r="D1038" s="1">
        <v>0.88890000000000002</v>
      </c>
      <c r="E1038">
        <v>26</v>
      </c>
      <c r="F1038" s="2">
        <v>2.3148148148148149E-4</v>
      </c>
      <c r="G1038" s="2">
        <v>1.8981481481481482E-3</v>
      </c>
      <c r="H1038" s="2">
        <v>3.6805555555555554E-3</v>
      </c>
      <c r="I1038" s="1">
        <v>0.72250000000000003</v>
      </c>
    </row>
    <row r="1039" spans="1:9" x14ac:dyDescent="0.3">
      <c r="A1039">
        <v>1038</v>
      </c>
      <c r="B1039">
        <v>37</v>
      </c>
      <c r="C1039">
        <v>34</v>
      </c>
      <c r="D1039" s="1">
        <v>0.91890000000000005</v>
      </c>
      <c r="E1039">
        <v>3</v>
      </c>
      <c r="F1039" s="2">
        <v>1.6203703703703703E-4</v>
      </c>
      <c r="G1039" s="2">
        <v>1.5740740740740741E-3</v>
      </c>
      <c r="H1039" s="2">
        <v>2.5925925925925925E-3</v>
      </c>
      <c r="I1039" s="1">
        <v>0.83779999999999999</v>
      </c>
    </row>
    <row r="1040" spans="1:9" x14ac:dyDescent="0.3">
      <c r="A1040">
        <v>1039</v>
      </c>
      <c r="B1040">
        <v>185</v>
      </c>
      <c r="C1040">
        <v>167</v>
      </c>
      <c r="D1040" s="1">
        <v>0.90269999999999995</v>
      </c>
      <c r="E1040">
        <v>18</v>
      </c>
      <c r="F1040" s="2">
        <v>2.0833333333333335E-4</v>
      </c>
      <c r="G1040" s="2">
        <v>1.8865740740740742E-3</v>
      </c>
      <c r="H1040" s="2">
        <v>4.3055555555555555E-3</v>
      </c>
      <c r="I1040" s="1">
        <v>0.73509999999999998</v>
      </c>
    </row>
    <row r="1041" spans="1:9" x14ac:dyDescent="0.3">
      <c r="A1041">
        <v>1040</v>
      </c>
      <c r="B1041">
        <v>139</v>
      </c>
      <c r="C1041">
        <v>132</v>
      </c>
      <c r="D1041" s="1">
        <v>0.9496</v>
      </c>
      <c r="E1041">
        <v>7</v>
      </c>
      <c r="F1041" s="2">
        <v>1.1574074074074075E-4</v>
      </c>
      <c r="G1041" s="2">
        <v>2.0486111111111113E-3</v>
      </c>
      <c r="H1041" s="2">
        <v>2.4074074074074076E-3</v>
      </c>
      <c r="I1041" s="1">
        <v>0.88319999999999999</v>
      </c>
    </row>
    <row r="1042" spans="1:9" x14ac:dyDescent="0.3">
      <c r="A1042">
        <v>1041</v>
      </c>
      <c r="B1042">
        <v>13</v>
      </c>
      <c r="C1042">
        <v>11</v>
      </c>
      <c r="D1042" s="1">
        <v>0.84619999999999995</v>
      </c>
      <c r="E1042">
        <v>2</v>
      </c>
      <c r="F1042" s="2">
        <v>5.3240740740740744E-4</v>
      </c>
      <c r="G1042" s="2">
        <v>1.4699074074074074E-3</v>
      </c>
      <c r="H1042" s="2">
        <v>1.7939814814814815E-3</v>
      </c>
      <c r="I1042" s="1">
        <v>0.41670000000000001</v>
      </c>
    </row>
    <row r="1043" spans="1:9" x14ac:dyDescent="0.3">
      <c r="A1043">
        <v>1042</v>
      </c>
      <c r="B1043">
        <v>161</v>
      </c>
      <c r="C1043">
        <v>152</v>
      </c>
      <c r="D1043" s="1">
        <v>0.94410000000000005</v>
      </c>
      <c r="E1043">
        <v>9</v>
      </c>
      <c r="F1043" s="2">
        <v>2.6620370370370372E-4</v>
      </c>
      <c r="G1043" s="2">
        <v>1.712962962962963E-3</v>
      </c>
      <c r="H1043" s="2">
        <v>1.9907407407407408E-3</v>
      </c>
      <c r="I1043" s="1">
        <v>0.69620000000000004</v>
      </c>
    </row>
    <row r="1044" spans="1:9" x14ac:dyDescent="0.3">
      <c r="A1044">
        <v>1043</v>
      </c>
      <c r="B1044">
        <v>149</v>
      </c>
      <c r="C1044">
        <v>144</v>
      </c>
      <c r="D1044" s="1">
        <v>0.96640000000000004</v>
      </c>
      <c r="E1044">
        <v>5</v>
      </c>
      <c r="F1044" s="2">
        <v>1.7361111111111112E-4</v>
      </c>
      <c r="G1044" s="2">
        <v>1.9212962962962964E-3</v>
      </c>
      <c r="H1044" s="2">
        <v>2.0949074074074073E-3</v>
      </c>
      <c r="I1044" s="1">
        <v>0.83109999999999995</v>
      </c>
    </row>
    <row r="1045" spans="1:9" x14ac:dyDescent="0.3">
      <c r="A1045">
        <v>1044</v>
      </c>
      <c r="B1045">
        <v>178</v>
      </c>
      <c r="C1045">
        <v>167</v>
      </c>
      <c r="D1045" s="1">
        <v>0.93820000000000003</v>
      </c>
      <c r="E1045">
        <v>11</v>
      </c>
      <c r="F1045" s="2">
        <v>2.5462962962962961E-4</v>
      </c>
      <c r="G1045" s="2">
        <v>1.8749999999999999E-3</v>
      </c>
      <c r="H1045" s="2">
        <v>3.7499999999999999E-3</v>
      </c>
      <c r="I1045" s="1">
        <v>0.74860000000000004</v>
      </c>
    </row>
    <row r="1046" spans="1:9" x14ac:dyDescent="0.3">
      <c r="A1046">
        <v>1045</v>
      </c>
      <c r="B1046">
        <v>224</v>
      </c>
      <c r="C1046">
        <v>210</v>
      </c>
      <c r="D1046" s="1">
        <v>0.9375</v>
      </c>
      <c r="E1046">
        <v>14</v>
      </c>
      <c r="F1046" s="2">
        <v>2.4305555555555555E-4</v>
      </c>
      <c r="G1046" s="2">
        <v>2.0833333333333333E-3</v>
      </c>
      <c r="H1046" s="2">
        <v>3.3217592592592591E-3</v>
      </c>
      <c r="I1046" s="1">
        <v>0.72519999999999996</v>
      </c>
    </row>
    <row r="1047" spans="1:9" x14ac:dyDescent="0.3">
      <c r="A1047">
        <v>1046</v>
      </c>
      <c r="B1047">
        <v>277</v>
      </c>
      <c r="C1047">
        <v>273</v>
      </c>
      <c r="D1047" s="1">
        <v>0.98560000000000003</v>
      </c>
      <c r="E1047">
        <v>4</v>
      </c>
      <c r="F1047" s="2">
        <v>1.1574074074074075E-4</v>
      </c>
      <c r="G1047" s="2">
        <v>1.3888888888888889E-3</v>
      </c>
      <c r="H1047" s="2">
        <v>1.4236111111111112E-3</v>
      </c>
      <c r="I1047" s="1">
        <v>0.89739999999999998</v>
      </c>
    </row>
    <row r="1048" spans="1:9" x14ac:dyDescent="0.3">
      <c r="A1048">
        <v>1047</v>
      </c>
      <c r="B1048">
        <v>188</v>
      </c>
      <c r="C1048">
        <v>172</v>
      </c>
      <c r="D1048" s="1">
        <v>0.91490000000000005</v>
      </c>
      <c r="E1048">
        <v>16</v>
      </c>
      <c r="F1048" s="2">
        <v>2.3148148148148149E-4</v>
      </c>
      <c r="G1048" s="2">
        <v>1.8634259259259259E-3</v>
      </c>
      <c r="H1048" s="2">
        <v>2.5000000000000001E-3</v>
      </c>
      <c r="I1048" s="1">
        <v>0.72189999999999999</v>
      </c>
    </row>
    <row r="1049" spans="1:9" x14ac:dyDescent="0.3">
      <c r="A1049">
        <v>1048</v>
      </c>
      <c r="B1049">
        <v>26</v>
      </c>
      <c r="C1049">
        <v>22</v>
      </c>
      <c r="D1049" s="1">
        <v>0.84619999999999995</v>
      </c>
      <c r="E1049">
        <v>4</v>
      </c>
      <c r="F1049" s="2">
        <v>3.9351851851851852E-4</v>
      </c>
      <c r="G1049" s="2">
        <v>1.6550925925925926E-3</v>
      </c>
      <c r="H1049" s="2">
        <v>4.3750000000000004E-3</v>
      </c>
      <c r="I1049" s="1">
        <v>0.68</v>
      </c>
    </row>
    <row r="1050" spans="1:9" x14ac:dyDescent="0.3">
      <c r="A1050">
        <v>1049</v>
      </c>
      <c r="B1050">
        <v>177</v>
      </c>
      <c r="C1050">
        <v>167</v>
      </c>
      <c r="D1050" s="1">
        <v>0.94350000000000001</v>
      </c>
      <c r="E1050">
        <v>10</v>
      </c>
      <c r="F1050" s="2">
        <v>4.0509259259259258E-4</v>
      </c>
      <c r="G1050" s="2">
        <v>2.0370370370370369E-3</v>
      </c>
      <c r="H1050" s="2">
        <v>2.2569444444444442E-3</v>
      </c>
      <c r="I1050" s="1">
        <v>0.5625</v>
      </c>
    </row>
    <row r="1051" spans="1:9" x14ac:dyDescent="0.3">
      <c r="A1051">
        <v>1050</v>
      </c>
      <c r="B1051">
        <v>149</v>
      </c>
      <c r="C1051">
        <v>144</v>
      </c>
      <c r="D1051" s="1">
        <v>0.96640000000000004</v>
      </c>
      <c r="E1051">
        <v>5</v>
      </c>
      <c r="F1051" s="2">
        <v>3.2407407407407406E-4</v>
      </c>
      <c r="G1051" s="2">
        <v>1.9328703703703704E-3</v>
      </c>
      <c r="H1051" s="2">
        <v>2.638888888888889E-3</v>
      </c>
      <c r="I1051" s="1">
        <v>0.66220000000000001</v>
      </c>
    </row>
    <row r="1052" spans="1:9" x14ac:dyDescent="0.3">
      <c r="A1052">
        <v>1051</v>
      </c>
      <c r="B1052">
        <v>147</v>
      </c>
      <c r="C1052">
        <v>147</v>
      </c>
      <c r="D1052" s="1">
        <v>1</v>
      </c>
      <c r="E1052">
        <v>0</v>
      </c>
      <c r="F1052" s="2">
        <v>1.273148148148148E-4</v>
      </c>
      <c r="G1052" s="2">
        <v>1.9791666666666668E-3</v>
      </c>
      <c r="H1052" s="2">
        <v>1.4236111111111112E-3</v>
      </c>
      <c r="I1052" s="1">
        <v>0.85709999999999997</v>
      </c>
    </row>
    <row r="1053" spans="1:9" x14ac:dyDescent="0.3">
      <c r="A1053">
        <v>1052</v>
      </c>
      <c r="B1053">
        <v>140</v>
      </c>
      <c r="C1053">
        <v>134</v>
      </c>
      <c r="D1053" s="1">
        <v>0.95709999999999995</v>
      </c>
      <c r="E1053">
        <v>6</v>
      </c>
      <c r="F1053" s="2">
        <v>2.199074074074074E-4</v>
      </c>
      <c r="G1053" s="2">
        <v>1.8981481481481482E-3</v>
      </c>
      <c r="H1053" s="2">
        <v>5.7754629629629631E-3</v>
      </c>
      <c r="I1053" s="1">
        <v>0.78569999999999995</v>
      </c>
    </row>
    <row r="1054" spans="1:9" x14ac:dyDescent="0.3">
      <c r="A1054">
        <v>1053</v>
      </c>
      <c r="B1054">
        <v>177</v>
      </c>
      <c r="C1054">
        <v>163</v>
      </c>
      <c r="D1054" s="1">
        <v>0.92090000000000005</v>
      </c>
      <c r="E1054">
        <v>14</v>
      </c>
      <c r="F1054" s="2">
        <v>2.199074074074074E-4</v>
      </c>
      <c r="G1054" s="2">
        <v>1.7939814814814815E-3</v>
      </c>
      <c r="H1054" s="2">
        <v>5.0462962962962961E-3</v>
      </c>
      <c r="I1054" s="1">
        <v>0.7571</v>
      </c>
    </row>
    <row r="1055" spans="1:9" x14ac:dyDescent="0.3">
      <c r="A1055">
        <v>1054</v>
      </c>
      <c r="B1055">
        <v>169</v>
      </c>
      <c r="C1055">
        <v>169</v>
      </c>
      <c r="D1055" s="1">
        <v>1</v>
      </c>
      <c r="E1055">
        <v>0</v>
      </c>
      <c r="F1055" s="2">
        <v>1.0416666666666667E-4</v>
      </c>
      <c r="G1055" s="2">
        <v>1.9097222222222222E-3</v>
      </c>
      <c r="H1055" s="2">
        <v>7.5231481481481482E-4</v>
      </c>
      <c r="I1055" s="1">
        <v>0.89939999999999998</v>
      </c>
    </row>
    <row r="1056" spans="1:9" x14ac:dyDescent="0.3">
      <c r="A1056">
        <v>1055</v>
      </c>
      <c r="B1056">
        <v>26</v>
      </c>
      <c r="C1056">
        <v>21</v>
      </c>
      <c r="D1056" s="1">
        <v>0.80769999999999997</v>
      </c>
      <c r="E1056">
        <v>5</v>
      </c>
      <c r="F1056" s="2">
        <v>3.1250000000000001E-4</v>
      </c>
      <c r="G1056" s="2">
        <v>1.712962962962963E-3</v>
      </c>
      <c r="H1056" s="2">
        <v>1.4351851851851852E-3</v>
      </c>
      <c r="I1056" s="1">
        <v>0.48</v>
      </c>
    </row>
    <row r="1057" spans="1:9" x14ac:dyDescent="0.3">
      <c r="A1057">
        <v>1056</v>
      </c>
      <c r="B1057">
        <v>147</v>
      </c>
      <c r="C1057">
        <v>140</v>
      </c>
      <c r="D1057" s="1">
        <v>0.95240000000000002</v>
      </c>
      <c r="E1057">
        <v>7</v>
      </c>
      <c r="F1057" s="2">
        <v>1.3888888888888889E-4</v>
      </c>
      <c r="G1057" s="2">
        <v>1.9444444444444444E-3</v>
      </c>
      <c r="H1057" s="2">
        <v>1.5162037037037036E-3</v>
      </c>
      <c r="I1057" s="1">
        <v>0.85519999999999996</v>
      </c>
    </row>
    <row r="1058" spans="1:9" x14ac:dyDescent="0.3">
      <c r="A1058">
        <v>1057</v>
      </c>
      <c r="B1058">
        <v>127</v>
      </c>
      <c r="C1058">
        <v>122</v>
      </c>
      <c r="D1058" s="1">
        <v>0.96060000000000001</v>
      </c>
      <c r="E1058">
        <v>5</v>
      </c>
      <c r="F1058" s="2">
        <v>2.4305555555555555E-4</v>
      </c>
      <c r="G1058" s="2">
        <v>1.9444444444444444E-3</v>
      </c>
      <c r="H1058" s="2">
        <v>1.4699074074074074E-3</v>
      </c>
      <c r="I1058" s="1">
        <v>0.7087</v>
      </c>
    </row>
    <row r="1059" spans="1:9" x14ac:dyDescent="0.3">
      <c r="A1059">
        <v>1058</v>
      </c>
      <c r="B1059">
        <v>141</v>
      </c>
      <c r="C1059">
        <v>135</v>
      </c>
      <c r="D1059" s="1">
        <v>0.95740000000000003</v>
      </c>
      <c r="E1059">
        <v>6</v>
      </c>
      <c r="F1059" s="2">
        <v>1.9675925925925926E-4</v>
      </c>
      <c r="G1059" s="2">
        <v>1.7013888888888888E-3</v>
      </c>
      <c r="H1059" s="2">
        <v>2.8703703703703703E-3</v>
      </c>
      <c r="I1059" s="1">
        <v>0.78010000000000002</v>
      </c>
    </row>
    <row r="1060" spans="1:9" x14ac:dyDescent="0.3">
      <c r="A1060">
        <v>1059</v>
      </c>
      <c r="B1060">
        <v>208</v>
      </c>
      <c r="C1060">
        <v>181</v>
      </c>
      <c r="D1060" s="1">
        <v>0.87019999999999997</v>
      </c>
      <c r="E1060">
        <v>27</v>
      </c>
      <c r="F1060" s="2">
        <v>4.3981481481481481E-4</v>
      </c>
      <c r="G1060" s="2">
        <v>1.8402777777777777E-3</v>
      </c>
      <c r="H1060" s="2">
        <v>2.8703703703703703E-3</v>
      </c>
      <c r="I1060" s="1">
        <v>0.49020000000000002</v>
      </c>
    </row>
    <row r="1061" spans="1:9" x14ac:dyDescent="0.3">
      <c r="A1061">
        <v>1060</v>
      </c>
      <c r="B1061">
        <v>178</v>
      </c>
      <c r="C1061">
        <v>163</v>
      </c>
      <c r="D1061" s="1">
        <v>0.91569999999999996</v>
      </c>
      <c r="E1061">
        <v>15</v>
      </c>
      <c r="F1061" s="2">
        <v>3.8194444444444446E-4</v>
      </c>
      <c r="G1061" s="2">
        <v>2.0138888888888888E-3</v>
      </c>
      <c r="H1061" s="2">
        <v>3.449074074074074E-3</v>
      </c>
      <c r="I1061" s="1">
        <v>0.54800000000000004</v>
      </c>
    </row>
    <row r="1062" spans="1:9" x14ac:dyDescent="0.3">
      <c r="A1062">
        <v>1061</v>
      </c>
      <c r="B1062">
        <v>198</v>
      </c>
      <c r="C1062">
        <v>190</v>
      </c>
      <c r="D1062" s="1">
        <v>0.95960000000000001</v>
      </c>
      <c r="E1062">
        <v>8</v>
      </c>
      <c r="F1062" s="2">
        <v>2.8935185185185184E-4</v>
      </c>
      <c r="G1062" s="2">
        <v>1.7592592592592592E-3</v>
      </c>
      <c r="H1062" s="2">
        <v>1.6435185185185185E-3</v>
      </c>
      <c r="I1062" s="1">
        <v>0.67010000000000003</v>
      </c>
    </row>
    <row r="1063" spans="1:9" x14ac:dyDescent="0.3">
      <c r="A1063">
        <v>1062</v>
      </c>
      <c r="B1063">
        <v>21</v>
      </c>
      <c r="C1063">
        <v>17</v>
      </c>
      <c r="D1063" s="1">
        <v>0.8095</v>
      </c>
      <c r="E1063">
        <v>4</v>
      </c>
      <c r="F1063" s="2">
        <v>5.0925925925925921E-4</v>
      </c>
      <c r="G1063" s="2">
        <v>2.4421296296296296E-3</v>
      </c>
      <c r="H1063" s="2">
        <v>3.2060185185185186E-3</v>
      </c>
      <c r="I1063" s="1">
        <v>0.47620000000000001</v>
      </c>
    </row>
    <row r="1064" spans="1:9" x14ac:dyDescent="0.3">
      <c r="A1064">
        <v>1063</v>
      </c>
      <c r="B1064">
        <v>171</v>
      </c>
      <c r="C1064">
        <v>161</v>
      </c>
      <c r="D1064" s="1">
        <v>0.9415</v>
      </c>
      <c r="E1064">
        <v>10</v>
      </c>
      <c r="F1064" s="2">
        <v>1.8518518518518518E-4</v>
      </c>
      <c r="G1064" s="2">
        <v>1.7939814814814815E-3</v>
      </c>
      <c r="H1064" s="2">
        <v>4.3287037037037035E-3</v>
      </c>
      <c r="I1064" s="1">
        <v>0.81440000000000001</v>
      </c>
    </row>
    <row r="1065" spans="1:9" x14ac:dyDescent="0.3">
      <c r="A1065">
        <v>1064</v>
      </c>
      <c r="B1065">
        <v>200</v>
      </c>
      <c r="C1065">
        <v>196</v>
      </c>
      <c r="D1065" s="1">
        <v>0.98</v>
      </c>
      <c r="E1065">
        <v>4</v>
      </c>
      <c r="F1065" s="2">
        <v>1.0416666666666667E-4</v>
      </c>
      <c r="G1065" s="2">
        <v>1.9791666666666668E-3</v>
      </c>
      <c r="H1065" s="2">
        <v>1.4004629629629629E-3</v>
      </c>
      <c r="I1065" s="1">
        <v>0.91920000000000002</v>
      </c>
    </row>
    <row r="1066" spans="1:9" x14ac:dyDescent="0.3">
      <c r="A1066">
        <v>1065</v>
      </c>
      <c r="B1066">
        <v>166</v>
      </c>
      <c r="C1066">
        <v>157</v>
      </c>
      <c r="D1066" s="1">
        <v>0.94579999999999997</v>
      </c>
      <c r="E1066">
        <v>9</v>
      </c>
      <c r="F1066" s="2">
        <v>2.7777777777777778E-4</v>
      </c>
      <c r="G1066" s="2">
        <v>1.8518518518518519E-3</v>
      </c>
      <c r="H1066" s="2">
        <v>1.3194444444444445E-3</v>
      </c>
      <c r="I1066" s="1">
        <v>0.64629999999999999</v>
      </c>
    </row>
    <row r="1067" spans="1:9" x14ac:dyDescent="0.3">
      <c r="A1067">
        <v>1066</v>
      </c>
      <c r="B1067">
        <v>230</v>
      </c>
      <c r="C1067">
        <v>217</v>
      </c>
      <c r="D1067" s="1">
        <v>0.94350000000000001</v>
      </c>
      <c r="E1067">
        <v>13</v>
      </c>
      <c r="F1067" s="2">
        <v>3.1250000000000001E-4</v>
      </c>
      <c r="G1067" s="2">
        <v>1.8402777777777777E-3</v>
      </c>
      <c r="H1067" s="2">
        <v>1.4236111111111112E-3</v>
      </c>
      <c r="I1067" s="1">
        <v>0.57210000000000005</v>
      </c>
    </row>
    <row r="1068" spans="1:9" x14ac:dyDescent="0.3">
      <c r="A1068">
        <v>1067</v>
      </c>
      <c r="B1068">
        <v>174</v>
      </c>
      <c r="C1068">
        <v>168</v>
      </c>
      <c r="D1068" s="1">
        <v>0.96550000000000002</v>
      </c>
      <c r="E1068">
        <v>6</v>
      </c>
      <c r="F1068" s="2">
        <v>2.7777777777777778E-4</v>
      </c>
      <c r="G1068" s="2">
        <v>2.0486111111111113E-3</v>
      </c>
      <c r="H1068" s="2">
        <v>2.0138888888888888E-3</v>
      </c>
      <c r="I1068" s="1">
        <v>0.69589999999999996</v>
      </c>
    </row>
    <row r="1069" spans="1:9" x14ac:dyDescent="0.3">
      <c r="A1069">
        <v>1068</v>
      </c>
      <c r="B1069">
        <v>240</v>
      </c>
      <c r="C1069">
        <v>185</v>
      </c>
      <c r="D1069" s="1">
        <v>0.77080000000000004</v>
      </c>
      <c r="E1069">
        <v>55</v>
      </c>
      <c r="F1069" s="2">
        <v>6.9444444444444447E-4</v>
      </c>
      <c r="G1069" s="2">
        <v>2.1064814814814813E-3</v>
      </c>
      <c r="H1069" s="2">
        <v>3.472222222222222E-3</v>
      </c>
      <c r="I1069" s="1">
        <v>0.2979</v>
      </c>
    </row>
    <row r="1070" spans="1:9" x14ac:dyDescent="0.3">
      <c r="A1070">
        <v>1069</v>
      </c>
      <c r="B1070">
        <v>35</v>
      </c>
      <c r="C1070">
        <v>27</v>
      </c>
      <c r="D1070" s="1">
        <v>0.77139999999999997</v>
      </c>
      <c r="E1070">
        <v>8</v>
      </c>
      <c r="F1070" s="2">
        <v>5.5555555555555556E-4</v>
      </c>
      <c r="G1070" s="2">
        <v>2.0370370370370369E-3</v>
      </c>
      <c r="H1070" s="2">
        <v>2.6967592592592594E-3</v>
      </c>
      <c r="I1070" s="1">
        <v>0.43330000000000002</v>
      </c>
    </row>
    <row r="1071" spans="1:9" x14ac:dyDescent="0.3">
      <c r="A1071">
        <v>1070</v>
      </c>
      <c r="B1071">
        <v>198</v>
      </c>
      <c r="C1071">
        <v>179</v>
      </c>
      <c r="D1071" s="1">
        <v>0.90400000000000003</v>
      </c>
      <c r="E1071">
        <v>19</v>
      </c>
      <c r="F1071" s="2">
        <v>3.1250000000000001E-4</v>
      </c>
      <c r="G1071" s="2">
        <v>1.8634259259259259E-3</v>
      </c>
      <c r="H1071" s="2">
        <v>6.7129629629629631E-3</v>
      </c>
      <c r="I1071" s="1">
        <v>0.60099999999999998</v>
      </c>
    </row>
    <row r="1072" spans="1:9" x14ac:dyDescent="0.3">
      <c r="A1072">
        <v>1071</v>
      </c>
      <c r="B1072">
        <v>189</v>
      </c>
      <c r="C1072">
        <v>181</v>
      </c>
      <c r="D1072" s="1">
        <v>0.9577</v>
      </c>
      <c r="E1072">
        <v>8</v>
      </c>
      <c r="F1072" s="2">
        <v>2.199074074074074E-4</v>
      </c>
      <c r="G1072" s="2">
        <v>2.0717592592592593E-3</v>
      </c>
      <c r="H1072" s="2">
        <v>1.8981481481481482E-3</v>
      </c>
      <c r="I1072" s="1">
        <v>0.71430000000000005</v>
      </c>
    </row>
    <row r="1073" spans="1:9" x14ac:dyDescent="0.3">
      <c r="A1073">
        <v>1072</v>
      </c>
      <c r="B1073">
        <v>229</v>
      </c>
      <c r="C1073">
        <v>219</v>
      </c>
      <c r="D1073" s="1">
        <v>0.95630000000000004</v>
      </c>
      <c r="E1073">
        <v>10</v>
      </c>
      <c r="F1073" s="2">
        <v>3.4722222222222224E-4</v>
      </c>
      <c r="G1073" s="2">
        <v>2.2569444444444442E-3</v>
      </c>
      <c r="H1073" s="2">
        <v>4.4560185185185189E-3</v>
      </c>
      <c r="I1073" s="1">
        <v>0.59209999999999996</v>
      </c>
    </row>
    <row r="1074" spans="1:9" x14ac:dyDescent="0.3">
      <c r="A1074">
        <v>1073</v>
      </c>
      <c r="B1074">
        <v>254</v>
      </c>
      <c r="C1074">
        <v>235</v>
      </c>
      <c r="D1074" s="1">
        <v>0.92520000000000002</v>
      </c>
      <c r="E1074">
        <v>19</v>
      </c>
      <c r="F1074" s="2">
        <v>3.1250000000000001E-4</v>
      </c>
      <c r="G1074" s="2">
        <v>2.0370370370370369E-3</v>
      </c>
      <c r="H1074" s="2">
        <v>2.685185185185185E-3</v>
      </c>
      <c r="I1074" s="1">
        <v>0.5968</v>
      </c>
    </row>
    <row r="1075" spans="1:9" x14ac:dyDescent="0.3">
      <c r="A1075">
        <v>1074</v>
      </c>
      <c r="B1075">
        <v>584</v>
      </c>
      <c r="C1075">
        <v>521</v>
      </c>
      <c r="D1075" s="1">
        <v>0.8921</v>
      </c>
      <c r="E1075">
        <v>63</v>
      </c>
      <c r="F1075" s="2">
        <v>3.3564814814814812E-4</v>
      </c>
      <c r="G1075" s="2">
        <v>1.5740740740740741E-3</v>
      </c>
      <c r="H1075" s="2">
        <v>3.0208333333333333E-3</v>
      </c>
      <c r="I1075" s="1">
        <v>0.58299999999999996</v>
      </c>
    </row>
    <row r="1076" spans="1:9" x14ac:dyDescent="0.3">
      <c r="A1076">
        <v>1075</v>
      </c>
      <c r="B1076">
        <v>564</v>
      </c>
      <c r="C1076">
        <v>551</v>
      </c>
      <c r="D1076" s="1">
        <v>0.97699999999999998</v>
      </c>
      <c r="E1076">
        <v>13</v>
      </c>
      <c r="F1076" s="2">
        <v>1.3888888888888889E-4</v>
      </c>
      <c r="G1076" s="2">
        <v>1.1574074074074073E-3</v>
      </c>
      <c r="H1076" s="2">
        <v>1.2268518518518518E-3</v>
      </c>
      <c r="I1076" s="1">
        <v>0.83960000000000001</v>
      </c>
    </row>
    <row r="1077" spans="1:9" x14ac:dyDescent="0.3">
      <c r="A1077">
        <v>1076</v>
      </c>
      <c r="B1077">
        <v>150</v>
      </c>
      <c r="C1077">
        <v>149</v>
      </c>
      <c r="D1077" s="1">
        <v>0.99329999999999996</v>
      </c>
      <c r="E1077">
        <v>1</v>
      </c>
      <c r="F1077" s="2">
        <v>1.1574074074074075E-4</v>
      </c>
      <c r="G1077" s="2">
        <v>1.1574074074074073E-3</v>
      </c>
      <c r="H1077" s="2">
        <v>1.5162037037037036E-3</v>
      </c>
      <c r="I1077" s="1">
        <v>0.89329999999999998</v>
      </c>
    </row>
    <row r="1078" spans="1:9" x14ac:dyDescent="0.3">
      <c r="A1078">
        <v>1077</v>
      </c>
      <c r="B1078">
        <v>521</v>
      </c>
      <c r="C1078">
        <v>499</v>
      </c>
      <c r="D1078" s="1">
        <v>0.95779999999999998</v>
      </c>
      <c r="E1078">
        <v>22</v>
      </c>
      <c r="F1078" s="2">
        <v>2.6620370370370372E-4</v>
      </c>
      <c r="G1078" s="2">
        <v>1.1111111111111111E-3</v>
      </c>
      <c r="H1078" s="2">
        <v>2.1296296296296298E-3</v>
      </c>
      <c r="I1078" s="1">
        <v>0.70930000000000004</v>
      </c>
    </row>
    <row r="1079" spans="1:9" x14ac:dyDescent="0.3">
      <c r="A1079">
        <v>1078</v>
      </c>
      <c r="B1079">
        <v>330</v>
      </c>
      <c r="C1079">
        <v>309</v>
      </c>
      <c r="D1079" s="1">
        <v>0.93640000000000001</v>
      </c>
      <c r="E1079">
        <v>21</v>
      </c>
      <c r="F1079" s="2">
        <v>2.4305555555555555E-4</v>
      </c>
      <c r="G1079" s="2">
        <v>2.3032407407407407E-3</v>
      </c>
      <c r="H1079" s="2">
        <v>4.5370370370370373E-3</v>
      </c>
      <c r="I1079" s="1">
        <v>0.69540000000000002</v>
      </c>
    </row>
    <row r="1080" spans="1:9" x14ac:dyDescent="0.3">
      <c r="A1080">
        <v>1079</v>
      </c>
      <c r="B1080">
        <v>298</v>
      </c>
      <c r="C1080">
        <v>288</v>
      </c>
      <c r="D1080" s="1">
        <v>0.96640000000000004</v>
      </c>
      <c r="E1080">
        <v>10</v>
      </c>
      <c r="F1080" s="2">
        <v>1.5046296296296297E-4</v>
      </c>
      <c r="G1080" s="2">
        <v>2.3148148148148147E-3</v>
      </c>
      <c r="H1080" s="2">
        <v>2.8124999999999999E-3</v>
      </c>
      <c r="I1080" s="1">
        <v>0.84750000000000003</v>
      </c>
    </row>
    <row r="1081" spans="1:9" x14ac:dyDescent="0.3">
      <c r="A1081">
        <v>1080</v>
      </c>
      <c r="B1081">
        <v>294</v>
      </c>
      <c r="C1081">
        <v>287</v>
      </c>
      <c r="D1081" s="1">
        <v>0.97619999999999996</v>
      </c>
      <c r="E1081">
        <v>7</v>
      </c>
      <c r="F1081" s="2">
        <v>1.6203703703703703E-4</v>
      </c>
      <c r="G1081" s="2">
        <v>2.4074074074074076E-3</v>
      </c>
      <c r="H1081" s="2">
        <v>2.3032407407407407E-3</v>
      </c>
      <c r="I1081" s="1">
        <v>0.82250000000000001</v>
      </c>
    </row>
    <row r="1082" spans="1:9" x14ac:dyDescent="0.3">
      <c r="A1082">
        <v>1081</v>
      </c>
      <c r="B1082">
        <v>261</v>
      </c>
      <c r="C1082">
        <v>253</v>
      </c>
      <c r="D1082" s="1">
        <v>0.96930000000000005</v>
      </c>
      <c r="E1082">
        <v>8</v>
      </c>
      <c r="F1082" s="2">
        <v>1.1574074074074075E-4</v>
      </c>
      <c r="G1082" s="2">
        <v>2.1180555555555558E-3</v>
      </c>
      <c r="H1082" s="2">
        <v>4.0277777777777777E-3</v>
      </c>
      <c r="I1082" s="1">
        <v>0.89959999999999996</v>
      </c>
    </row>
    <row r="1083" spans="1:9" x14ac:dyDescent="0.3">
      <c r="A1083">
        <v>1082</v>
      </c>
      <c r="B1083">
        <v>223</v>
      </c>
      <c r="C1083">
        <v>210</v>
      </c>
      <c r="D1083" s="1">
        <v>0.94169999999999998</v>
      </c>
      <c r="E1083">
        <v>13</v>
      </c>
      <c r="F1083" s="2">
        <v>1.8518518518518518E-4</v>
      </c>
      <c r="G1083" s="2">
        <v>2.1643518518518518E-3</v>
      </c>
      <c r="H1083" s="2">
        <v>3.7384259259259259E-3</v>
      </c>
      <c r="I1083" s="1">
        <v>0.80089999999999995</v>
      </c>
    </row>
    <row r="1084" spans="1:9" x14ac:dyDescent="0.3">
      <c r="A1084">
        <v>1083</v>
      </c>
      <c r="B1084">
        <v>59</v>
      </c>
      <c r="C1084">
        <v>58</v>
      </c>
      <c r="D1084" s="1">
        <v>0.98309999999999997</v>
      </c>
      <c r="E1084">
        <v>1</v>
      </c>
      <c r="F1084" s="2">
        <v>2.4305555555555555E-4</v>
      </c>
      <c r="G1084" s="2">
        <v>2.5578703703703705E-3</v>
      </c>
      <c r="H1084" s="2">
        <v>2.2222222222222222E-3</v>
      </c>
      <c r="I1084" s="1">
        <v>0.74580000000000002</v>
      </c>
    </row>
    <row r="1085" spans="1:9" x14ac:dyDescent="0.3">
      <c r="A1085">
        <v>1084</v>
      </c>
      <c r="B1085">
        <v>340</v>
      </c>
      <c r="C1085">
        <v>327</v>
      </c>
      <c r="D1085" s="1">
        <v>0.96179999999999999</v>
      </c>
      <c r="E1085">
        <v>13</v>
      </c>
      <c r="F1085" s="2">
        <v>2.4305555555555555E-4</v>
      </c>
      <c r="G1085" s="2">
        <v>1.3310185185185185E-3</v>
      </c>
      <c r="H1085" s="2">
        <v>2.6157407407407405E-3</v>
      </c>
      <c r="I1085" s="1">
        <v>0.77610000000000001</v>
      </c>
    </row>
    <row r="1086" spans="1:9" x14ac:dyDescent="0.3">
      <c r="A1086">
        <v>1085</v>
      </c>
      <c r="B1086">
        <v>287</v>
      </c>
      <c r="C1086">
        <v>280</v>
      </c>
      <c r="D1086" s="1">
        <v>0.97560000000000002</v>
      </c>
      <c r="E1086">
        <v>7</v>
      </c>
      <c r="F1086" s="2">
        <v>1.5046296296296297E-4</v>
      </c>
      <c r="G1086" s="2">
        <v>2.1412037037037038E-3</v>
      </c>
      <c r="H1086" s="2">
        <v>1.3425925925925925E-3</v>
      </c>
      <c r="I1086" s="1">
        <v>0.84319999999999995</v>
      </c>
    </row>
    <row r="1087" spans="1:9" x14ac:dyDescent="0.3">
      <c r="A1087">
        <v>1086</v>
      </c>
      <c r="B1087">
        <v>269</v>
      </c>
      <c r="C1087">
        <v>257</v>
      </c>
      <c r="D1087" s="1">
        <v>0.95540000000000003</v>
      </c>
      <c r="E1087">
        <v>12</v>
      </c>
      <c r="F1087" s="2">
        <v>1.8518518518518518E-4</v>
      </c>
      <c r="G1087" s="2">
        <v>2.1296296296296298E-3</v>
      </c>
      <c r="H1087" s="2">
        <v>2.650462962962963E-3</v>
      </c>
      <c r="I1087" s="1">
        <v>0.82020000000000004</v>
      </c>
    </row>
    <row r="1088" spans="1:9" x14ac:dyDescent="0.3">
      <c r="A1088">
        <v>1087</v>
      </c>
      <c r="B1088">
        <v>270</v>
      </c>
      <c r="C1088">
        <v>261</v>
      </c>
      <c r="D1088" s="1">
        <v>0.9667</v>
      </c>
      <c r="E1088">
        <v>9</v>
      </c>
      <c r="F1088" s="2">
        <v>1.3888888888888889E-4</v>
      </c>
      <c r="G1088" s="2">
        <v>2.1527777777777778E-3</v>
      </c>
      <c r="H1088" s="2">
        <v>3.1134259259259257E-3</v>
      </c>
      <c r="I1088" s="1">
        <v>0.85870000000000002</v>
      </c>
    </row>
    <row r="1089" spans="1:9" x14ac:dyDescent="0.3">
      <c r="A1089">
        <v>1088</v>
      </c>
      <c r="B1089">
        <v>285</v>
      </c>
      <c r="C1089">
        <v>273</v>
      </c>
      <c r="D1089" s="1">
        <v>0.95789999999999997</v>
      </c>
      <c r="E1089">
        <v>12</v>
      </c>
      <c r="F1089" s="2">
        <v>1.3888888888888889E-4</v>
      </c>
      <c r="G1089" s="2">
        <v>2.2453703703703702E-3</v>
      </c>
      <c r="H1089" s="2">
        <v>2.0023148148148148E-3</v>
      </c>
      <c r="I1089" s="1">
        <v>0.85360000000000003</v>
      </c>
    </row>
    <row r="1090" spans="1:9" x14ac:dyDescent="0.3">
      <c r="A1090">
        <v>1089</v>
      </c>
      <c r="B1090">
        <v>251</v>
      </c>
      <c r="C1090">
        <v>229</v>
      </c>
      <c r="D1090" s="1">
        <v>0.91239999999999999</v>
      </c>
      <c r="E1090">
        <v>22</v>
      </c>
      <c r="F1090" s="2">
        <v>2.5462962962962961E-4</v>
      </c>
      <c r="G1090" s="2">
        <v>2.0717592592592593E-3</v>
      </c>
      <c r="H1090" s="2">
        <v>2.1527777777777778E-3</v>
      </c>
      <c r="I1090" s="1">
        <v>0.73060000000000003</v>
      </c>
    </row>
    <row r="1091" spans="1:9" x14ac:dyDescent="0.3">
      <c r="A1091">
        <v>1090</v>
      </c>
      <c r="B1091">
        <v>47</v>
      </c>
      <c r="C1091">
        <v>47</v>
      </c>
      <c r="D1091" s="1">
        <v>1</v>
      </c>
      <c r="E1091">
        <v>0</v>
      </c>
      <c r="F1091" s="2">
        <v>1.5046296296296297E-4</v>
      </c>
      <c r="G1091" s="2">
        <v>2.1180555555555558E-3</v>
      </c>
      <c r="H1091" s="2">
        <v>1.0300925925925926E-3</v>
      </c>
      <c r="I1091" s="1">
        <v>0.87229999999999996</v>
      </c>
    </row>
    <row r="1092" spans="1:9" x14ac:dyDescent="0.3">
      <c r="A1092">
        <v>1091</v>
      </c>
      <c r="B1092">
        <v>233</v>
      </c>
      <c r="C1092">
        <v>225</v>
      </c>
      <c r="D1092" s="1">
        <v>0.9657</v>
      </c>
      <c r="E1092">
        <v>8</v>
      </c>
      <c r="F1092" s="2">
        <v>1.5046296296296297E-4</v>
      </c>
      <c r="G1092" s="2">
        <v>2.1064814814814813E-3</v>
      </c>
      <c r="H1092" s="2">
        <v>1.3541666666666667E-3</v>
      </c>
      <c r="I1092" s="1">
        <v>0.84719999999999995</v>
      </c>
    </row>
    <row r="1093" spans="1:9" x14ac:dyDescent="0.3">
      <c r="A1093">
        <v>1092</v>
      </c>
      <c r="B1093">
        <v>257</v>
      </c>
      <c r="C1093">
        <v>248</v>
      </c>
      <c r="D1093" s="1">
        <v>0.96499999999999997</v>
      </c>
      <c r="E1093">
        <v>9</v>
      </c>
      <c r="F1093" s="2">
        <v>1.6203703703703703E-4</v>
      </c>
      <c r="G1093" s="2">
        <v>2.2453703703703702E-3</v>
      </c>
      <c r="H1093" s="2">
        <v>2.5694444444444445E-3</v>
      </c>
      <c r="I1093" s="1">
        <v>0.83399999999999996</v>
      </c>
    </row>
    <row r="1094" spans="1:9" x14ac:dyDescent="0.3">
      <c r="A1094">
        <v>1093</v>
      </c>
      <c r="B1094">
        <v>245</v>
      </c>
      <c r="C1094">
        <v>234</v>
      </c>
      <c r="D1094" s="1">
        <v>0.95509999999999995</v>
      </c>
      <c r="E1094">
        <v>11</v>
      </c>
      <c r="F1094" s="2">
        <v>1.273148148148148E-4</v>
      </c>
      <c r="G1094" s="2">
        <v>2.0949074074074073E-3</v>
      </c>
      <c r="H1094" s="2">
        <v>1.3425925925925925E-3</v>
      </c>
      <c r="I1094" s="1">
        <v>0.85950000000000004</v>
      </c>
    </row>
    <row r="1095" spans="1:9" x14ac:dyDescent="0.3">
      <c r="A1095">
        <v>1094</v>
      </c>
      <c r="B1095">
        <v>267</v>
      </c>
      <c r="C1095">
        <v>265</v>
      </c>
      <c r="D1095" s="1">
        <v>0.99250000000000005</v>
      </c>
      <c r="E1095">
        <v>2</v>
      </c>
      <c r="F1095" s="2">
        <v>5.7870370370370373E-5</v>
      </c>
      <c r="G1095" s="2">
        <v>2.0717592592592593E-3</v>
      </c>
      <c r="H1095" s="2">
        <v>8.4490740740740739E-4</v>
      </c>
      <c r="I1095" s="1">
        <v>0.97360000000000002</v>
      </c>
    </row>
    <row r="1096" spans="1:9" x14ac:dyDescent="0.3">
      <c r="A1096">
        <v>1095</v>
      </c>
      <c r="B1096">
        <v>231</v>
      </c>
      <c r="C1096">
        <v>224</v>
      </c>
      <c r="D1096" s="1">
        <v>0.96970000000000001</v>
      </c>
      <c r="E1096">
        <v>7</v>
      </c>
      <c r="F1096" s="2">
        <v>1.273148148148148E-4</v>
      </c>
      <c r="G1096" s="2">
        <v>2.0370370370370369E-3</v>
      </c>
      <c r="H1096" s="2">
        <v>2.0138888888888888E-3</v>
      </c>
      <c r="I1096" s="1">
        <v>0.86580000000000001</v>
      </c>
    </row>
    <row r="1097" spans="1:9" x14ac:dyDescent="0.3">
      <c r="A1097">
        <v>1096</v>
      </c>
      <c r="B1097">
        <v>236</v>
      </c>
      <c r="C1097">
        <v>226</v>
      </c>
      <c r="D1097" s="1">
        <v>0.95760000000000001</v>
      </c>
      <c r="E1097">
        <v>10</v>
      </c>
      <c r="F1097" s="2">
        <v>2.199074074074074E-4</v>
      </c>
      <c r="G1097" s="2">
        <v>2.1296296296296298E-3</v>
      </c>
      <c r="H1097" s="2">
        <v>2.1527777777777778E-3</v>
      </c>
      <c r="I1097" s="1">
        <v>0.75</v>
      </c>
    </row>
    <row r="1098" spans="1:9" x14ac:dyDescent="0.3">
      <c r="A1098">
        <v>1097</v>
      </c>
      <c r="B1098">
        <v>81</v>
      </c>
      <c r="C1098">
        <v>78</v>
      </c>
      <c r="D1098" s="1">
        <v>0.96299999999999997</v>
      </c>
      <c r="E1098">
        <v>3</v>
      </c>
      <c r="F1098" s="2">
        <v>1.273148148148148E-4</v>
      </c>
      <c r="G1098" s="2">
        <v>2.0486111111111113E-3</v>
      </c>
      <c r="H1098" s="2">
        <v>6.7129629629629625E-4</v>
      </c>
      <c r="I1098" s="1">
        <v>0.8125</v>
      </c>
    </row>
    <row r="1099" spans="1:9" x14ac:dyDescent="0.3">
      <c r="A1099">
        <v>1098</v>
      </c>
      <c r="B1099">
        <v>281</v>
      </c>
      <c r="C1099">
        <v>273</v>
      </c>
      <c r="D1099" s="1">
        <v>0.97150000000000003</v>
      </c>
      <c r="E1099">
        <v>8</v>
      </c>
      <c r="F1099" s="2">
        <v>1.273148148148148E-4</v>
      </c>
      <c r="G1099" s="2">
        <v>2.1064814814814813E-3</v>
      </c>
      <c r="H1099" s="2">
        <v>2.3263888888888887E-3</v>
      </c>
      <c r="I1099" s="1">
        <v>0.88490000000000002</v>
      </c>
    </row>
    <row r="1100" spans="1:9" x14ac:dyDescent="0.3">
      <c r="A1100">
        <v>1099</v>
      </c>
      <c r="B1100">
        <v>399</v>
      </c>
      <c r="C1100">
        <v>387</v>
      </c>
      <c r="D1100" s="1">
        <v>0.96989999999999998</v>
      </c>
      <c r="E1100">
        <v>12</v>
      </c>
      <c r="F1100" s="2">
        <v>1.273148148148148E-4</v>
      </c>
      <c r="G1100" s="2">
        <v>1.9791666666666668E-3</v>
      </c>
      <c r="H1100" s="2">
        <v>1.6782407407407408E-3</v>
      </c>
      <c r="I1100" s="1">
        <v>0.86360000000000003</v>
      </c>
    </row>
    <row r="1101" spans="1:9" x14ac:dyDescent="0.3">
      <c r="A1101">
        <v>1100</v>
      </c>
      <c r="B1101">
        <v>291</v>
      </c>
      <c r="C1101">
        <v>287</v>
      </c>
      <c r="D1101" s="1">
        <v>0.98629999999999995</v>
      </c>
      <c r="E1101">
        <v>4</v>
      </c>
      <c r="F1101" s="2">
        <v>1.273148148148148E-4</v>
      </c>
      <c r="G1101" s="2">
        <v>1.8055555555555555E-3</v>
      </c>
      <c r="H1101" s="2">
        <v>2.5231481481481481E-3</v>
      </c>
      <c r="I1101" s="1">
        <v>0.87970000000000004</v>
      </c>
    </row>
    <row r="1102" spans="1:9" x14ac:dyDescent="0.3">
      <c r="A1102">
        <v>1101</v>
      </c>
      <c r="B1102">
        <v>290</v>
      </c>
      <c r="C1102">
        <v>281</v>
      </c>
      <c r="D1102" s="1">
        <v>0.96899999999999997</v>
      </c>
      <c r="E1102">
        <v>9</v>
      </c>
      <c r="F1102" s="2">
        <v>8.1018518518518516E-5</v>
      </c>
      <c r="G1102" s="2">
        <v>2.1180555555555558E-3</v>
      </c>
      <c r="H1102" s="2">
        <v>6.9444444444444447E-4</v>
      </c>
      <c r="I1102" s="1">
        <v>0.91639999999999999</v>
      </c>
    </row>
    <row r="1103" spans="1:9" x14ac:dyDescent="0.3">
      <c r="A1103">
        <v>1102</v>
      </c>
      <c r="B1103">
        <v>230</v>
      </c>
      <c r="C1103">
        <v>227</v>
      </c>
      <c r="D1103" s="1">
        <v>0.98699999999999999</v>
      </c>
      <c r="E1103">
        <v>3</v>
      </c>
      <c r="F1103" s="2">
        <v>9.2592592592592588E-5</v>
      </c>
      <c r="G1103" s="2">
        <v>2.1527777777777778E-3</v>
      </c>
      <c r="H1103" s="2">
        <v>8.3333333333333339E-4</v>
      </c>
      <c r="I1103" s="1">
        <v>0.91669999999999996</v>
      </c>
    </row>
    <row r="1104" spans="1:9" x14ac:dyDescent="0.3">
      <c r="A1104">
        <v>1103</v>
      </c>
      <c r="B1104">
        <v>236</v>
      </c>
      <c r="C1104">
        <v>216</v>
      </c>
      <c r="D1104" s="1">
        <v>0.9153</v>
      </c>
      <c r="E1104">
        <v>20</v>
      </c>
      <c r="F1104" s="2">
        <v>1.9675925925925926E-4</v>
      </c>
      <c r="G1104" s="2">
        <v>2.1875000000000002E-3</v>
      </c>
      <c r="H1104" s="2">
        <v>2.0138888888888888E-3</v>
      </c>
      <c r="I1104" s="1">
        <v>0.70689999999999997</v>
      </c>
    </row>
    <row r="1105" spans="1:9" x14ac:dyDescent="0.3">
      <c r="A1105">
        <v>1104</v>
      </c>
      <c r="B1105">
        <v>45</v>
      </c>
      <c r="C1105">
        <v>44</v>
      </c>
      <c r="D1105" s="1">
        <v>0.9778</v>
      </c>
      <c r="E1105">
        <v>1</v>
      </c>
      <c r="F1105" s="2">
        <v>5.7870370370370373E-5</v>
      </c>
      <c r="G1105" s="2">
        <v>1.9097222222222222E-3</v>
      </c>
      <c r="H1105" s="2">
        <v>1.3425925925925925E-3</v>
      </c>
      <c r="I1105" s="1">
        <v>0.93330000000000002</v>
      </c>
    </row>
    <row r="1106" spans="1:9" x14ac:dyDescent="0.3">
      <c r="A1106">
        <v>1105</v>
      </c>
      <c r="B1106">
        <v>249</v>
      </c>
      <c r="C1106">
        <v>238</v>
      </c>
      <c r="D1106" s="1">
        <v>0.95579999999999998</v>
      </c>
      <c r="E1106">
        <v>11</v>
      </c>
      <c r="F1106" s="2">
        <v>1.273148148148148E-4</v>
      </c>
      <c r="G1106" s="2">
        <v>1.8749999999999999E-3</v>
      </c>
      <c r="H1106" s="2">
        <v>1.3657407407407407E-3</v>
      </c>
      <c r="I1106" s="1">
        <v>0.86529999999999996</v>
      </c>
    </row>
    <row r="1107" spans="1:9" x14ac:dyDescent="0.3">
      <c r="A1107">
        <v>1106</v>
      </c>
      <c r="B1107">
        <v>350</v>
      </c>
      <c r="C1107">
        <v>328</v>
      </c>
      <c r="D1107" s="1">
        <v>0.93710000000000004</v>
      </c>
      <c r="E1107">
        <v>22</v>
      </c>
      <c r="F1107" s="2">
        <v>3.2407407407407406E-4</v>
      </c>
      <c r="G1107" s="2">
        <v>1.7476851851851852E-3</v>
      </c>
      <c r="H1107" s="2">
        <v>1.712962962962963E-3</v>
      </c>
      <c r="I1107" s="1">
        <v>0.58260000000000001</v>
      </c>
    </row>
    <row r="1108" spans="1:9" x14ac:dyDescent="0.3">
      <c r="A1108">
        <v>1107</v>
      </c>
      <c r="B1108">
        <v>361</v>
      </c>
      <c r="C1108">
        <v>306</v>
      </c>
      <c r="D1108" s="1">
        <v>0.84760000000000002</v>
      </c>
      <c r="E1108">
        <v>55</v>
      </c>
      <c r="F1108" s="2">
        <v>3.1250000000000001E-4</v>
      </c>
      <c r="G1108" s="2">
        <v>1.6898148148148148E-3</v>
      </c>
      <c r="H1108" s="2">
        <v>4.6412037037037038E-3</v>
      </c>
      <c r="I1108" s="1">
        <v>0.60170000000000001</v>
      </c>
    </row>
    <row r="1109" spans="1:9" x14ac:dyDescent="0.3">
      <c r="A1109">
        <v>1108</v>
      </c>
      <c r="B1109">
        <v>262</v>
      </c>
      <c r="C1109">
        <v>256</v>
      </c>
      <c r="D1109" s="1">
        <v>0.97709999999999997</v>
      </c>
      <c r="E1109">
        <v>6</v>
      </c>
      <c r="F1109" s="2">
        <v>1.5046296296296297E-4</v>
      </c>
      <c r="G1109" s="2">
        <v>1.9675925925925924E-3</v>
      </c>
      <c r="H1109" s="2">
        <v>2.0138888888888888E-3</v>
      </c>
      <c r="I1109" s="1">
        <v>0.86150000000000004</v>
      </c>
    </row>
    <row r="1110" spans="1:9" x14ac:dyDescent="0.3">
      <c r="A1110">
        <v>1109</v>
      </c>
      <c r="B1110">
        <v>302</v>
      </c>
      <c r="C1110">
        <v>288</v>
      </c>
      <c r="D1110" s="1">
        <v>0.9536</v>
      </c>
      <c r="E1110">
        <v>14</v>
      </c>
      <c r="F1110" s="2">
        <v>2.4305555555555555E-4</v>
      </c>
      <c r="G1110" s="2">
        <v>2.0370370370370369E-3</v>
      </c>
      <c r="H1110" s="2">
        <v>2.0717592592592593E-3</v>
      </c>
      <c r="I1110" s="1">
        <v>0.71099999999999997</v>
      </c>
    </row>
    <row r="1111" spans="1:9" x14ac:dyDescent="0.3">
      <c r="A1111">
        <v>1110</v>
      </c>
      <c r="B1111">
        <v>299</v>
      </c>
      <c r="C1111">
        <v>268</v>
      </c>
      <c r="D1111" s="1">
        <v>0.89629999999999999</v>
      </c>
      <c r="E1111">
        <v>31</v>
      </c>
      <c r="F1111" s="2">
        <v>3.2407407407407406E-4</v>
      </c>
      <c r="G1111" s="2">
        <v>1.9560185185185184E-3</v>
      </c>
      <c r="H1111" s="2">
        <v>2.0601851851851853E-3</v>
      </c>
      <c r="I1111" s="1">
        <v>0.55410000000000004</v>
      </c>
    </row>
    <row r="1112" spans="1:9" x14ac:dyDescent="0.3">
      <c r="A1112">
        <v>1111</v>
      </c>
      <c r="B1112">
        <v>50</v>
      </c>
      <c r="C1112">
        <v>49</v>
      </c>
      <c r="D1112" s="1">
        <v>0.98</v>
      </c>
      <c r="E1112">
        <v>1</v>
      </c>
      <c r="F1112" s="2">
        <v>2.7777777777777778E-4</v>
      </c>
      <c r="G1112" s="2">
        <v>2.0254629629629629E-3</v>
      </c>
      <c r="H1112" s="2">
        <v>1.4814814814814814E-3</v>
      </c>
      <c r="I1112" s="1">
        <v>0.76</v>
      </c>
    </row>
    <row r="1113" spans="1:9" x14ac:dyDescent="0.3">
      <c r="A1113">
        <v>1112</v>
      </c>
      <c r="B1113">
        <v>285</v>
      </c>
      <c r="C1113">
        <v>273</v>
      </c>
      <c r="D1113" s="1">
        <v>0.95789999999999997</v>
      </c>
      <c r="E1113">
        <v>12</v>
      </c>
      <c r="F1113" s="2">
        <v>2.4305555555555555E-4</v>
      </c>
      <c r="G1113" s="2">
        <v>1.9560185185185184E-3</v>
      </c>
      <c r="H1113" s="2">
        <v>2.4305555555555556E-3</v>
      </c>
      <c r="I1113" s="1">
        <v>0.76160000000000005</v>
      </c>
    </row>
    <row r="1114" spans="1:9" x14ac:dyDescent="0.3">
      <c r="A1114">
        <v>1113</v>
      </c>
      <c r="B1114">
        <v>77</v>
      </c>
      <c r="C1114">
        <v>75</v>
      </c>
      <c r="D1114" s="1">
        <v>0.97399999999999998</v>
      </c>
      <c r="E1114">
        <v>2</v>
      </c>
      <c r="F1114" s="2">
        <v>1.0416666666666667E-4</v>
      </c>
      <c r="G1114" s="2">
        <v>1.8865740740740742E-3</v>
      </c>
      <c r="H1114" s="2">
        <v>1.5046296296296296E-3</v>
      </c>
      <c r="I1114" s="1">
        <v>0.92110000000000003</v>
      </c>
    </row>
    <row r="1115" spans="1:9" x14ac:dyDescent="0.3">
      <c r="A1115">
        <v>1114</v>
      </c>
      <c r="B1115">
        <v>332</v>
      </c>
      <c r="C1115">
        <v>321</v>
      </c>
      <c r="D1115" s="1">
        <v>0.96689999999999998</v>
      </c>
      <c r="E1115">
        <v>11</v>
      </c>
      <c r="F1115" s="2">
        <v>1.9675925925925926E-4</v>
      </c>
      <c r="G1115" s="2">
        <v>2.0601851851851853E-3</v>
      </c>
      <c r="H1115" s="2">
        <v>2.476851851851852E-3</v>
      </c>
      <c r="I1115" s="1">
        <v>0.80659999999999998</v>
      </c>
    </row>
    <row r="1116" spans="1:9" x14ac:dyDescent="0.3">
      <c r="A1116">
        <v>1115</v>
      </c>
      <c r="B1116">
        <v>282</v>
      </c>
      <c r="C1116">
        <v>266</v>
      </c>
      <c r="D1116" s="1">
        <v>0.94330000000000003</v>
      </c>
      <c r="E1116">
        <v>16</v>
      </c>
      <c r="F1116" s="2">
        <v>2.5462962962962961E-4</v>
      </c>
      <c r="G1116" s="2">
        <v>2.1990740740740742E-3</v>
      </c>
      <c r="H1116" s="2">
        <v>5.6944444444444447E-3</v>
      </c>
      <c r="I1116" s="1">
        <v>0.7429</v>
      </c>
    </row>
    <row r="1117" spans="1:9" x14ac:dyDescent="0.3">
      <c r="A1117">
        <v>1116</v>
      </c>
      <c r="B1117">
        <v>256</v>
      </c>
      <c r="C1117">
        <v>248</v>
      </c>
      <c r="D1117" s="1">
        <v>0.96879999999999999</v>
      </c>
      <c r="E1117">
        <v>8</v>
      </c>
      <c r="F1117" s="2">
        <v>1.6203703703703703E-4</v>
      </c>
      <c r="G1117" s="2">
        <v>2.0833333333333333E-3</v>
      </c>
      <c r="H1117" s="2">
        <v>2.685185185185185E-3</v>
      </c>
      <c r="I1117" s="1">
        <v>0.82350000000000001</v>
      </c>
    </row>
    <row r="1118" spans="1:9" x14ac:dyDescent="0.3">
      <c r="A1118">
        <v>1117</v>
      </c>
      <c r="B1118">
        <v>177</v>
      </c>
      <c r="C1118">
        <v>176</v>
      </c>
      <c r="D1118" s="1">
        <v>0.99439999999999995</v>
      </c>
      <c r="E1118">
        <v>1</v>
      </c>
      <c r="F1118" s="2">
        <v>1.3888888888888889E-4</v>
      </c>
      <c r="G1118" s="2">
        <v>1.8171296296296297E-3</v>
      </c>
      <c r="H1118" s="2">
        <v>1.2152777777777778E-3</v>
      </c>
      <c r="I1118" s="1">
        <v>0.83520000000000005</v>
      </c>
    </row>
    <row r="1119" spans="1:9" x14ac:dyDescent="0.3">
      <c r="A1119">
        <v>1118</v>
      </c>
      <c r="B1119">
        <v>27</v>
      </c>
      <c r="C1119">
        <v>24</v>
      </c>
      <c r="D1119" s="1">
        <v>0.88890000000000002</v>
      </c>
      <c r="E1119">
        <v>3</v>
      </c>
      <c r="F1119" s="2">
        <v>1.5046296296296297E-4</v>
      </c>
      <c r="G1119" s="2">
        <v>1.5625000000000001E-3</v>
      </c>
      <c r="H1119" s="2">
        <v>7.8703703703703705E-4</v>
      </c>
      <c r="I1119" s="1">
        <v>0.74070000000000003</v>
      </c>
    </row>
    <row r="1120" spans="1:9" x14ac:dyDescent="0.3">
      <c r="A1120">
        <v>1119</v>
      </c>
      <c r="B1120">
        <v>307</v>
      </c>
      <c r="C1120">
        <v>305</v>
      </c>
      <c r="D1120" s="1">
        <v>0.99350000000000005</v>
      </c>
      <c r="E1120">
        <v>2</v>
      </c>
      <c r="F1120" s="2">
        <v>1.0416666666666667E-4</v>
      </c>
      <c r="G1120" s="2">
        <v>2.0949074074074073E-3</v>
      </c>
      <c r="H1120" s="2">
        <v>1.1805555555555556E-3</v>
      </c>
      <c r="I1120" s="1">
        <v>0.91800000000000004</v>
      </c>
    </row>
    <row r="1121" spans="1:9" x14ac:dyDescent="0.3">
      <c r="A1121">
        <v>1120</v>
      </c>
      <c r="B1121">
        <v>587</v>
      </c>
      <c r="C1121">
        <v>577</v>
      </c>
      <c r="D1121" s="1">
        <v>0.98299999999999998</v>
      </c>
      <c r="E1121">
        <v>10</v>
      </c>
      <c r="F1121" s="2">
        <v>1.1574074074074075E-4</v>
      </c>
      <c r="G1121" s="2">
        <v>1.4814814814814814E-3</v>
      </c>
      <c r="H1121" s="2">
        <v>1.3425925925925925E-3</v>
      </c>
      <c r="I1121" s="1">
        <v>0.9194</v>
      </c>
    </row>
    <row r="1122" spans="1:9" x14ac:dyDescent="0.3">
      <c r="A1122">
        <v>1121</v>
      </c>
      <c r="B1122">
        <v>270</v>
      </c>
      <c r="C1122">
        <v>265</v>
      </c>
      <c r="D1122" s="1">
        <v>0.98150000000000004</v>
      </c>
      <c r="E1122">
        <v>5</v>
      </c>
      <c r="F1122" s="2">
        <v>8.1018518518518516E-5</v>
      </c>
      <c r="G1122" s="2">
        <v>1.8981481481481482E-3</v>
      </c>
      <c r="H1122" s="2">
        <v>1.3425925925925925E-3</v>
      </c>
      <c r="I1122" s="1">
        <v>0.91790000000000005</v>
      </c>
    </row>
    <row r="1123" spans="1:9" x14ac:dyDescent="0.3">
      <c r="A1123">
        <v>1122</v>
      </c>
      <c r="B1123">
        <v>307</v>
      </c>
      <c r="C1123">
        <v>297</v>
      </c>
      <c r="D1123" s="1">
        <v>0.96740000000000004</v>
      </c>
      <c r="E1123">
        <v>10</v>
      </c>
      <c r="F1123" s="2">
        <v>1.6203703703703703E-4</v>
      </c>
      <c r="G1123" s="2">
        <v>2.0717592592592593E-3</v>
      </c>
      <c r="H1123" s="2">
        <v>2.0254629629629629E-3</v>
      </c>
      <c r="I1123" s="1">
        <v>0.82240000000000002</v>
      </c>
    </row>
    <row r="1124" spans="1:9" x14ac:dyDescent="0.3">
      <c r="A1124">
        <v>1123</v>
      </c>
      <c r="B1124">
        <v>242</v>
      </c>
      <c r="C1124">
        <v>238</v>
      </c>
      <c r="D1124" s="1">
        <v>0.98350000000000004</v>
      </c>
      <c r="E1124">
        <v>4</v>
      </c>
      <c r="F1124" s="2">
        <v>6.9444444444444444E-5</v>
      </c>
      <c r="G1124" s="2">
        <v>1.8749999999999999E-3</v>
      </c>
      <c r="H1124" s="2">
        <v>1.3310185185185185E-3</v>
      </c>
      <c r="I1124" s="1">
        <v>0.94630000000000003</v>
      </c>
    </row>
    <row r="1125" spans="1:9" x14ac:dyDescent="0.3">
      <c r="A1125">
        <v>1124</v>
      </c>
      <c r="B1125">
        <v>194</v>
      </c>
      <c r="C1125">
        <v>182</v>
      </c>
      <c r="D1125" s="1">
        <v>0.93810000000000004</v>
      </c>
      <c r="E1125">
        <v>12</v>
      </c>
      <c r="F1125" s="2">
        <v>1.3888888888888889E-4</v>
      </c>
      <c r="G1125" s="2">
        <v>2.0486111111111113E-3</v>
      </c>
      <c r="H1125" s="2">
        <v>1.1111111111111111E-3</v>
      </c>
      <c r="I1125" s="1">
        <v>0.8115</v>
      </c>
    </row>
    <row r="1126" spans="1:9" x14ac:dyDescent="0.3">
      <c r="A1126">
        <v>1125</v>
      </c>
      <c r="B1126">
        <v>21</v>
      </c>
      <c r="C1126">
        <v>21</v>
      </c>
      <c r="D1126" s="1">
        <v>1</v>
      </c>
      <c r="E1126">
        <v>0</v>
      </c>
      <c r="F1126" s="2">
        <v>1.3888888888888889E-4</v>
      </c>
      <c r="G1126" s="2">
        <v>2.1643518518518518E-3</v>
      </c>
      <c r="H1126" s="2">
        <v>1.0879629629629629E-3</v>
      </c>
      <c r="I1126" s="1">
        <v>0.90480000000000005</v>
      </c>
    </row>
    <row r="1127" spans="1:9" x14ac:dyDescent="0.3">
      <c r="A1127">
        <v>1126</v>
      </c>
      <c r="B1127">
        <v>291</v>
      </c>
      <c r="C1127">
        <v>288</v>
      </c>
      <c r="D1127" s="1">
        <v>0.98970000000000002</v>
      </c>
      <c r="E1127">
        <v>3</v>
      </c>
      <c r="F1127" s="2">
        <v>8.1018518518518516E-5</v>
      </c>
      <c r="G1127" s="2">
        <v>1.9212962962962964E-3</v>
      </c>
      <c r="H1127" s="2">
        <v>9.7222222222222219E-4</v>
      </c>
      <c r="I1127" s="1">
        <v>0.93789999999999996</v>
      </c>
    </row>
    <row r="1128" spans="1:9" x14ac:dyDescent="0.3">
      <c r="A1128">
        <v>1127</v>
      </c>
      <c r="B1128">
        <v>516</v>
      </c>
      <c r="C1128">
        <v>479</v>
      </c>
      <c r="D1128" s="1">
        <v>0.92830000000000001</v>
      </c>
      <c r="E1128">
        <v>37</v>
      </c>
      <c r="F1128" s="2">
        <v>3.0092592592592595E-4</v>
      </c>
      <c r="G1128" s="2">
        <v>1.8518518518518519E-3</v>
      </c>
      <c r="H1128" s="2">
        <v>2.4421296296296296E-3</v>
      </c>
      <c r="I1128" s="1">
        <v>0.63800000000000001</v>
      </c>
    </row>
    <row r="1129" spans="1:9" x14ac:dyDescent="0.3">
      <c r="A1129">
        <v>1128</v>
      </c>
      <c r="B1129">
        <v>452</v>
      </c>
      <c r="C1129">
        <v>447</v>
      </c>
      <c r="D1129" s="1">
        <v>0.9889</v>
      </c>
      <c r="E1129">
        <v>5</v>
      </c>
      <c r="F1129" s="2">
        <v>6.9444444444444444E-5</v>
      </c>
      <c r="G1129" s="2">
        <v>1.4351851851851852E-3</v>
      </c>
      <c r="H1129" s="2">
        <v>2.685185185185185E-3</v>
      </c>
      <c r="I1129" s="1">
        <v>0.94440000000000002</v>
      </c>
    </row>
    <row r="1130" spans="1:9" x14ac:dyDescent="0.3">
      <c r="A1130">
        <v>1129</v>
      </c>
      <c r="B1130">
        <v>375</v>
      </c>
      <c r="C1130">
        <v>375</v>
      </c>
      <c r="D1130" s="1">
        <v>1</v>
      </c>
      <c r="E1130">
        <v>0</v>
      </c>
      <c r="F1130" s="2">
        <v>5.7870370370370373E-5</v>
      </c>
      <c r="G1130" s="2">
        <v>1.5393518518518519E-3</v>
      </c>
      <c r="H1130" s="2">
        <v>7.5231481481481482E-4</v>
      </c>
      <c r="I1130" s="1">
        <v>0.96530000000000005</v>
      </c>
    </row>
    <row r="1131" spans="1:9" x14ac:dyDescent="0.3">
      <c r="A1131">
        <v>1130</v>
      </c>
      <c r="B1131">
        <v>306</v>
      </c>
      <c r="C1131">
        <v>287</v>
      </c>
      <c r="D1131" s="1">
        <v>0.93789999999999996</v>
      </c>
      <c r="E1131">
        <v>19</v>
      </c>
      <c r="F1131" s="2">
        <v>2.199074074074074E-4</v>
      </c>
      <c r="G1131" s="2">
        <v>1.5625000000000001E-3</v>
      </c>
      <c r="H1131" s="2">
        <v>3.3564814814814816E-3</v>
      </c>
      <c r="I1131" s="1">
        <v>0.76319999999999999</v>
      </c>
    </row>
    <row r="1132" spans="1:9" x14ac:dyDescent="0.3">
      <c r="A1132">
        <v>1131</v>
      </c>
      <c r="B1132">
        <v>241</v>
      </c>
      <c r="C1132">
        <v>235</v>
      </c>
      <c r="D1132" s="1">
        <v>0.97509999999999997</v>
      </c>
      <c r="E1132">
        <v>6</v>
      </c>
      <c r="F1132" s="2">
        <v>1.7361111111111112E-4</v>
      </c>
      <c r="G1132" s="2">
        <v>1.8518518518518519E-3</v>
      </c>
      <c r="H1132" s="2">
        <v>1.3541666666666667E-3</v>
      </c>
      <c r="I1132" s="1">
        <v>0.80330000000000001</v>
      </c>
    </row>
    <row r="1133" spans="1:9" x14ac:dyDescent="0.3">
      <c r="A1133">
        <v>1132</v>
      </c>
      <c r="B1133">
        <v>34</v>
      </c>
      <c r="C1133">
        <v>34</v>
      </c>
      <c r="D1133" s="1">
        <v>1</v>
      </c>
      <c r="E1133">
        <v>0</v>
      </c>
      <c r="F1133" s="2">
        <v>2.0833333333333335E-4</v>
      </c>
      <c r="G1133" s="2">
        <v>2.0949074074074073E-3</v>
      </c>
      <c r="H1133" s="2">
        <v>1.4814814814814814E-3</v>
      </c>
      <c r="I1133" s="1">
        <v>0.85289999999999999</v>
      </c>
    </row>
    <row r="1134" spans="1:9" x14ac:dyDescent="0.3">
      <c r="A1134">
        <v>1133</v>
      </c>
      <c r="B1134">
        <v>248</v>
      </c>
      <c r="C1134">
        <v>238</v>
      </c>
      <c r="D1134" s="1">
        <v>0.9597</v>
      </c>
      <c r="E1134">
        <v>10</v>
      </c>
      <c r="F1134" s="2">
        <v>2.199074074074074E-4</v>
      </c>
      <c r="G1134" s="2">
        <v>1.8865740740740742E-3</v>
      </c>
      <c r="H1134" s="2">
        <v>3.1597222222222222E-3</v>
      </c>
      <c r="I1134" s="1">
        <v>0.7409</v>
      </c>
    </row>
    <row r="1135" spans="1:9" x14ac:dyDescent="0.3">
      <c r="A1135">
        <v>1134</v>
      </c>
      <c r="B1135">
        <v>323</v>
      </c>
      <c r="C1135">
        <v>307</v>
      </c>
      <c r="D1135" s="1">
        <v>0.95050000000000001</v>
      </c>
      <c r="E1135">
        <v>16</v>
      </c>
      <c r="F1135" s="2">
        <v>1.5046296296296297E-4</v>
      </c>
      <c r="G1135" s="2">
        <v>1.8749999999999999E-3</v>
      </c>
      <c r="H1135" s="2">
        <v>2.4074074074074076E-3</v>
      </c>
      <c r="I1135" s="1">
        <v>0.82699999999999996</v>
      </c>
    </row>
    <row r="1136" spans="1:9" x14ac:dyDescent="0.3">
      <c r="A1136">
        <v>1135</v>
      </c>
      <c r="B1136">
        <v>260</v>
      </c>
      <c r="C1136">
        <v>257</v>
      </c>
      <c r="D1136" s="1">
        <v>0.98850000000000005</v>
      </c>
      <c r="E1136">
        <v>3</v>
      </c>
      <c r="F1136" s="2">
        <v>1.1574074074074075E-4</v>
      </c>
      <c r="G1136" s="2">
        <v>1.724537037037037E-3</v>
      </c>
      <c r="H1136" s="2">
        <v>1.1805555555555556E-3</v>
      </c>
      <c r="I1136" s="1">
        <v>0.91120000000000001</v>
      </c>
    </row>
    <row r="1137" spans="1:9" x14ac:dyDescent="0.3">
      <c r="A1137">
        <v>1136</v>
      </c>
      <c r="B1137">
        <v>316</v>
      </c>
      <c r="C1137">
        <v>311</v>
      </c>
      <c r="D1137" s="1">
        <v>0.98419999999999996</v>
      </c>
      <c r="E1137">
        <v>5</v>
      </c>
      <c r="F1137" s="2">
        <v>1.1574074074074075E-4</v>
      </c>
      <c r="G1137" s="2">
        <v>1.8634259259259259E-3</v>
      </c>
      <c r="H1137" s="2">
        <v>2.0138888888888888E-3</v>
      </c>
      <c r="I1137" s="1">
        <v>0.87539999999999996</v>
      </c>
    </row>
    <row r="1138" spans="1:9" x14ac:dyDescent="0.3">
      <c r="A1138">
        <v>1137</v>
      </c>
      <c r="B1138">
        <v>60</v>
      </c>
      <c r="C1138">
        <v>59</v>
      </c>
      <c r="D1138" s="1">
        <v>0.98329999999999995</v>
      </c>
      <c r="E1138">
        <v>1</v>
      </c>
      <c r="F1138" s="2">
        <v>3.4722222222222222E-5</v>
      </c>
      <c r="G1138" s="2">
        <v>1.8634259259259259E-3</v>
      </c>
      <c r="H1138" s="2">
        <v>1.3310185185185185E-3</v>
      </c>
      <c r="I1138" s="1">
        <v>0.98329999999999995</v>
      </c>
    </row>
    <row r="1139" spans="1:9" x14ac:dyDescent="0.3">
      <c r="A1139">
        <v>1138</v>
      </c>
      <c r="B1139">
        <v>267</v>
      </c>
      <c r="C1139">
        <v>251</v>
      </c>
      <c r="D1139" s="1">
        <v>0.94010000000000005</v>
      </c>
      <c r="E1139">
        <v>16</v>
      </c>
      <c r="F1139" s="2">
        <v>2.199074074074074E-4</v>
      </c>
      <c r="G1139" s="2">
        <v>1.7013888888888888E-3</v>
      </c>
      <c r="H1139" s="2">
        <v>5.37037037037037E-3</v>
      </c>
      <c r="I1139" s="1">
        <v>0.75560000000000005</v>
      </c>
    </row>
    <row r="1140" spans="1:9" x14ac:dyDescent="0.3">
      <c r="A1140">
        <v>1139</v>
      </c>
      <c r="B1140">
        <v>30</v>
      </c>
      <c r="C1140">
        <v>29</v>
      </c>
      <c r="D1140" s="1">
        <v>0.9667</v>
      </c>
      <c r="E1140">
        <v>1</v>
      </c>
      <c r="F1140" s="2">
        <v>9.2592592592592588E-5</v>
      </c>
      <c r="G1140" s="2">
        <v>1.3888888888888889E-3</v>
      </c>
      <c r="H1140" s="2">
        <v>5.3240740740740744E-4</v>
      </c>
      <c r="I1140" s="1">
        <v>0.93100000000000005</v>
      </c>
    </row>
    <row r="1141" spans="1:9" x14ac:dyDescent="0.3">
      <c r="A1141">
        <v>1140</v>
      </c>
      <c r="B1141">
        <v>247</v>
      </c>
      <c r="C1141">
        <v>238</v>
      </c>
      <c r="D1141" s="1">
        <v>0.96360000000000001</v>
      </c>
      <c r="E1141">
        <v>9</v>
      </c>
      <c r="F1141" s="2">
        <v>1.5046296296296297E-4</v>
      </c>
      <c r="G1141" s="2">
        <v>1.7939814814814815E-3</v>
      </c>
      <c r="H1141" s="2">
        <v>2.0138888888888888E-3</v>
      </c>
      <c r="I1141" s="1">
        <v>0.83330000000000004</v>
      </c>
    </row>
    <row r="1142" spans="1:9" x14ac:dyDescent="0.3">
      <c r="A1142">
        <v>1141</v>
      </c>
      <c r="B1142">
        <v>376</v>
      </c>
      <c r="C1142">
        <v>365</v>
      </c>
      <c r="D1142" s="1">
        <v>0.97070000000000001</v>
      </c>
      <c r="E1142">
        <v>11</v>
      </c>
      <c r="F1142" s="2">
        <v>1.7361111111111112E-4</v>
      </c>
      <c r="G1142" s="2">
        <v>2.0833333333333333E-3</v>
      </c>
      <c r="H1142" s="2">
        <v>2.4305555555555556E-3</v>
      </c>
      <c r="I1142" s="1">
        <v>0.81769999999999998</v>
      </c>
    </row>
    <row r="1143" spans="1:9" x14ac:dyDescent="0.3">
      <c r="A1143">
        <v>1142</v>
      </c>
      <c r="B1143">
        <v>316</v>
      </c>
      <c r="C1143">
        <v>306</v>
      </c>
      <c r="D1143" s="1">
        <v>0.96840000000000004</v>
      </c>
      <c r="E1143">
        <v>10</v>
      </c>
      <c r="F1143" s="2">
        <v>1.5046296296296297E-4</v>
      </c>
      <c r="G1143" s="2">
        <v>2.0254629629629629E-3</v>
      </c>
      <c r="H1143" s="2">
        <v>1.3657407407407407E-3</v>
      </c>
      <c r="I1143" s="1">
        <v>0.82799999999999996</v>
      </c>
    </row>
    <row r="1144" spans="1:9" x14ac:dyDescent="0.3">
      <c r="A1144">
        <v>1143</v>
      </c>
      <c r="B1144">
        <v>310</v>
      </c>
      <c r="C1144">
        <v>304</v>
      </c>
      <c r="D1144" s="1">
        <v>0.98060000000000003</v>
      </c>
      <c r="E1144">
        <v>6</v>
      </c>
      <c r="F1144" s="2">
        <v>8.1018518518518516E-5</v>
      </c>
      <c r="G1144" s="2">
        <v>1.9791666666666668E-3</v>
      </c>
      <c r="H1144" s="2">
        <v>1.1574074074074073E-3</v>
      </c>
      <c r="I1144" s="1">
        <v>0.92159999999999997</v>
      </c>
    </row>
    <row r="1145" spans="1:9" x14ac:dyDescent="0.3">
      <c r="A1145">
        <v>1144</v>
      </c>
      <c r="B1145">
        <v>340</v>
      </c>
      <c r="C1145">
        <v>327</v>
      </c>
      <c r="D1145" s="1">
        <v>0.96179999999999999</v>
      </c>
      <c r="E1145">
        <v>13</v>
      </c>
      <c r="F1145" s="2">
        <v>2.6620370370370372E-4</v>
      </c>
      <c r="G1145" s="2">
        <v>2.0254629629629629E-3</v>
      </c>
      <c r="H1145" s="2">
        <v>1.7824074074074075E-3</v>
      </c>
      <c r="I1145" s="1">
        <v>0.71340000000000003</v>
      </c>
    </row>
    <row r="1146" spans="1:9" x14ac:dyDescent="0.3">
      <c r="A1146">
        <v>1145</v>
      </c>
      <c r="B1146">
        <v>306</v>
      </c>
      <c r="C1146">
        <v>289</v>
      </c>
      <c r="D1146" s="1">
        <v>0.94440000000000002</v>
      </c>
      <c r="E1146">
        <v>17</v>
      </c>
      <c r="F1146" s="2">
        <v>2.7777777777777778E-4</v>
      </c>
      <c r="G1146" s="2">
        <v>1.8865740740740742E-3</v>
      </c>
      <c r="H1146" s="2">
        <v>3.5185185185185185E-3</v>
      </c>
      <c r="I1146" s="1">
        <v>0.69740000000000002</v>
      </c>
    </row>
    <row r="1147" spans="1:9" x14ac:dyDescent="0.3">
      <c r="A1147">
        <v>1146</v>
      </c>
      <c r="B1147">
        <v>40</v>
      </c>
      <c r="C1147">
        <v>40</v>
      </c>
      <c r="D1147" s="1">
        <v>1</v>
      </c>
      <c r="E1147">
        <v>0</v>
      </c>
      <c r="F1147" s="2">
        <v>5.7870370370370373E-5</v>
      </c>
      <c r="G1147" s="2">
        <v>1.9212962962962964E-3</v>
      </c>
      <c r="H1147" s="2">
        <v>5.9027777777777778E-4</v>
      </c>
      <c r="I1147" s="1">
        <v>0.97499999999999998</v>
      </c>
    </row>
    <row r="1148" spans="1:9" x14ac:dyDescent="0.3">
      <c r="A1148">
        <v>1147</v>
      </c>
      <c r="B1148">
        <v>378</v>
      </c>
      <c r="C1148">
        <v>370</v>
      </c>
      <c r="D1148" s="1">
        <v>0.9788</v>
      </c>
      <c r="E1148">
        <v>8</v>
      </c>
      <c r="F1148" s="2">
        <v>1.273148148148148E-4</v>
      </c>
      <c r="G1148" s="2">
        <v>1.9907407407407408E-3</v>
      </c>
      <c r="H1148" s="2">
        <v>1.8055555555555555E-3</v>
      </c>
      <c r="I1148" s="1">
        <v>0.86699999999999999</v>
      </c>
    </row>
    <row r="1149" spans="1:9" x14ac:dyDescent="0.3">
      <c r="A1149">
        <v>1148</v>
      </c>
      <c r="B1149">
        <v>424</v>
      </c>
      <c r="C1149">
        <v>416</v>
      </c>
      <c r="D1149" s="1">
        <v>0.98109999999999997</v>
      </c>
      <c r="E1149">
        <v>8</v>
      </c>
      <c r="F1149" s="2">
        <v>1.6203703703703703E-4</v>
      </c>
      <c r="G1149" s="2">
        <v>2.0138888888888888E-3</v>
      </c>
      <c r="H1149" s="2">
        <v>2.5578703703703705E-3</v>
      </c>
      <c r="I1149" s="1">
        <v>0.83889999999999998</v>
      </c>
    </row>
    <row r="1150" spans="1:9" x14ac:dyDescent="0.3">
      <c r="A1150">
        <v>1149</v>
      </c>
      <c r="B1150">
        <v>356</v>
      </c>
      <c r="C1150">
        <v>353</v>
      </c>
      <c r="D1150" s="1">
        <v>0.99160000000000004</v>
      </c>
      <c r="E1150">
        <v>3</v>
      </c>
      <c r="F1150" s="2">
        <v>5.7870370370370373E-5</v>
      </c>
      <c r="G1150" s="2">
        <v>1.9444444444444444E-3</v>
      </c>
      <c r="H1150" s="2">
        <v>7.407407407407407E-4</v>
      </c>
      <c r="I1150" s="1">
        <v>0.97170000000000001</v>
      </c>
    </row>
    <row r="1151" spans="1:9" x14ac:dyDescent="0.3">
      <c r="A1151">
        <v>1150</v>
      </c>
      <c r="B1151">
        <v>320</v>
      </c>
      <c r="C1151">
        <v>308</v>
      </c>
      <c r="D1151" s="1">
        <v>0.96250000000000002</v>
      </c>
      <c r="E1151">
        <v>12</v>
      </c>
      <c r="F1151" s="2">
        <v>1.1574074074074075E-4</v>
      </c>
      <c r="G1151" s="2">
        <v>1.7708333333333332E-3</v>
      </c>
      <c r="H1151" s="2">
        <v>2.3611111111111111E-3</v>
      </c>
      <c r="I1151" s="1">
        <v>0.88990000000000002</v>
      </c>
    </row>
    <row r="1152" spans="1:9" x14ac:dyDescent="0.3">
      <c r="A1152">
        <v>1151</v>
      </c>
      <c r="B1152">
        <v>351</v>
      </c>
      <c r="C1152">
        <v>341</v>
      </c>
      <c r="D1152" s="1">
        <v>0.97150000000000003</v>
      </c>
      <c r="E1152">
        <v>10</v>
      </c>
      <c r="F1152" s="2">
        <v>1.273148148148148E-4</v>
      </c>
      <c r="G1152" s="2">
        <v>1.9675925925925924E-3</v>
      </c>
      <c r="H1152" s="2">
        <v>1.261574074074074E-3</v>
      </c>
      <c r="I1152" s="1">
        <v>0.86250000000000004</v>
      </c>
    </row>
    <row r="1153" spans="1:9" x14ac:dyDescent="0.3">
      <c r="A1153">
        <v>1152</v>
      </c>
      <c r="B1153">
        <v>85</v>
      </c>
      <c r="C1153">
        <v>83</v>
      </c>
      <c r="D1153" s="1">
        <v>0.97650000000000003</v>
      </c>
      <c r="E1153">
        <v>2</v>
      </c>
      <c r="F1153" s="2">
        <v>1.5046296296296297E-4</v>
      </c>
      <c r="G1153" s="2">
        <v>1.9328703703703704E-3</v>
      </c>
      <c r="H1153" s="2">
        <v>2.5925925925925925E-3</v>
      </c>
      <c r="I1153" s="1">
        <v>0.85880000000000001</v>
      </c>
    </row>
    <row r="1154" spans="1:9" x14ac:dyDescent="0.3">
      <c r="A1154">
        <v>1153</v>
      </c>
      <c r="B1154">
        <v>44</v>
      </c>
      <c r="C1154">
        <v>43</v>
      </c>
      <c r="D1154" s="1">
        <v>0.97729999999999995</v>
      </c>
      <c r="E1154">
        <v>1</v>
      </c>
      <c r="F1154" s="2">
        <v>1.0416666666666667E-4</v>
      </c>
      <c r="G1154" s="2">
        <v>1.7708333333333332E-3</v>
      </c>
      <c r="H1154" s="2">
        <v>2.685185185185185E-3</v>
      </c>
      <c r="I1154" s="1">
        <v>0.84089999999999998</v>
      </c>
    </row>
    <row r="1155" spans="1:9" x14ac:dyDescent="0.3">
      <c r="A1155">
        <v>1154</v>
      </c>
      <c r="B1155">
        <v>388</v>
      </c>
      <c r="C1155">
        <v>363</v>
      </c>
      <c r="D1155" s="1">
        <v>0.93559999999999999</v>
      </c>
      <c r="E1155">
        <v>25</v>
      </c>
      <c r="F1155" s="2">
        <v>2.199074074074074E-4</v>
      </c>
      <c r="G1155" s="2">
        <v>2.1527777777777778E-3</v>
      </c>
      <c r="H1155" s="2">
        <v>2.0138888888888888E-3</v>
      </c>
      <c r="I1155" s="1">
        <v>0.752</v>
      </c>
    </row>
    <row r="1156" spans="1:9" x14ac:dyDescent="0.3">
      <c r="A1156">
        <v>1155</v>
      </c>
      <c r="B1156">
        <v>283</v>
      </c>
      <c r="C1156">
        <v>280</v>
      </c>
      <c r="D1156" s="1">
        <v>0.98939999999999995</v>
      </c>
      <c r="E1156">
        <v>3</v>
      </c>
      <c r="F1156" s="2">
        <v>6.9444444444444444E-5</v>
      </c>
      <c r="G1156" s="2">
        <v>2.1412037037037038E-3</v>
      </c>
      <c r="H1156" s="2">
        <v>1.261574074074074E-3</v>
      </c>
      <c r="I1156" s="1">
        <v>0.95730000000000004</v>
      </c>
    </row>
    <row r="1157" spans="1:9" x14ac:dyDescent="0.3">
      <c r="A1157">
        <v>1156</v>
      </c>
      <c r="B1157">
        <v>241</v>
      </c>
      <c r="C1157">
        <v>238</v>
      </c>
      <c r="D1157" s="1">
        <v>0.98760000000000003</v>
      </c>
      <c r="E1157">
        <v>3</v>
      </c>
      <c r="F1157" s="2">
        <v>5.7870370370370373E-5</v>
      </c>
      <c r="G1157" s="2">
        <v>2.0254629629629629E-3</v>
      </c>
      <c r="H1157" s="2">
        <v>2.2685185185185187E-3</v>
      </c>
      <c r="I1157" s="1">
        <v>0.9667</v>
      </c>
    </row>
    <row r="1158" spans="1:9" x14ac:dyDescent="0.3">
      <c r="A1158">
        <v>1157</v>
      </c>
      <c r="B1158">
        <v>280</v>
      </c>
      <c r="C1158">
        <v>273</v>
      </c>
      <c r="D1158" s="1">
        <v>0.97499999999999998</v>
      </c>
      <c r="E1158">
        <v>7</v>
      </c>
      <c r="F1158" s="2">
        <v>1.0416666666666667E-4</v>
      </c>
      <c r="G1158" s="2">
        <v>1.9212962962962964E-3</v>
      </c>
      <c r="H1158" s="2">
        <v>2.5231481481481481E-3</v>
      </c>
      <c r="I1158" s="1">
        <v>0.8821</v>
      </c>
    </row>
    <row r="1159" spans="1:9" x14ac:dyDescent="0.3">
      <c r="A1159">
        <v>1158</v>
      </c>
      <c r="B1159">
        <v>294</v>
      </c>
      <c r="C1159">
        <v>273</v>
      </c>
      <c r="D1159" s="1">
        <v>0.92859999999999998</v>
      </c>
      <c r="E1159">
        <v>21</v>
      </c>
      <c r="F1159" s="2">
        <v>3.0092592592592595E-4</v>
      </c>
      <c r="G1159" s="2">
        <v>2.2685185185185187E-3</v>
      </c>
      <c r="H1159" s="2">
        <v>1.8981481481481482E-3</v>
      </c>
      <c r="I1159" s="1">
        <v>0.61770000000000003</v>
      </c>
    </row>
    <row r="1160" spans="1:9" x14ac:dyDescent="0.3">
      <c r="A1160">
        <v>1159</v>
      </c>
      <c r="B1160">
        <v>290</v>
      </c>
      <c r="C1160">
        <v>246</v>
      </c>
      <c r="D1160" s="1">
        <v>0.84830000000000005</v>
      </c>
      <c r="E1160">
        <v>44</v>
      </c>
      <c r="F1160" s="2">
        <v>3.1250000000000001E-4</v>
      </c>
      <c r="G1160" s="2">
        <v>2.1296296296296298E-3</v>
      </c>
      <c r="H1160" s="2">
        <v>3.2870370370370371E-3</v>
      </c>
      <c r="I1160" s="1">
        <v>0.63859999999999995</v>
      </c>
    </row>
    <row r="1161" spans="1:9" x14ac:dyDescent="0.3">
      <c r="A1161">
        <v>1160</v>
      </c>
      <c r="B1161">
        <v>32</v>
      </c>
      <c r="C1161">
        <v>32</v>
      </c>
      <c r="D1161" s="1">
        <v>1</v>
      </c>
      <c r="E1161">
        <v>0</v>
      </c>
      <c r="F1161" s="2">
        <v>6.9444444444444444E-5</v>
      </c>
      <c r="G1161" s="2">
        <v>1.8865740740740742E-3</v>
      </c>
      <c r="H1161" s="2">
        <v>8.1018518518518516E-4</v>
      </c>
      <c r="I1161" s="1">
        <v>0.96879999999999999</v>
      </c>
    </row>
    <row r="1162" spans="1:9" x14ac:dyDescent="0.3">
      <c r="A1162">
        <v>1161</v>
      </c>
      <c r="B1162">
        <v>270</v>
      </c>
      <c r="C1162">
        <v>263</v>
      </c>
      <c r="D1162" s="1">
        <v>0.97409999999999997</v>
      </c>
      <c r="E1162">
        <v>7</v>
      </c>
      <c r="F1162" s="2">
        <v>1.3888888888888889E-4</v>
      </c>
      <c r="G1162" s="2">
        <v>1.9907407407407408E-3</v>
      </c>
      <c r="H1162" s="2">
        <v>1.3888888888888889E-3</v>
      </c>
      <c r="I1162" s="1">
        <v>0.85450000000000004</v>
      </c>
    </row>
    <row r="1163" spans="1:9" x14ac:dyDescent="0.3">
      <c r="A1163">
        <v>1162</v>
      </c>
      <c r="B1163">
        <v>212</v>
      </c>
      <c r="C1163">
        <v>208</v>
      </c>
      <c r="D1163" s="1">
        <v>0.98109999999999997</v>
      </c>
      <c r="E1163">
        <v>4</v>
      </c>
      <c r="F1163" s="2">
        <v>9.2592592592592588E-5</v>
      </c>
      <c r="G1163" s="2">
        <v>1.8865740740740742E-3</v>
      </c>
      <c r="H1163" s="2">
        <v>1.7824074074074075E-3</v>
      </c>
      <c r="I1163" s="1">
        <v>0.91</v>
      </c>
    </row>
    <row r="1164" spans="1:9" x14ac:dyDescent="0.3">
      <c r="A1164">
        <v>1163</v>
      </c>
      <c r="B1164">
        <v>246</v>
      </c>
      <c r="C1164">
        <v>238</v>
      </c>
      <c r="D1164" s="1">
        <v>0.96750000000000003</v>
      </c>
      <c r="E1164">
        <v>8</v>
      </c>
      <c r="F1164" s="2">
        <v>8.1018518518518516E-5</v>
      </c>
      <c r="G1164" s="2">
        <v>2.0023148148148148E-3</v>
      </c>
      <c r="H1164" s="2">
        <v>2.638888888888889E-3</v>
      </c>
      <c r="I1164" s="1">
        <v>0.91839999999999999</v>
      </c>
    </row>
    <row r="1165" spans="1:9" x14ac:dyDescent="0.3">
      <c r="A1165">
        <v>1164</v>
      </c>
      <c r="B1165">
        <v>194</v>
      </c>
      <c r="C1165">
        <v>190</v>
      </c>
      <c r="D1165" s="1">
        <v>0.97940000000000005</v>
      </c>
      <c r="E1165">
        <v>4</v>
      </c>
      <c r="F1165" s="2">
        <v>9.2592592592592588E-5</v>
      </c>
      <c r="G1165" s="2">
        <v>1.8865740740740742E-3</v>
      </c>
      <c r="H1165" s="2">
        <v>2.476851851851852E-3</v>
      </c>
      <c r="I1165" s="1">
        <v>0.92779999999999996</v>
      </c>
    </row>
    <row r="1166" spans="1:9" x14ac:dyDescent="0.3">
      <c r="A1166">
        <v>1165</v>
      </c>
      <c r="B1166">
        <v>179</v>
      </c>
      <c r="C1166">
        <v>176</v>
      </c>
      <c r="D1166" s="1">
        <v>0.98319999999999996</v>
      </c>
      <c r="E1166">
        <v>3</v>
      </c>
      <c r="F1166" s="2">
        <v>6.9444444444444444E-5</v>
      </c>
      <c r="G1166" s="2">
        <v>1.8981481481481482E-3</v>
      </c>
      <c r="H1166" s="2">
        <v>1.1921296296296296E-3</v>
      </c>
      <c r="I1166" s="1">
        <v>0.96050000000000002</v>
      </c>
    </row>
    <row r="1167" spans="1:9" x14ac:dyDescent="0.3">
      <c r="A1167">
        <v>1166</v>
      </c>
      <c r="B1167">
        <v>67</v>
      </c>
      <c r="C1167">
        <v>65</v>
      </c>
      <c r="D1167" s="1">
        <v>0.97009999999999996</v>
      </c>
      <c r="E1167">
        <v>2</v>
      </c>
      <c r="F1167" s="2">
        <v>1.0416666666666667E-4</v>
      </c>
      <c r="G1167" s="2">
        <v>1.8055555555555555E-3</v>
      </c>
      <c r="H1167" s="2">
        <v>1.3773148148148147E-3</v>
      </c>
      <c r="I1167" s="1">
        <v>0.89549999999999996</v>
      </c>
    </row>
    <row r="1168" spans="1:9" x14ac:dyDescent="0.3">
      <c r="A1168">
        <v>1167</v>
      </c>
      <c r="B1168">
        <v>27</v>
      </c>
      <c r="C1168">
        <v>27</v>
      </c>
      <c r="D1168" s="1">
        <v>1</v>
      </c>
      <c r="E1168">
        <v>0</v>
      </c>
      <c r="F1168" s="2">
        <v>1.0416666666666667E-4</v>
      </c>
      <c r="G1168" s="2">
        <v>1.7013888888888888E-3</v>
      </c>
      <c r="H1168" s="2">
        <v>1.0763888888888889E-3</v>
      </c>
      <c r="I1168" s="1">
        <v>0.88890000000000002</v>
      </c>
    </row>
    <row r="1169" spans="1:9" x14ac:dyDescent="0.3">
      <c r="A1169">
        <v>1168</v>
      </c>
      <c r="B1169">
        <v>190</v>
      </c>
      <c r="C1169">
        <v>183</v>
      </c>
      <c r="D1169" s="1">
        <v>0.96319999999999995</v>
      </c>
      <c r="E1169">
        <v>7</v>
      </c>
      <c r="F1169" s="2">
        <v>1.0416666666666667E-4</v>
      </c>
      <c r="G1169" s="2">
        <v>1.8287037037037037E-3</v>
      </c>
      <c r="H1169" s="2">
        <v>2.0138888888888888E-3</v>
      </c>
      <c r="I1169" s="1">
        <v>0.87829999999999997</v>
      </c>
    </row>
    <row r="1170" spans="1:9" x14ac:dyDescent="0.3">
      <c r="A1170">
        <v>1169</v>
      </c>
      <c r="B1170">
        <v>213</v>
      </c>
      <c r="C1170">
        <v>205</v>
      </c>
      <c r="D1170" s="1">
        <v>0.96240000000000003</v>
      </c>
      <c r="E1170">
        <v>8</v>
      </c>
      <c r="F1170" s="2">
        <v>1.1574074074074075E-4</v>
      </c>
      <c r="G1170" s="2">
        <v>1.8287037037037037E-3</v>
      </c>
      <c r="H1170" s="2">
        <v>3.4953703703703705E-3</v>
      </c>
      <c r="I1170" s="1">
        <v>0.88149999999999995</v>
      </c>
    </row>
    <row r="1171" spans="1:9" x14ac:dyDescent="0.3">
      <c r="A1171">
        <v>1170</v>
      </c>
      <c r="B1171">
        <v>208</v>
      </c>
      <c r="C1171">
        <v>205</v>
      </c>
      <c r="D1171" s="1">
        <v>0.98560000000000003</v>
      </c>
      <c r="E1171">
        <v>3</v>
      </c>
      <c r="F1171" s="2">
        <v>4.6296296296296294E-5</v>
      </c>
      <c r="G1171" s="2">
        <v>1.8055555555555555E-3</v>
      </c>
      <c r="H1171" s="2">
        <v>2.0023148148148148E-3</v>
      </c>
      <c r="I1171" s="1">
        <v>0.97089999999999999</v>
      </c>
    </row>
    <row r="1172" spans="1:9" x14ac:dyDescent="0.3">
      <c r="A1172">
        <v>1171</v>
      </c>
      <c r="B1172">
        <v>166</v>
      </c>
      <c r="C1172">
        <v>165</v>
      </c>
      <c r="D1172" s="1">
        <v>0.99399999999999999</v>
      </c>
      <c r="E1172">
        <v>1</v>
      </c>
      <c r="F1172" s="2">
        <v>9.2592592592592588E-5</v>
      </c>
      <c r="G1172" s="2">
        <v>1.8634259259259259E-3</v>
      </c>
      <c r="H1172" s="2">
        <v>2.4421296296296296E-3</v>
      </c>
      <c r="I1172" s="1">
        <v>0.92769999999999997</v>
      </c>
    </row>
    <row r="1173" spans="1:9" x14ac:dyDescent="0.3">
      <c r="A1173">
        <v>1172</v>
      </c>
      <c r="B1173">
        <v>169</v>
      </c>
      <c r="C1173">
        <v>161</v>
      </c>
      <c r="D1173" s="1">
        <v>0.95269999999999999</v>
      </c>
      <c r="E1173">
        <v>8</v>
      </c>
      <c r="F1173" s="2">
        <v>2.0833333333333335E-4</v>
      </c>
      <c r="G1173" s="2">
        <v>1.9907407407407408E-3</v>
      </c>
      <c r="H1173" s="2">
        <v>2.5115740740740741E-3</v>
      </c>
      <c r="I1173" s="1">
        <v>0.73960000000000004</v>
      </c>
    </row>
    <row r="1174" spans="1:9" x14ac:dyDescent="0.3">
      <c r="A1174">
        <v>1173</v>
      </c>
      <c r="B1174">
        <v>175</v>
      </c>
      <c r="C1174">
        <v>167</v>
      </c>
      <c r="D1174" s="1">
        <v>0.95430000000000004</v>
      </c>
      <c r="E1174">
        <v>8</v>
      </c>
      <c r="F1174" s="2">
        <v>1.1574074074074075E-4</v>
      </c>
      <c r="G1174" s="2">
        <v>1.724537037037037E-3</v>
      </c>
      <c r="H1174" s="2">
        <v>2.685185185185185E-3</v>
      </c>
      <c r="I1174" s="1">
        <v>0.8629</v>
      </c>
    </row>
    <row r="1175" spans="1:9" x14ac:dyDescent="0.3">
      <c r="A1175">
        <v>1174</v>
      </c>
      <c r="B1175">
        <v>43</v>
      </c>
      <c r="C1175">
        <v>43</v>
      </c>
      <c r="D1175" s="1">
        <v>1</v>
      </c>
      <c r="E1175">
        <v>0</v>
      </c>
      <c r="F1175" s="2">
        <v>4.6296296296296294E-5</v>
      </c>
      <c r="G1175" s="2">
        <v>1.8749999999999999E-3</v>
      </c>
      <c r="H1175" s="2">
        <v>3.3564814814814812E-4</v>
      </c>
      <c r="I1175" s="1">
        <v>1</v>
      </c>
    </row>
    <row r="1176" spans="1:9" x14ac:dyDescent="0.3">
      <c r="A1176">
        <v>1175</v>
      </c>
      <c r="B1176">
        <v>24</v>
      </c>
      <c r="C1176">
        <v>24</v>
      </c>
      <c r="D1176" s="1">
        <v>1</v>
      </c>
      <c r="E1176">
        <v>0</v>
      </c>
      <c r="F1176" s="2">
        <v>3.4722222222222222E-5</v>
      </c>
      <c r="G1176" s="2">
        <v>1.9212962962962964E-3</v>
      </c>
      <c r="H1176" s="2">
        <v>3.4722222222222222E-5</v>
      </c>
      <c r="I1176" s="1">
        <v>1</v>
      </c>
    </row>
    <row r="1177" spans="1:9" x14ac:dyDescent="0.3">
      <c r="A1177">
        <v>1176</v>
      </c>
      <c r="B1177">
        <v>26</v>
      </c>
      <c r="C1177">
        <v>26</v>
      </c>
      <c r="D1177" s="1">
        <v>1</v>
      </c>
      <c r="E1177">
        <v>0</v>
      </c>
      <c r="F1177" s="2">
        <v>5.7870370370370373E-5</v>
      </c>
      <c r="G1177" s="2">
        <v>1.9907407407407408E-3</v>
      </c>
      <c r="H1177" s="2">
        <v>6.7129629629629625E-4</v>
      </c>
      <c r="I1177" s="1">
        <v>0.92310000000000003</v>
      </c>
    </row>
    <row r="1178" spans="1:9" x14ac:dyDescent="0.3">
      <c r="A1178">
        <v>1177</v>
      </c>
      <c r="B1178">
        <v>42</v>
      </c>
      <c r="C1178">
        <v>41</v>
      </c>
      <c r="D1178" s="1">
        <v>0.97619999999999996</v>
      </c>
      <c r="E1178">
        <v>1</v>
      </c>
      <c r="F1178" s="2">
        <v>3.4722222222222222E-5</v>
      </c>
      <c r="G1178" s="2">
        <v>1.8634259259259259E-3</v>
      </c>
      <c r="H1178" s="2">
        <v>3.4722222222222222E-5</v>
      </c>
      <c r="I1178" s="1">
        <v>1</v>
      </c>
    </row>
    <row r="1179" spans="1:9" x14ac:dyDescent="0.3">
      <c r="A1179">
        <v>1178</v>
      </c>
      <c r="B1179">
        <v>37</v>
      </c>
      <c r="C1179">
        <v>36</v>
      </c>
      <c r="D1179" s="1">
        <v>0.97299999999999998</v>
      </c>
      <c r="E1179">
        <v>1</v>
      </c>
      <c r="F1179" s="2">
        <v>5.7870370370370373E-5</v>
      </c>
      <c r="G1179" s="2">
        <v>1.6666666666666668E-3</v>
      </c>
      <c r="H1179" s="2">
        <v>3.3564814814814816E-3</v>
      </c>
      <c r="I1179" s="1">
        <v>0.94589999999999996</v>
      </c>
    </row>
    <row r="1180" spans="1:9" x14ac:dyDescent="0.3">
      <c r="A1180">
        <v>1179</v>
      </c>
      <c r="B1180">
        <v>60</v>
      </c>
      <c r="C1180">
        <v>60</v>
      </c>
      <c r="D1180" s="1">
        <v>1</v>
      </c>
      <c r="E1180">
        <v>0</v>
      </c>
      <c r="F1180" s="2">
        <v>5.7870370370370373E-5</v>
      </c>
      <c r="G1180" s="2">
        <v>2.1643518518518518E-3</v>
      </c>
      <c r="H1180" s="2">
        <v>7.0601851851851847E-4</v>
      </c>
      <c r="I1180" s="1">
        <v>0.9667</v>
      </c>
    </row>
    <row r="1181" spans="1:9" x14ac:dyDescent="0.3">
      <c r="A1181">
        <v>1180</v>
      </c>
      <c r="B1181">
        <v>82</v>
      </c>
      <c r="C1181">
        <v>81</v>
      </c>
      <c r="D1181" s="1">
        <v>0.98780000000000001</v>
      </c>
      <c r="E1181">
        <v>1</v>
      </c>
      <c r="F1181" s="2">
        <v>3.4722222222222222E-5</v>
      </c>
      <c r="G1181" s="2">
        <v>1.6666666666666668E-3</v>
      </c>
      <c r="H1181" s="2">
        <v>6.7129629629629625E-4</v>
      </c>
      <c r="I1181" s="1">
        <v>0.97560000000000002</v>
      </c>
    </row>
    <row r="1182" spans="1:9" x14ac:dyDescent="0.3">
      <c r="A1182">
        <v>1181</v>
      </c>
      <c r="B1182">
        <v>31</v>
      </c>
      <c r="C1182">
        <v>31</v>
      </c>
      <c r="D1182" s="1">
        <v>1</v>
      </c>
      <c r="E1182">
        <v>0</v>
      </c>
      <c r="F1182" s="2">
        <v>6.9444444444444444E-5</v>
      </c>
      <c r="G1182" s="2">
        <v>1.6203703703703703E-3</v>
      </c>
      <c r="H1182" s="2">
        <v>7.0601851851851847E-4</v>
      </c>
      <c r="I1182" s="1">
        <v>0.9355</v>
      </c>
    </row>
    <row r="1183" spans="1:9" x14ac:dyDescent="0.3">
      <c r="A1183">
        <v>1182</v>
      </c>
      <c r="B1183">
        <v>178</v>
      </c>
      <c r="C1183">
        <v>171</v>
      </c>
      <c r="D1183" s="1">
        <v>0.9607</v>
      </c>
      <c r="E1183">
        <v>7</v>
      </c>
      <c r="F1183" s="2">
        <v>1.8518518518518518E-4</v>
      </c>
      <c r="G1183" s="2">
        <v>1.8865740740740742E-3</v>
      </c>
      <c r="H1183" s="2">
        <v>1.4583333333333334E-3</v>
      </c>
      <c r="I1183" s="1">
        <v>0.76139999999999997</v>
      </c>
    </row>
    <row r="1184" spans="1:9" x14ac:dyDescent="0.3">
      <c r="A1184">
        <v>1183</v>
      </c>
      <c r="B1184">
        <v>183</v>
      </c>
      <c r="C1184">
        <v>175</v>
      </c>
      <c r="D1184" s="1">
        <v>0.95630000000000004</v>
      </c>
      <c r="E1184">
        <v>8</v>
      </c>
      <c r="F1184" s="2">
        <v>1.5046296296296297E-4</v>
      </c>
      <c r="G1184" s="2">
        <v>1.7013888888888888E-3</v>
      </c>
      <c r="H1184" s="2">
        <v>3.2175925925925926E-3</v>
      </c>
      <c r="I1184" s="1">
        <v>0.85560000000000003</v>
      </c>
    </row>
    <row r="1185" spans="1:9" x14ac:dyDescent="0.3">
      <c r="A1185">
        <v>1184</v>
      </c>
      <c r="B1185">
        <v>39</v>
      </c>
      <c r="C1185">
        <v>37</v>
      </c>
      <c r="D1185" s="1">
        <v>0.94869999999999999</v>
      </c>
      <c r="E1185">
        <v>2</v>
      </c>
      <c r="F1185" s="2">
        <v>3.4722222222222222E-5</v>
      </c>
      <c r="G1185" s="2">
        <v>2.0023148148148148E-3</v>
      </c>
      <c r="H1185" s="2">
        <v>6.7129629629629625E-4</v>
      </c>
      <c r="I1185" s="1">
        <v>0.97370000000000001</v>
      </c>
    </row>
    <row r="1186" spans="1:9" x14ac:dyDescent="0.3">
      <c r="A1186">
        <v>1185</v>
      </c>
      <c r="B1186">
        <v>170</v>
      </c>
      <c r="C1186">
        <v>167</v>
      </c>
      <c r="D1186" s="1">
        <v>0.98240000000000005</v>
      </c>
      <c r="E1186">
        <v>3</v>
      </c>
      <c r="F1186" s="2">
        <v>1.3888888888888889E-4</v>
      </c>
      <c r="G1186" s="2">
        <v>1.6666666666666668E-3</v>
      </c>
      <c r="H1186" s="2">
        <v>1.9675925925925924E-3</v>
      </c>
      <c r="I1186" s="1">
        <v>0.85289999999999999</v>
      </c>
    </row>
    <row r="1187" spans="1:9" x14ac:dyDescent="0.3">
      <c r="A1187">
        <v>1186</v>
      </c>
      <c r="B1187">
        <v>180</v>
      </c>
      <c r="C1187">
        <v>168</v>
      </c>
      <c r="D1187" s="1">
        <v>0.93330000000000002</v>
      </c>
      <c r="E1187">
        <v>12</v>
      </c>
      <c r="F1187" s="2">
        <v>1.3888888888888889E-4</v>
      </c>
      <c r="G1187" s="2">
        <v>1.9212962962962964E-3</v>
      </c>
      <c r="H1187" s="2">
        <v>3.1134259259259257E-3</v>
      </c>
      <c r="I1187" s="1">
        <v>0.83150000000000002</v>
      </c>
    </row>
    <row r="1188" spans="1:9" x14ac:dyDescent="0.3">
      <c r="A1188">
        <v>1187</v>
      </c>
      <c r="B1188">
        <v>24</v>
      </c>
      <c r="C1188">
        <v>24</v>
      </c>
      <c r="D1188" s="1">
        <v>1</v>
      </c>
      <c r="E1188">
        <v>0</v>
      </c>
      <c r="F1188" s="2">
        <v>4.6296296296296294E-5</v>
      </c>
      <c r="G1188" s="2">
        <v>1.8055555555555555E-3</v>
      </c>
      <c r="H1188" s="2">
        <v>2.4305555555555555E-4</v>
      </c>
      <c r="I1188" s="1">
        <v>1</v>
      </c>
    </row>
    <row r="1189" spans="1:9" x14ac:dyDescent="0.3">
      <c r="A1189">
        <v>1188</v>
      </c>
      <c r="B1189">
        <v>7</v>
      </c>
      <c r="C1189">
        <v>7</v>
      </c>
      <c r="D1189" s="1">
        <v>1</v>
      </c>
      <c r="E1189">
        <v>0</v>
      </c>
      <c r="F1189" s="2">
        <v>3.8194444444444446E-4</v>
      </c>
      <c r="G1189" s="2">
        <v>1.8402777777777777E-3</v>
      </c>
      <c r="H1189" s="2">
        <v>1.0763888888888889E-3</v>
      </c>
      <c r="I1189" s="1">
        <v>0.42859999999999998</v>
      </c>
    </row>
    <row r="1190" spans="1:9" x14ac:dyDescent="0.3">
      <c r="A1190">
        <v>1189</v>
      </c>
      <c r="B1190">
        <v>181</v>
      </c>
      <c r="C1190">
        <v>181</v>
      </c>
      <c r="D1190" s="1">
        <v>1</v>
      </c>
      <c r="E1190">
        <v>0</v>
      </c>
      <c r="F1190" s="2">
        <v>1.3888888888888889E-4</v>
      </c>
      <c r="G1190" s="2">
        <v>1.9328703703703704E-3</v>
      </c>
      <c r="H1190" s="2">
        <v>1.0300925925925926E-3</v>
      </c>
      <c r="I1190" s="1">
        <v>0.87849999999999995</v>
      </c>
    </row>
    <row r="1191" spans="1:9" x14ac:dyDescent="0.3">
      <c r="A1191">
        <v>1190</v>
      </c>
      <c r="B1191">
        <v>209</v>
      </c>
      <c r="C1191">
        <v>206</v>
      </c>
      <c r="D1191" s="1">
        <v>0.98560000000000003</v>
      </c>
      <c r="E1191">
        <v>3</v>
      </c>
      <c r="F1191" s="2">
        <v>5.7870370370370373E-5</v>
      </c>
      <c r="G1191" s="2">
        <v>1.8749999999999999E-3</v>
      </c>
      <c r="H1191" s="2">
        <v>6.7129629629629625E-4</v>
      </c>
      <c r="I1191" s="1">
        <v>0.95169999999999999</v>
      </c>
    </row>
    <row r="1192" spans="1:9" x14ac:dyDescent="0.3">
      <c r="A1192">
        <v>1191</v>
      </c>
      <c r="B1192">
        <v>180</v>
      </c>
      <c r="C1192">
        <v>179</v>
      </c>
      <c r="D1192" s="1">
        <v>0.99439999999999995</v>
      </c>
      <c r="E1192">
        <v>1</v>
      </c>
      <c r="F1192" s="2">
        <v>4.6296296296296294E-5</v>
      </c>
      <c r="G1192" s="2">
        <v>1.712962962962963E-3</v>
      </c>
      <c r="H1192" s="2">
        <v>7.1759259259259259E-4</v>
      </c>
      <c r="I1192" s="1">
        <v>0.97209999999999996</v>
      </c>
    </row>
    <row r="1193" spans="1:9" x14ac:dyDescent="0.3">
      <c r="A1193">
        <v>1192</v>
      </c>
      <c r="B1193">
        <v>221</v>
      </c>
      <c r="C1193">
        <v>203</v>
      </c>
      <c r="D1193" s="1">
        <v>0.91859999999999997</v>
      </c>
      <c r="E1193">
        <v>18</v>
      </c>
      <c r="F1193" s="2">
        <v>1.3888888888888889E-4</v>
      </c>
      <c r="G1193" s="2">
        <v>1.8865740740740742E-3</v>
      </c>
      <c r="H1193" s="2">
        <v>2.0254629629629629E-3</v>
      </c>
      <c r="I1193" s="1">
        <v>0.87319999999999998</v>
      </c>
    </row>
    <row r="1194" spans="1:9" x14ac:dyDescent="0.3">
      <c r="A1194">
        <v>1193</v>
      </c>
      <c r="B1194">
        <v>254</v>
      </c>
      <c r="C1194">
        <v>248</v>
      </c>
      <c r="D1194" s="1">
        <v>0.97640000000000005</v>
      </c>
      <c r="E1194">
        <v>6</v>
      </c>
      <c r="F1194" s="2">
        <v>1.1574074074074075E-4</v>
      </c>
      <c r="G1194" s="2">
        <v>1.9444444444444444E-3</v>
      </c>
      <c r="H1194" s="2">
        <v>2.1643518518518518E-3</v>
      </c>
      <c r="I1194" s="1">
        <v>0.90869999999999995</v>
      </c>
    </row>
    <row r="1195" spans="1:9" x14ac:dyDescent="0.3">
      <c r="A1195">
        <v>1194</v>
      </c>
      <c r="B1195">
        <v>627</v>
      </c>
      <c r="C1195">
        <v>577</v>
      </c>
      <c r="D1195" s="1">
        <v>0.92030000000000001</v>
      </c>
      <c r="E1195">
        <v>50</v>
      </c>
      <c r="F1195" s="2">
        <v>4.7453703703703704E-4</v>
      </c>
      <c r="G1195" s="2">
        <v>1.8402777777777777E-3</v>
      </c>
      <c r="H1195" s="2">
        <v>3.7037037037037038E-3</v>
      </c>
      <c r="I1195" s="1">
        <v>0.47810000000000002</v>
      </c>
    </row>
    <row r="1196" spans="1:9" x14ac:dyDescent="0.3">
      <c r="A1196">
        <v>1195</v>
      </c>
      <c r="B1196">
        <v>167</v>
      </c>
      <c r="C1196">
        <v>159</v>
      </c>
      <c r="D1196" s="1">
        <v>0.95209999999999995</v>
      </c>
      <c r="E1196">
        <v>8</v>
      </c>
      <c r="F1196" s="2">
        <v>2.0833333333333335E-4</v>
      </c>
      <c r="G1196" s="2">
        <v>2.1990740740740742E-3</v>
      </c>
      <c r="H1196" s="2">
        <v>2.7199074074074074E-3</v>
      </c>
      <c r="I1196" s="1">
        <v>0.76049999999999995</v>
      </c>
    </row>
    <row r="1197" spans="1:9" x14ac:dyDescent="0.3">
      <c r="A1197">
        <v>1196</v>
      </c>
      <c r="B1197">
        <v>599</v>
      </c>
      <c r="C1197">
        <v>554</v>
      </c>
      <c r="D1197" s="1">
        <v>0.92490000000000006</v>
      </c>
      <c r="E1197">
        <v>45</v>
      </c>
      <c r="F1197" s="2">
        <v>2.8935185185185184E-4</v>
      </c>
      <c r="G1197" s="2">
        <v>1.7939814814814815E-3</v>
      </c>
      <c r="H1197" s="2">
        <v>3.3564814814814816E-3</v>
      </c>
      <c r="I1197" s="1">
        <v>0.63560000000000005</v>
      </c>
    </row>
    <row r="1198" spans="1:9" x14ac:dyDescent="0.3">
      <c r="A1198">
        <v>1197</v>
      </c>
      <c r="B1198">
        <v>304</v>
      </c>
      <c r="C1198">
        <v>300</v>
      </c>
      <c r="D1198" s="1">
        <v>0.98680000000000001</v>
      </c>
      <c r="E1198">
        <v>4</v>
      </c>
      <c r="F1198" s="2">
        <v>8.1018518518518516E-5</v>
      </c>
      <c r="G1198" s="2">
        <v>1.7939814814814815E-3</v>
      </c>
      <c r="H1198" s="2">
        <v>2.0254629629629629E-3</v>
      </c>
      <c r="I1198" s="1">
        <v>0.92410000000000003</v>
      </c>
    </row>
    <row r="1199" spans="1:9" x14ac:dyDescent="0.3">
      <c r="A1199">
        <v>1198</v>
      </c>
      <c r="B1199">
        <v>267</v>
      </c>
      <c r="C1199">
        <v>260</v>
      </c>
      <c r="D1199" s="1">
        <v>0.9738</v>
      </c>
      <c r="E1199">
        <v>7</v>
      </c>
      <c r="F1199" s="2">
        <v>9.2592592592592588E-5</v>
      </c>
      <c r="G1199" s="2">
        <v>2.0370370370370369E-3</v>
      </c>
      <c r="H1199" s="2">
        <v>1.3194444444444445E-3</v>
      </c>
      <c r="I1199" s="1">
        <v>0.90910000000000002</v>
      </c>
    </row>
    <row r="1200" spans="1:9" x14ac:dyDescent="0.3">
      <c r="A1200">
        <v>1199</v>
      </c>
      <c r="B1200">
        <v>286</v>
      </c>
      <c r="C1200">
        <v>281</v>
      </c>
      <c r="D1200" s="1">
        <v>0.98250000000000004</v>
      </c>
      <c r="E1200">
        <v>5</v>
      </c>
      <c r="F1200" s="2">
        <v>1.273148148148148E-4</v>
      </c>
      <c r="G1200" s="2">
        <v>1.8518518518518519E-3</v>
      </c>
      <c r="H1200" s="2">
        <v>2.0138888888888888E-3</v>
      </c>
      <c r="I1200" s="1">
        <v>0.86970000000000003</v>
      </c>
    </row>
    <row r="1201" spans="1:9" x14ac:dyDescent="0.3">
      <c r="A1201">
        <v>1200</v>
      </c>
      <c r="B1201">
        <v>196</v>
      </c>
      <c r="C1201">
        <v>192</v>
      </c>
      <c r="D1201" s="1">
        <v>0.97960000000000003</v>
      </c>
      <c r="E1201">
        <v>4</v>
      </c>
      <c r="F1201" s="2">
        <v>1.5046296296296297E-4</v>
      </c>
      <c r="G1201" s="2">
        <v>1.8865740740740742E-3</v>
      </c>
      <c r="H1201" s="2">
        <v>1.4583333333333334E-3</v>
      </c>
      <c r="I1201" s="1">
        <v>0.85640000000000005</v>
      </c>
    </row>
    <row r="1202" spans="1:9" x14ac:dyDescent="0.3">
      <c r="A1202">
        <v>1201</v>
      </c>
      <c r="B1202">
        <v>191</v>
      </c>
      <c r="C1202">
        <v>189</v>
      </c>
      <c r="D1202" s="1">
        <v>0.98950000000000005</v>
      </c>
      <c r="E1202">
        <v>2</v>
      </c>
      <c r="F1202" s="2">
        <v>1.273148148148148E-4</v>
      </c>
      <c r="G1202" s="2">
        <v>2.0833333333333333E-3</v>
      </c>
      <c r="H1202" s="2">
        <v>1.7824074074074075E-3</v>
      </c>
      <c r="I1202" s="1">
        <v>0.88419999999999999</v>
      </c>
    </row>
    <row r="1203" spans="1:9" x14ac:dyDescent="0.3">
      <c r="A1203">
        <v>1202</v>
      </c>
      <c r="B1203">
        <v>60</v>
      </c>
      <c r="C1203">
        <v>60</v>
      </c>
      <c r="D1203" s="1">
        <v>1</v>
      </c>
      <c r="E1203">
        <v>0</v>
      </c>
      <c r="F1203" s="2">
        <v>6.9444444444444444E-5</v>
      </c>
      <c r="G1203" s="2">
        <v>1.3657407407407407E-3</v>
      </c>
      <c r="H1203" s="2">
        <v>6.8287037037037036E-4</v>
      </c>
      <c r="I1203" s="1">
        <v>0.9667</v>
      </c>
    </row>
    <row r="1204" spans="1:9" x14ac:dyDescent="0.3">
      <c r="A1204">
        <v>1203</v>
      </c>
      <c r="B1204">
        <v>215</v>
      </c>
      <c r="C1204">
        <v>207</v>
      </c>
      <c r="D1204" s="1">
        <v>0.96279999999999999</v>
      </c>
      <c r="E1204">
        <v>8</v>
      </c>
      <c r="F1204" s="2">
        <v>1.1574074074074075E-4</v>
      </c>
      <c r="G1204" s="2">
        <v>1.8518518518518519E-3</v>
      </c>
      <c r="H1204" s="2">
        <v>1.2037037037037038E-3</v>
      </c>
      <c r="I1204" s="1">
        <v>0.90429999999999999</v>
      </c>
    </row>
    <row r="1205" spans="1:9" x14ac:dyDescent="0.3">
      <c r="A1205">
        <v>1204</v>
      </c>
      <c r="B1205">
        <v>221</v>
      </c>
      <c r="C1205">
        <v>213</v>
      </c>
      <c r="D1205" s="1">
        <v>0.96379999999999999</v>
      </c>
      <c r="E1205">
        <v>8</v>
      </c>
      <c r="F1205" s="2">
        <v>9.2592592592592588E-5</v>
      </c>
      <c r="G1205" s="2">
        <v>1.7939814814814815E-3</v>
      </c>
      <c r="H1205" s="2">
        <v>1.238425925925926E-3</v>
      </c>
      <c r="I1205" s="1">
        <v>0.90449999999999997</v>
      </c>
    </row>
    <row r="1206" spans="1:9" x14ac:dyDescent="0.3">
      <c r="A1206">
        <v>1205</v>
      </c>
      <c r="B1206">
        <v>201</v>
      </c>
      <c r="C1206">
        <v>193</v>
      </c>
      <c r="D1206" s="1">
        <v>0.96020000000000005</v>
      </c>
      <c r="E1206">
        <v>8</v>
      </c>
      <c r="F1206" s="2">
        <v>3.4722222222222222E-5</v>
      </c>
      <c r="G1206" s="2">
        <v>1.9212962962962964E-3</v>
      </c>
      <c r="H1206" s="2">
        <v>6.7129629629629625E-4</v>
      </c>
      <c r="I1206" s="1">
        <v>0.98450000000000004</v>
      </c>
    </row>
    <row r="1207" spans="1:9" x14ac:dyDescent="0.3">
      <c r="A1207">
        <v>1206</v>
      </c>
      <c r="B1207">
        <v>205</v>
      </c>
      <c r="C1207">
        <v>202</v>
      </c>
      <c r="D1207" s="1">
        <v>0.98540000000000005</v>
      </c>
      <c r="E1207">
        <v>3</v>
      </c>
      <c r="F1207" s="2">
        <v>5.7870370370370373E-5</v>
      </c>
      <c r="G1207" s="2">
        <v>1.9444444444444444E-3</v>
      </c>
      <c r="H1207" s="2">
        <v>7.9861111111111116E-4</v>
      </c>
      <c r="I1207" s="1">
        <v>0.96060000000000001</v>
      </c>
    </row>
    <row r="1208" spans="1:9" x14ac:dyDescent="0.3">
      <c r="A1208">
        <v>1207</v>
      </c>
      <c r="B1208">
        <v>201</v>
      </c>
      <c r="C1208">
        <v>194</v>
      </c>
      <c r="D1208" s="1">
        <v>0.96519999999999995</v>
      </c>
      <c r="E1208">
        <v>7</v>
      </c>
      <c r="F1208" s="2">
        <v>1.6203703703703703E-4</v>
      </c>
      <c r="G1208" s="2">
        <v>1.8981481481481482E-3</v>
      </c>
      <c r="H1208" s="2">
        <v>1.724537037037037E-3</v>
      </c>
      <c r="I1208" s="1">
        <v>0.84260000000000002</v>
      </c>
    </row>
    <row r="1209" spans="1:9" x14ac:dyDescent="0.3">
      <c r="A1209">
        <v>1208</v>
      </c>
      <c r="B1209">
        <v>140</v>
      </c>
      <c r="C1209">
        <v>132</v>
      </c>
      <c r="D1209" s="1">
        <v>0.94289999999999996</v>
      </c>
      <c r="E1209">
        <v>8</v>
      </c>
      <c r="F1209" s="2">
        <v>8.1018518518518516E-5</v>
      </c>
      <c r="G1209" s="2">
        <v>1.2847222222222223E-3</v>
      </c>
      <c r="H1209" s="2">
        <v>1.3425925925925925E-3</v>
      </c>
      <c r="I1209" s="1">
        <v>0.92479999999999996</v>
      </c>
    </row>
    <row r="1210" spans="1:9" x14ac:dyDescent="0.3">
      <c r="A1210">
        <v>1209</v>
      </c>
      <c r="B1210">
        <v>29</v>
      </c>
      <c r="C1210">
        <v>28</v>
      </c>
      <c r="D1210" s="1">
        <v>0.96550000000000002</v>
      </c>
      <c r="E1210">
        <v>1</v>
      </c>
      <c r="F1210" s="2">
        <v>1.5046296296296297E-4</v>
      </c>
      <c r="G1210" s="2">
        <v>2.1875000000000002E-3</v>
      </c>
      <c r="H1210" s="2">
        <v>1.238425925925926E-3</v>
      </c>
      <c r="I1210" s="1">
        <v>0.8276</v>
      </c>
    </row>
    <row r="1211" spans="1:9" x14ac:dyDescent="0.3">
      <c r="A1211">
        <v>1210</v>
      </c>
      <c r="B1211">
        <v>398</v>
      </c>
      <c r="C1211">
        <v>372</v>
      </c>
      <c r="D1211" s="1">
        <v>0.93469999999999998</v>
      </c>
      <c r="E1211">
        <v>26</v>
      </c>
      <c r="F1211" s="2">
        <v>2.4305555555555555E-4</v>
      </c>
      <c r="G1211" s="2">
        <v>1.9791666666666668E-3</v>
      </c>
      <c r="H1211" s="2">
        <v>2.9282407407407408E-3</v>
      </c>
      <c r="I1211" s="1">
        <v>0.72519999999999996</v>
      </c>
    </row>
    <row r="1212" spans="1:9" x14ac:dyDescent="0.3">
      <c r="A1212">
        <v>1211</v>
      </c>
      <c r="B1212">
        <v>255</v>
      </c>
      <c r="C1212">
        <v>249</v>
      </c>
      <c r="D1212" s="1">
        <v>0.97650000000000003</v>
      </c>
      <c r="E1212">
        <v>6</v>
      </c>
      <c r="F1212" s="2">
        <v>1.7361111111111112E-4</v>
      </c>
      <c r="G1212" s="2">
        <v>2.0949074074074073E-3</v>
      </c>
      <c r="H1212" s="2">
        <v>1.4930555555555556E-3</v>
      </c>
      <c r="I1212" s="1">
        <v>0.83330000000000004</v>
      </c>
    </row>
    <row r="1213" spans="1:9" x14ac:dyDescent="0.3">
      <c r="A1213">
        <v>1212</v>
      </c>
      <c r="B1213">
        <v>283</v>
      </c>
      <c r="C1213">
        <v>278</v>
      </c>
      <c r="D1213" s="1">
        <v>0.98229999999999995</v>
      </c>
      <c r="E1213">
        <v>5</v>
      </c>
      <c r="F1213" s="2">
        <v>1.9675925925925926E-4</v>
      </c>
      <c r="G1213" s="2">
        <v>1.8287037037037037E-3</v>
      </c>
      <c r="H1213" s="2">
        <v>1.3773148148148147E-3</v>
      </c>
      <c r="I1213" s="1">
        <v>0.79569999999999996</v>
      </c>
    </row>
    <row r="1214" spans="1:9" x14ac:dyDescent="0.3">
      <c r="A1214">
        <v>1213</v>
      </c>
      <c r="B1214">
        <v>230</v>
      </c>
      <c r="C1214">
        <v>222</v>
      </c>
      <c r="D1214" s="1">
        <v>0.96519999999999995</v>
      </c>
      <c r="E1214">
        <v>8</v>
      </c>
      <c r="F1214" s="2">
        <v>2.4305555555555555E-4</v>
      </c>
      <c r="G1214" s="2">
        <v>1.9212962962962964E-3</v>
      </c>
      <c r="H1214" s="2">
        <v>1.9097222222222222E-3</v>
      </c>
      <c r="I1214" s="1">
        <v>0.72250000000000003</v>
      </c>
    </row>
    <row r="1215" spans="1:9" x14ac:dyDescent="0.3">
      <c r="A1215">
        <v>1214</v>
      </c>
      <c r="B1215">
        <v>185</v>
      </c>
      <c r="C1215">
        <v>183</v>
      </c>
      <c r="D1215" s="1">
        <v>0.98919999999999997</v>
      </c>
      <c r="E1215">
        <v>2</v>
      </c>
      <c r="F1215" s="2">
        <v>1.1574074074074075E-4</v>
      </c>
      <c r="G1215" s="2">
        <v>2.2569444444444442E-3</v>
      </c>
      <c r="H1215" s="2">
        <v>9.2592592592592596E-4</v>
      </c>
      <c r="I1215" s="1">
        <v>0.89729999999999999</v>
      </c>
    </row>
    <row r="1216" spans="1:9" x14ac:dyDescent="0.3">
      <c r="A1216">
        <v>1215</v>
      </c>
      <c r="B1216">
        <v>197</v>
      </c>
      <c r="C1216">
        <v>194</v>
      </c>
      <c r="D1216" s="1">
        <v>0.98480000000000001</v>
      </c>
      <c r="E1216">
        <v>3</v>
      </c>
      <c r="F1216" s="2">
        <v>1.5046296296296297E-4</v>
      </c>
      <c r="G1216" s="2">
        <v>1.9560185185185184E-3</v>
      </c>
      <c r="H1216" s="2">
        <v>1.4004629629629629E-3</v>
      </c>
      <c r="I1216" s="1">
        <v>0.82650000000000001</v>
      </c>
    </row>
    <row r="1217" spans="1:9" x14ac:dyDescent="0.3">
      <c r="A1217">
        <v>1216</v>
      </c>
      <c r="B1217">
        <v>15</v>
      </c>
      <c r="C1217">
        <v>14</v>
      </c>
      <c r="D1217" s="1">
        <v>0.93330000000000002</v>
      </c>
      <c r="E1217">
        <v>1</v>
      </c>
      <c r="F1217" s="2">
        <v>1.3888888888888889E-4</v>
      </c>
      <c r="G1217" s="2">
        <v>2.2453703703703702E-3</v>
      </c>
      <c r="H1217" s="2">
        <v>1.25E-3</v>
      </c>
      <c r="I1217" s="1">
        <v>0.86670000000000003</v>
      </c>
    </row>
    <row r="1218" spans="1:9" x14ac:dyDescent="0.3">
      <c r="A1218">
        <v>1217</v>
      </c>
      <c r="B1218">
        <v>230</v>
      </c>
      <c r="C1218">
        <v>228</v>
      </c>
      <c r="D1218" s="1">
        <v>0.99129999999999996</v>
      </c>
      <c r="E1218">
        <v>2</v>
      </c>
      <c r="F1218" s="2">
        <v>8.1018518518518516E-5</v>
      </c>
      <c r="G1218" s="2">
        <v>1.9328703703703704E-3</v>
      </c>
      <c r="H1218" s="2">
        <v>7.0601851851851847E-4</v>
      </c>
      <c r="I1218" s="1">
        <v>0.93889999999999996</v>
      </c>
    </row>
    <row r="1219" spans="1:9" x14ac:dyDescent="0.3">
      <c r="A1219">
        <v>1218</v>
      </c>
      <c r="B1219">
        <v>232</v>
      </c>
      <c r="C1219">
        <v>224</v>
      </c>
      <c r="D1219" s="1">
        <v>0.96550000000000002</v>
      </c>
      <c r="E1219">
        <v>8</v>
      </c>
      <c r="F1219" s="2">
        <v>1.3888888888888889E-4</v>
      </c>
      <c r="G1219" s="2">
        <v>1.9791666666666668E-3</v>
      </c>
      <c r="H1219" s="2">
        <v>1.0879629629629629E-3</v>
      </c>
      <c r="I1219" s="1">
        <v>0.86460000000000004</v>
      </c>
    </row>
    <row r="1220" spans="1:9" x14ac:dyDescent="0.3">
      <c r="A1220">
        <v>1219</v>
      </c>
      <c r="B1220">
        <v>237</v>
      </c>
      <c r="C1220">
        <v>231</v>
      </c>
      <c r="D1220" s="1">
        <v>0.97470000000000001</v>
      </c>
      <c r="E1220">
        <v>6</v>
      </c>
      <c r="F1220" s="2">
        <v>1.273148148148148E-4</v>
      </c>
      <c r="G1220" s="2">
        <v>2.0949074074074073E-3</v>
      </c>
      <c r="H1220" s="2">
        <v>1.3773148148148147E-3</v>
      </c>
      <c r="I1220" s="1">
        <v>0.87709999999999999</v>
      </c>
    </row>
    <row r="1221" spans="1:9" x14ac:dyDescent="0.3">
      <c r="A1221">
        <v>1220</v>
      </c>
      <c r="B1221">
        <v>42</v>
      </c>
      <c r="C1221">
        <v>39</v>
      </c>
      <c r="D1221" s="1">
        <v>0.92859999999999998</v>
      </c>
      <c r="E1221">
        <v>3</v>
      </c>
      <c r="F1221" s="2">
        <v>1.9675925925925926E-4</v>
      </c>
      <c r="G1221" s="2">
        <v>1.9791666666666668E-3</v>
      </c>
      <c r="H1221" s="2">
        <v>1.1574074074074073E-3</v>
      </c>
      <c r="I1221" s="1">
        <v>0.78569999999999995</v>
      </c>
    </row>
    <row r="1222" spans="1:9" x14ac:dyDescent="0.3">
      <c r="A1222">
        <v>1221</v>
      </c>
      <c r="B1222">
        <v>215</v>
      </c>
      <c r="C1222">
        <v>211</v>
      </c>
      <c r="D1222" s="1">
        <v>0.98140000000000005</v>
      </c>
      <c r="E1222">
        <v>4</v>
      </c>
      <c r="F1222" s="2">
        <v>6.9444444444444444E-5</v>
      </c>
      <c r="G1222" s="2">
        <v>2.1527777777777778E-3</v>
      </c>
      <c r="H1222" s="2">
        <v>2.0138888888888888E-3</v>
      </c>
      <c r="I1222" s="1">
        <v>0.94810000000000005</v>
      </c>
    </row>
    <row r="1223" spans="1:9" x14ac:dyDescent="0.3">
      <c r="A1223">
        <v>1222</v>
      </c>
      <c r="B1223">
        <v>153</v>
      </c>
      <c r="C1223">
        <v>152</v>
      </c>
      <c r="D1223" s="1">
        <v>0.99350000000000005</v>
      </c>
      <c r="E1223">
        <v>1</v>
      </c>
      <c r="F1223" s="2">
        <v>4.6296296296296294E-5</v>
      </c>
      <c r="G1223" s="2">
        <v>1.7939814814814815E-3</v>
      </c>
      <c r="H1223" s="2">
        <v>6.3657407407407413E-4</v>
      </c>
      <c r="I1223" s="1">
        <v>0.9869</v>
      </c>
    </row>
    <row r="1224" spans="1:9" x14ac:dyDescent="0.3">
      <c r="A1224">
        <v>1223</v>
      </c>
      <c r="B1224">
        <v>39</v>
      </c>
      <c r="C1224">
        <v>39</v>
      </c>
      <c r="D1224" s="1">
        <v>1</v>
      </c>
      <c r="E1224">
        <v>0</v>
      </c>
      <c r="F1224" s="2">
        <v>1.6203703703703703E-4</v>
      </c>
      <c r="G1224" s="2">
        <v>2.5694444444444445E-3</v>
      </c>
      <c r="H1224" s="2">
        <v>1.1226851851851851E-3</v>
      </c>
      <c r="I1224" s="1">
        <v>0.84619999999999995</v>
      </c>
    </row>
    <row r="1225" spans="1:9" x14ac:dyDescent="0.3">
      <c r="A1225">
        <v>1224</v>
      </c>
      <c r="B1225">
        <v>334</v>
      </c>
      <c r="C1225">
        <v>322</v>
      </c>
      <c r="D1225" s="1">
        <v>0.96409999999999996</v>
      </c>
      <c r="E1225">
        <v>12</v>
      </c>
      <c r="F1225" s="2">
        <v>1.9675925925925926E-4</v>
      </c>
      <c r="G1225" s="2">
        <v>2.0370370370370369E-3</v>
      </c>
      <c r="H1225" s="2">
        <v>1.5972222222222223E-3</v>
      </c>
      <c r="I1225" s="1">
        <v>0.77129999999999999</v>
      </c>
    </row>
    <row r="1226" spans="1:9" x14ac:dyDescent="0.3">
      <c r="A1226">
        <v>1225</v>
      </c>
      <c r="B1226">
        <v>236</v>
      </c>
      <c r="C1226">
        <v>225</v>
      </c>
      <c r="D1226" s="1">
        <v>0.95340000000000003</v>
      </c>
      <c r="E1226">
        <v>11</v>
      </c>
      <c r="F1226" s="2">
        <v>1.5046296296296297E-4</v>
      </c>
      <c r="G1226" s="2">
        <v>2.0023148148148148E-3</v>
      </c>
      <c r="H1226" s="2">
        <v>1.3425925925925925E-3</v>
      </c>
      <c r="I1226" s="1">
        <v>0.85089999999999999</v>
      </c>
    </row>
    <row r="1227" spans="1:9" x14ac:dyDescent="0.3">
      <c r="A1227">
        <v>1226</v>
      </c>
      <c r="B1227">
        <v>186</v>
      </c>
      <c r="C1227">
        <v>182</v>
      </c>
      <c r="D1227" s="1">
        <v>0.97850000000000004</v>
      </c>
      <c r="E1227">
        <v>4</v>
      </c>
      <c r="F1227" s="2">
        <v>9.2592592592592588E-5</v>
      </c>
      <c r="G1227" s="2">
        <v>1.8287037037037037E-3</v>
      </c>
      <c r="H1227" s="2">
        <v>1.5046296296296296E-3</v>
      </c>
      <c r="I1227" s="1">
        <v>0.95109999999999995</v>
      </c>
    </row>
    <row r="1228" spans="1:9" x14ac:dyDescent="0.3">
      <c r="A1228">
        <v>1227</v>
      </c>
      <c r="B1228">
        <v>202</v>
      </c>
      <c r="C1228">
        <v>197</v>
      </c>
      <c r="D1228" s="1">
        <v>0.97519999999999996</v>
      </c>
      <c r="E1228">
        <v>5</v>
      </c>
      <c r="F1228" s="2">
        <v>1.5046296296296297E-4</v>
      </c>
      <c r="G1228" s="2">
        <v>1.7708333333333332E-3</v>
      </c>
      <c r="H1228" s="2">
        <v>1.3425925925925925E-3</v>
      </c>
      <c r="I1228" s="1">
        <v>0.87</v>
      </c>
    </row>
    <row r="1229" spans="1:9" x14ac:dyDescent="0.3">
      <c r="A1229">
        <v>1228</v>
      </c>
      <c r="B1229">
        <v>185</v>
      </c>
      <c r="C1229">
        <v>182</v>
      </c>
      <c r="D1229" s="1">
        <v>0.98380000000000001</v>
      </c>
      <c r="E1229">
        <v>3</v>
      </c>
      <c r="F1229" s="2">
        <v>9.2592592592592588E-5</v>
      </c>
      <c r="G1229" s="2">
        <v>1.9560185185185184E-3</v>
      </c>
      <c r="H1229" s="2">
        <v>1.7708333333333332E-3</v>
      </c>
      <c r="I1229" s="1">
        <v>0.90269999999999995</v>
      </c>
    </row>
    <row r="1230" spans="1:9" x14ac:dyDescent="0.3">
      <c r="A1230">
        <v>1229</v>
      </c>
      <c r="B1230">
        <v>38</v>
      </c>
      <c r="C1230">
        <v>38</v>
      </c>
      <c r="D1230" s="1">
        <v>1</v>
      </c>
      <c r="E1230">
        <v>0</v>
      </c>
      <c r="F1230" s="2">
        <v>4.6296296296296294E-5</v>
      </c>
      <c r="G1230" s="2">
        <v>2.3842592592592591E-3</v>
      </c>
      <c r="H1230" s="2">
        <v>6.5972222222222224E-4</v>
      </c>
      <c r="I1230" s="1">
        <v>0.97370000000000001</v>
      </c>
    </row>
    <row r="1231" spans="1:9" x14ac:dyDescent="0.3">
      <c r="A1231">
        <v>1230</v>
      </c>
      <c r="B1231">
        <v>25</v>
      </c>
      <c r="C1231">
        <v>24</v>
      </c>
      <c r="D1231" s="1">
        <v>0.96</v>
      </c>
      <c r="E1231">
        <v>1</v>
      </c>
      <c r="F1231" s="2">
        <v>3.4722222222222222E-5</v>
      </c>
      <c r="G1231" s="2">
        <v>1.8981481481481482E-3</v>
      </c>
      <c r="H1231" s="2">
        <v>5.3240740740740744E-4</v>
      </c>
      <c r="I1231" s="1">
        <v>0.96</v>
      </c>
    </row>
    <row r="1232" spans="1:9" x14ac:dyDescent="0.3">
      <c r="A1232">
        <v>1231</v>
      </c>
      <c r="B1232">
        <v>203</v>
      </c>
      <c r="C1232">
        <v>195</v>
      </c>
      <c r="D1232" s="1">
        <v>0.96060000000000001</v>
      </c>
      <c r="E1232">
        <v>8</v>
      </c>
      <c r="F1232" s="2">
        <v>9.2592592592592588E-5</v>
      </c>
      <c r="G1232" s="2">
        <v>1.8287037037037037E-3</v>
      </c>
      <c r="H1232" s="2">
        <v>5.9490740740740745E-3</v>
      </c>
      <c r="I1232" s="1">
        <v>0.88560000000000005</v>
      </c>
    </row>
    <row r="1233" spans="1:9" x14ac:dyDescent="0.3">
      <c r="A1233">
        <v>1232</v>
      </c>
      <c r="B1233">
        <v>296</v>
      </c>
      <c r="C1233">
        <v>292</v>
      </c>
      <c r="D1233" s="1">
        <v>0.98650000000000004</v>
      </c>
      <c r="E1233">
        <v>4</v>
      </c>
      <c r="F1233" s="2">
        <v>4.6296296296296294E-5</v>
      </c>
      <c r="G1233" s="2">
        <v>1.8518518518518519E-3</v>
      </c>
      <c r="H1233" s="2">
        <v>6.7129629629629625E-4</v>
      </c>
      <c r="I1233" s="1">
        <v>0.98629999999999995</v>
      </c>
    </row>
    <row r="1234" spans="1:9" x14ac:dyDescent="0.3">
      <c r="A1234">
        <v>1233</v>
      </c>
      <c r="B1234">
        <v>233</v>
      </c>
      <c r="C1234">
        <v>223</v>
      </c>
      <c r="D1234" s="1">
        <v>0.95709999999999995</v>
      </c>
      <c r="E1234">
        <v>10</v>
      </c>
      <c r="F1234" s="2">
        <v>1.0416666666666667E-4</v>
      </c>
      <c r="G1234" s="2">
        <v>1.9328703703703704E-3</v>
      </c>
      <c r="H1234" s="2">
        <v>1.2268518518518518E-3</v>
      </c>
      <c r="I1234" s="1">
        <v>0.87829999999999997</v>
      </c>
    </row>
    <row r="1235" spans="1:9" x14ac:dyDescent="0.3">
      <c r="A1235">
        <v>1234</v>
      </c>
      <c r="B1235">
        <v>198</v>
      </c>
      <c r="C1235">
        <v>194</v>
      </c>
      <c r="D1235" s="1">
        <v>0.9798</v>
      </c>
      <c r="E1235">
        <v>4</v>
      </c>
      <c r="F1235" s="2">
        <v>9.2592592592592588E-5</v>
      </c>
      <c r="G1235" s="2">
        <v>1.8749999999999999E-3</v>
      </c>
      <c r="H1235" s="2">
        <v>1.1921296296296296E-3</v>
      </c>
      <c r="I1235" s="1">
        <v>0.91790000000000005</v>
      </c>
    </row>
    <row r="1236" spans="1:9" x14ac:dyDescent="0.3">
      <c r="A1236">
        <v>1235</v>
      </c>
      <c r="B1236">
        <v>181</v>
      </c>
      <c r="C1236">
        <v>179</v>
      </c>
      <c r="D1236" s="1">
        <v>0.98899999999999999</v>
      </c>
      <c r="E1236">
        <v>2</v>
      </c>
      <c r="F1236" s="2">
        <v>4.6296296296296294E-5</v>
      </c>
      <c r="G1236" s="2">
        <v>1.8402777777777777E-3</v>
      </c>
      <c r="H1236" s="2">
        <v>5.5555555555555556E-4</v>
      </c>
      <c r="I1236" s="1">
        <v>0.99439999999999995</v>
      </c>
    </row>
    <row r="1237" spans="1:9" x14ac:dyDescent="0.3">
      <c r="A1237">
        <v>1236</v>
      </c>
      <c r="B1237">
        <v>166</v>
      </c>
      <c r="C1237">
        <v>162</v>
      </c>
      <c r="D1237" s="1">
        <v>0.97589999999999999</v>
      </c>
      <c r="E1237">
        <v>4</v>
      </c>
      <c r="F1237" s="2">
        <v>6.9444444444444444E-5</v>
      </c>
      <c r="G1237" s="2">
        <v>1.8402777777777777E-3</v>
      </c>
      <c r="H1237" s="2">
        <v>7.0601851851851847E-4</v>
      </c>
      <c r="I1237" s="1">
        <v>0.93869999999999998</v>
      </c>
    </row>
    <row r="1238" spans="1:9" x14ac:dyDescent="0.3">
      <c r="A1238">
        <v>1237</v>
      </c>
      <c r="B1238">
        <v>19</v>
      </c>
      <c r="C1238">
        <v>19</v>
      </c>
      <c r="D1238" s="1">
        <v>1</v>
      </c>
      <c r="E1238">
        <v>0</v>
      </c>
      <c r="F1238" s="2">
        <v>3.4722222222222222E-5</v>
      </c>
      <c r="G1238" s="2">
        <v>1.7013888888888888E-3</v>
      </c>
      <c r="H1238" s="2">
        <v>3.4722222222222222E-5</v>
      </c>
      <c r="I1238" s="1">
        <v>1</v>
      </c>
    </row>
    <row r="1239" spans="1:9" x14ac:dyDescent="0.3">
      <c r="A1239">
        <v>1238</v>
      </c>
      <c r="B1239">
        <v>196</v>
      </c>
      <c r="C1239">
        <v>181</v>
      </c>
      <c r="D1239" s="1">
        <v>0.92349999999999999</v>
      </c>
      <c r="E1239">
        <v>15</v>
      </c>
      <c r="F1239" s="2">
        <v>1.6203703703703703E-4</v>
      </c>
      <c r="G1239" s="2">
        <v>1.8171296296296297E-3</v>
      </c>
      <c r="H1239" s="2">
        <v>1.8055555555555555E-3</v>
      </c>
      <c r="I1239" s="1">
        <v>0.78129999999999999</v>
      </c>
    </row>
    <row r="1240" spans="1:9" x14ac:dyDescent="0.3">
      <c r="A1240">
        <v>1239</v>
      </c>
      <c r="B1240">
        <v>176</v>
      </c>
      <c r="C1240">
        <v>172</v>
      </c>
      <c r="D1240" s="1">
        <v>0.97729999999999995</v>
      </c>
      <c r="E1240">
        <v>4</v>
      </c>
      <c r="F1240" s="2">
        <v>1.8518518518518518E-4</v>
      </c>
      <c r="G1240" s="2">
        <v>1.736111111111111E-3</v>
      </c>
      <c r="H1240" s="2">
        <v>2.0370370370370369E-3</v>
      </c>
      <c r="I1240" s="1">
        <v>0.79430000000000001</v>
      </c>
    </row>
    <row r="1241" spans="1:9" x14ac:dyDescent="0.3">
      <c r="A1241">
        <v>1240</v>
      </c>
      <c r="B1241">
        <v>221</v>
      </c>
      <c r="C1241">
        <v>209</v>
      </c>
      <c r="D1241" s="1">
        <v>0.94569999999999999</v>
      </c>
      <c r="E1241">
        <v>12</v>
      </c>
      <c r="F1241" s="2">
        <v>1.3888888888888889E-4</v>
      </c>
      <c r="G1241" s="2">
        <v>1.8749999999999999E-3</v>
      </c>
      <c r="H1241" s="2">
        <v>1.9675925925925924E-3</v>
      </c>
      <c r="I1241" s="1">
        <v>0.8387</v>
      </c>
    </row>
    <row r="1242" spans="1:9" x14ac:dyDescent="0.3">
      <c r="A1242">
        <v>1241</v>
      </c>
      <c r="B1242">
        <v>196</v>
      </c>
      <c r="C1242">
        <v>191</v>
      </c>
      <c r="D1242" s="1">
        <v>0.97450000000000003</v>
      </c>
      <c r="E1242">
        <v>5</v>
      </c>
      <c r="F1242" s="2">
        <v>1.6203703703703703E-4</v>
      </c>
      <c r="G1242" s="2">
        <v>1.9791666666666668E-3</v>
      </c>
      <c r="H1242" s="2">
        <v>4.0972222222222226E-3</v>
      </c>
      <c r="I1242" s="1">
        <v>0.86009999999999998</v>
      </c>
    </row>
    <row r="1243" spans="1:9" x14ac:dyDescent="0.3">
      <c r="A1243">
        <v>1242</v>
      </c>
      <c r="B1243">
        <v>211</v>
      </c>
      <c r="C1243">
        <v>202</v>
      </c>
      <c r="D1243" s="1">
        <v>0.95730000000000004</v>
      </c>
      <c r="E1243">
        <v>9</v>
      </c>
      <c r="F1243" s="2">
        <v>1.7361111111111112E-4</v>
      </c>
      <c r="G1243" s="2">
        <v>1.9212962962962964E-3</v>
      </c>
      <c r="H1243" s="2">
        <v>2.0138888888888888E-3</v>
      </c>
      <c r="I1243" s="1">
        <v>0.79330000000000001</v>
      </c>
    </row>
    <row r="1244" spans="1:9" x14ac:dyDescent="0.3">
      <c r="A1244">
        <v>1243</v>
      </c>
      <c r="B1244">
        <v>201</v>
      </c>
      <c r="C1244">
        <v>194</v>
      </c>
      <c r="D1244" s="1">
        <v>0.96519999999999995</v>
      </c>
      <c r="E1244">
        <v>7</v>
      </c>
      <c r="F1244" s="2">
        <v>1.8518518518518518E-4</v>
      </c>
      <c r="G1244" s="2">
        <v>1.9560185185185184E-3</v>
      </c>
      <c r="H1244" s="2">
        <v>2.4074074074074076E-3</v>
      </c>
      <c r="I1244" s="1">
        <v>0.81410000000000005</v>
      </c>
    </row>
    <row r="1245" spans="1:9" x14ac:dyDescent="0.3">
      <c r="A1245">
        <v>1244</v>
      </c>
      <c r="B1245">
        <v>23</v>
      </c>
      <c r="C1245">
        <v>22</v>
      </c>
      <c r="D1245" s="1">
        <v>0.95650000000000002</v>
      </c>
      <c r="E1245">
        <v>1</v>
      </c>
      <c r="F1245" s="2">
        <v>1.1574074074074075E-4</v>
      </c>
      <c r="G1245" s="2">
        <v>2.1064814814814813E-3</v>
      </c>
      <c r="H1245" s="2">
        <v>7.1759259259259259E-4</v>
      </c>
      <c r="I1245" s="1">
        <v>0.82609999999999995</v>
      </c>
    </row>
    <row r="1246" spans="1:9" x14ac:dyDescent="0.3">
      <c r="A1246">
        <v>1245</v>
      </c>
      <c r="B1246">
        <v>225</v>
      </c>
      <c r="C1246">
        <v>210</v>
      </c>
      <c r="D1246" s="1">
        <v>0.93330000000000002</v>
      </c>
      <c r="E1246">
        <v>15</v>
      </c>
      <c r="F1246" s="2">
        <v>1.1574074074074075E-4</v>
      </c>
      <c r="G1246" s="2">
        <v>1.8171296296296297E-3</v>
      </c>
      <c r="H1246" s="2">
        <v>2.5115740740740741E-3</v>
      </c>
      <c r="I1246" s="1">
        <v>0.85909999999999997</v>
      </c>
    </row>
    <row r="1247" spans="1:9" x14ac:dyDescent="0.3">
      <c r="A1247">
        <v>1246</v>
      </c>
      <c r="B1247">
        <v>202</v>
      </c>
      <c r="C1247">
        <v>195</v>
      </c>
      <c r="D1247" s="1">
        <v>0.96530000000000005</v>
      </c>
      <c r="E1247">
        <v>7</v>
      </c>
      <c r="F1247" s="2">
        <v>1.273148148148148E-4</v>
      </c>
      <c r="G1247" s="2">
        <v>1.9328703703703704E-3</v>
      </c>
      <c r="H1247" s="2">
        <v>1.2962962962962963E-3</v>
      </c>
      <c r="I1247" s="1">
        <v>0.86799999999999999</v>
      </c>
    </row>
    <row r="1248" spans="1:9" x14ac:dyDescent="0.3">
      <c r="A1248">
        <v>1247</v>
      </c>
      <c r="B1248">
        <v>191</v>
      </c>
      <c r="C1248">
        <v>184</v>
      </c>
      <c r="D1248" s="1">
        <v>0.96340000000000003</v>
      </c>
      <c r="E1248">
        <v>7</v>
      </c>
      <c r="F1248" s="2">
        <v>8.1018518518518516E-5</v>
      </c>
      <c r="G1248" s="2">
        <v>1.9675925925925924E-3</v>
      </c>
      <c r="H1248" s="2">
        <v>1.3425925925925925E-3</v>
      </c>
      <c r="I1248" s="1">
        <v>0.92549999999999999</v>
      </c>
    </row>
    <row r="1249" spans="1:9" x14ac:dyDescent="0.3">
      <c r="A1249">
        <v>1248</v>
      </c>
      <c r="B1249">
        <v>212</v>
      </c>
      <c r="C1249">
        <v>209</v>
      </c>
      <c r="D1249" s="1">
        <v>0.98580000000000001</v>
      </c>
      <c r="E1249">
        <v>3</v>
      </c>
      <c r="F1249" s="2">
        <v>1.1574074074074075E-4</v>
      </c>
      <c r="G1249" s="2">
        <v>1.9791666666666668E-3</v>
      </c>
      <c r="H1249" s="2">
        <v>1.2152777777777778E-3</v>
      </c>
      <c r="I1249" s="1">
        <v>0.89100000000000001</v>
      </c>
    </row>
    <row r="1250" spans="1:9" x14ac:dyDescent="0.3">
      <c r="A1250">
        <v>1249</v>
      </c>
      <c r="B1250">
        <v>210</v>
      </c>
      <c r="C1250">
        <v>203</v>
      </c>
      <c r="D1250" s="1">
        <v>0.9667</v>
      </c>
      <c r="E1250">
        <v>7</v>
      </c>
      <c r="F1250" s="2">
        <v>1.3888888888888889E-4</v>
      </c>
      <c r="G1250" s="2">
        <v>2.3379629629629631E-3</v>
      </c>
      <c r="H1250" s="2">
        <v>2.685185185185185E-3</v>
      </c>
      <c r="I1250" s="1">
        <v>0.85240000000000005</v>
      </c>
    </row>
    <row r="1251" spans="1:9" x14ac:dyDescent="0.3">
      <c r="A1251">
        <v>1250</v>
      </c>
      <c r="B1251">
        <v>167</v>
      </c>
      <c r="C1251">
        <v>159</v>
      </c>
      <c r="D1251" s="1">
        <v>0.95209999999999995</v>
      </c>
      <c r="E1251">
        <v>8</v>
      </c>
      <c r="F1251" s="2">
        <v>1.8518518518518518E-4</v>
      </c>
      <c r="G1251" s="2">
        <v>2.2685185185185187E-3</v>
      </c>
      <c r="H1251" s="2">
        <v>1.8749999999999999E-3</v>
      </c>
      <c r="I1251" s="1">
        <v>0.83030000000000004</v>
      </c>
    </row>
    <row r="1252" spans="1:9" x14ac:dyDescent="0.3">
      <c r="A1252">
        <v>1251</v>
      </c>
      <c r="B1252">
        <v>12</v>
      </c>
      <c r="C1252">
        <v>11</v>
      </c>
      <c r="D1252" s="1">
        <v>0.91669999999999996</v>
      </c>
      <c r="E1252">
        <v>1</v>
      </c>
      <c r="F1252" s="2">
        <v>3.4722222222222222E-5</v>
      </c>
      <c r="G1252" s="2">
        <v>1.5277777777777779E-3</v>
      </c>
      <c r="H1252" s="2">
        <v>6.7129629629629625E-4</v>
      </c>
      <c r="I1252" s="1">
        <v>0.91669999999999996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7236-FEB8-47E0-B842-986EAE1FC3BF}">
  <dimension ref="A1:P1261"/>
  <sheetViews>
    <sheetView topLeftCell="D1" zoomScale="88" zoomScaleNormal="88" workbookViewId="0">
      <selection activeCell="O16" sqref="O16:P19"/>
    </sheetView>
  </sheetViews>
  <sheetFormatPr defaultColWidth="13" defaultRowHeight="14.4" x14ac:dyDescent="0.3"/>
  <cols>
    <col min="1" max="1" width="12.6640625" style="9" bestFit="1" customWidth="1"/>
    <col min="2" max="2" width="13.44140625" style="9" bestFit="1" customWidth="1"/>
    <col min="3" max="3" width="11" style="1" bestFit="1" customWidth="1"/>
    <col min="4" max="4" width="14.5546875" style="9" bestFit="1" customWidth="1"/>
    <col min="5" max="5" width="17.5546875" style="10" bestFit="1" customWidth="1"/>
    <col min="6" max="6" width="16.5546875" style="10" bestFit="1" customWidth="1"/>
    <col min="7" max="7" width="16.33203125" style="10" bestFit="1" customWidth="1"/>
    <col min="8" max="8" width="22.33203125" style="10" bestFit="1" customWidth="1"/>
    <col min="9" max="10" width="22.33203125" style="1" customWidth="1"/>
    <col min="11" max="11" width="16.6640625" style="9" bestFit="1" customWidth="1"/>
    <col min="12" max="12" width="16.33203125" style="1" bestFit="1" customWidth="1"/>
    <col min="13" max="13" width="15.21875" style="1" bestFit="1" customWidth="1"/>
    <col min="15" max="15" width="19.33203125" bestFit="1" customWidth="1"/>
    <col min="16" max="16" width="15.5546875" customWidth="1"/>
  </cols>
  <sheetData>
    <row r="1" spans="1:16" x14ac:dyDescent="0.3">
      <c r="A1" s="15" t="s">
        <v>1</v>
      </c>
      <c r="B1" s="15" t="s">
        <v>2</v>
      </c>
      <c r="C1" s="16" t="s">
        <v>3</v>
      </c>
      <c r="D1" s="15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6" t="s">
        <v>98</v>
      </c>
      <c r="J1" s="16" t="s">
        <v>99</v>
      </c>
      <c r="K1" s="15" t="s">
        <v>95</v>
      </c>
      <c r="L1" s="16" t="s">
        <v>96</v>
      </c>
      <c r="M1" s="16" t="s">
        <v>97</v>
      </c>
      <c r="O1" s="12" t="s">
        <v>111</v>
      </c>
      <c r="P1" s="12"/>
    </row>
    <row r="2" spans="1:16" x14ac:dyDescent="0.3">
      <c r="A2" s="22">
        <v>217</v>
      </c>
      <c r="B2" s="22">
        <v>204</v>
      </c>
      <c r="C2" s="23">
        <v>0.94010000000000005</v>
      </c>
      <c r="D2" s="22">
        <v>13</v>
      </c>
      <c r="E2" s="24">
        <v>1.9675925925925926E-4</v>
      </c>
      <c r="F2" s="24">
        <v>1.5509259259259259E-3</v>
      </c>
      <c r="G2" s="24">
        <v>1.9097222222222222E-3</v>
      </c>
      <c r="H2" s="24">
        <v>0.76280092592592597</v>
      </c>
      <c r="I2" s="18">
        <f>VALUE(SUBSTITUTE(C2,"%",""))/100</f>
        <v>9.4009999999999996E-3</v>
      </c>
      <c r="J2" s="18">
        <f>VALUE(SUBSTITUTE(H2,"%",""))/100</f>
        <v>7.6280092592592597E-3</v>
      </c>
      <c r="K2" s="19">
        <f>A2-B2</f>
        <v>13</v>
      </c>
      <c r="L2" s="18">
        <f>D2/A2</f>
        <v>5.9907834101382486E-2</v>
      </c>
      <c r="M2" s="18">
        <f>B2/A2</f>
        <v>0.94009216589861755</v>
      </c>
      <c r="O2" s="13" t="s">
        <v>53</v>
      </c>
      <c r="P2" s="19">
        <f>SUM(A:A)</f>
        <v>248373</v>
      </c>
    </row>
    <row r="3" spans="1:16" x14ac:dyDescent="0.3">
      <c r="A3" s="22">
        <v>200</v>
      </c>
      <c r="B3" s="22">
        <v>182</v>
      </c>
      <c r="C3" s="23">
        <v>0.91</v>
      </c>
      <c r="D3" s="22">
        <v>18</v>
      </c>
      <c r="E3" s="24">
        <v>2.3148148148148149E-4</v>
      </c>
      <c r="F3" s="24">
        <v>1.6435185185185185E-3</v>
      </c>
      <c r="G3" s="24">
        <v>4.8032407407407407E-3</v>
      </c>
      <c r="H3" s="24">
        <v>0.72729999999999995</v>
      </c>
      <c r="I3" s="18">
        <f t="shared" ref="I3:I66" si="0">VALUE(SUBSTITUTE(C3,"%",""))/100</f>
        <v>9.1000000000000004E-3</v>
      </c>
      <c r="J3" s="18">
        <f t="shared" ref="J3:J4" si="1">VALUE(SUBSTITUTE(H3,"%",""))/100</f>
        <v>7.2729999999999991E-3</v>
      </c>
      <c r="K3" s="19">
        <f t="shared" ref="K3:K66" si="2">A3-B3</f>
        <v>18</v>
      </c>
      <c r="L3" s="18">
        <f t="shared" ref="L3:L66" si="3">D3/A3</f>
        <v>0.09</v>
      </c>
      <c r="M3" s="18">
        <f t="shared" ref="M3:M66" si="4">B3/A3</f>
        <v>0.91</v>
      </c>
      <c r="O3" s="13" t="s">
        <v>55</v>
      </c>
      <c r="P3" s="14">
        <f>SUM(B:B)</f>
        <v>221234</v>
      </c>
    </row>
    <row r="4" spans="1:16" x14ac:dyDescent="0.3">
      <c r="A4" s="22">
        <v>216</v>
      </c>
      <c r="B4" s="22">
        <v>198</v>
      </c>
      <c r="C4" s="23">
        <v>0.91669999999999996</v>
      </c>
      <c r="D4" s="22">
        <v>18</v>
      </c>
      <c r="E4" s="24">
        <v>2.0833333333333335E-4</v>
      </c>
      <c r="F4" s="24">
        <v>1.8287037037037037E-3</v>
      </c>
      <c r="G4" s="24">
        <v>2.662037037037037E-3</v>
      </c>
      <c r="H4" s="24">
        <v>0.74299999999999999</v>
      </c>
      <c r="I4" s="18">
        <f t="shared" si="0"/>
        <v>9.1669999999999998E-3</v>
      </c>
      <c r="J4" s="18">
        <f t="shared" si="1"/>
        <v>7.43E-3</v>
      </c>
      <c r="K4" s="19">
        <f t="shared" si="2"/>
        <v>18</v>
      </c>
      <c r="L4" s="18">
        <f t="shared" si="3"/>
        <v>8.3333333333333329E-2</v>
      </c>
      <c r="M4" s="18">
        <f t="shared" si="4"/>
        <v>0.91666666666666663</v>
      </c>
      <c r="O4" s="13" t="s">
        <v>59</v>
      </c>
      <c r="P4" s="14">
        <f>SUM(D:D)</f>
        <v>27139</v>
      </c>
    </row>
    <row r="5" spans="1:16" x14ac:dyDescent="0.3">
      <c r="A5" s="22">
        <v>155</v>
      </c>
      <c r="B5" s="22">
        <v>145</v>
      </c>
      <c r="C5" s="23">
        <v>0.9355</v>
      </c>
      <c r="D5" s="22">
        <v>10</v>
      </c>
      <c r="E5" s="24">
        <v>1.7361111111111112E-4</v>
      </c>
      <c r="F5" s="24">
        <v>1.724537037037037E-3</v>
      </c>
      <c r="G5" s="24">
        <v>2.2222222222222222E-3</v>
      </c>
      <c r="H5" s="24">
        <v>0.79610000000000003</v>
      </c>
      <c r="I5" s="18">
        <f t="shared" si="0"/>
        <v>9.3550000000000005E-3</v>
      </c>
      <c r="J5" s="18">
        <f>VALUE(SUBSTITUTE(H5,"%",""))/100</f>
        <v>7.9610000000000011E-3</v>
      </c>
      <c r="K5" s="19">
        <f t="shared" si="2"/>
        <v>10</v>
      </c>
      <c r="L5" s="18">
        <f t="shared" si="3"/>
        <v>6.4516129032258063E-2</v>
      </c>
      <c r="M5" s="18">
        <f t="shared" si="4"/>
        <v>0.93548387096774188</v>
      </c>
      <c r="O5" s="13" t="s">
        <v>100</v>
      </c>
      <c r="P5" s="18">
        <f>AVERAGE(C:C)</f>
        <v>0.92692517985611511</v>
      </c>
    </row>
    <row r="6" spans="1:16" x14ac:dyDescent="0.3">
      <c r="A6" s="22">
        <v>37</v>
      </c>
      <c r="B6" s="22">
        <v>37</v>
      </c>
      <c r="C6" s="23">
        <v>1</v>
      </c>
      <c r="D6" s="22">
        <v>0</v>
      </c>
      <c r="E6" s="24">
        <v>3.4722222222222222E-5</v>
      </c>
      <c r="F6" s="24">
        <v>1.4583333333333334E-3</v>
      </c>
      <c r="G6" s="24">
        <v>4.0509259259259258E-4</v>
      </c>
      <c r="H6" s="24">
        <v>0.97299999999999998</v>
      </c>
      <c r="I6" s="18">
        <f t="shared" si="0"/>
        <v>0.01</v>
      </c>
      <c r="J6" s="18">
        <f t="shared" ref="J6:J69" si="5">VALUE(SUBSTITUTE(H6,"%",""))/100</f>
        <v>9.7299999999999991E-3</v>
      </c>
      <c r="K6" s="19">
        <f t="shared" si="2"/>
        <v>0</v>
      </c>
      <c r="L6" s="18">
        <f t="shared" si="3"/>
        <v>0</v>
      </c>
      <c r="M6" s="18">
        <f t="shared" si="4"/>
        <v>1</v>
      </c>
      <c r="O6" s="13" t="s">
        <v>101</v>
      </c>
      <c r="P6" s="25">
        <f>AVERAGE(G:G)</f>
        <v>2.6888304171477657E-3</v>
      </c>
    </row>
    <row r="7" spans="1:16" x14ac:dyDescent="0.3">
      <c r="A7" s="22">
        <v>315</v>
      </c>
      <c r="B7" s="22">
        <v>304</v>
      </c>
      <c r="C7" s="23">
        <v>0.96509999999999996</v>
      </c>
      <c r="D7" s="22">
        <v>11</v>
      </c>
      <c r="E7" s="24">
        <v>2.0833333333333335E-4</v>
      </c>
      <c r="F7" s="24">
        <v>1.0995370370370371E-3</v>
      </c>
      <c r="G7" s="24">
        <v>1.8171296296296297E-3</v>
      </c>
      <c r="H7" s="24">
        <v>0.77170000000000005</v>
      </c>
      <c r="I7" s="18">
        <f t="shared" si="0"/>
        <v>9.6509999999999999E-3</v>
      </c>
      <c r="J7" s="18">
        <f t="shared" si="5"/>
        <v>7.7170000000000008E-3</v>
      </c>
      <c r="K7" s="19">
        <f t="shared" si="2"/>
        <v>11</v>
      </c>
      <c r="L7" s="18">
        <f t="shared" si="3"/>
        <v>3.4920634920634921E-2</v>
      </c>
      <c r="M7" s="18">
        <f t="shared" si="4"/>
        <v>0.96507936507936509</v>
      </c>
      <c r="O7" s="13" t="s">
        <v>102</v>
      </c>
      <c r="P7" s="18">
        <f>AVERAGE(H:H)</f>
        <v>0.70872909746277013</v>
      </c>
    </row>
    <row r="8" spans="1:16" x14ac:dyDescent="0.3">
      <c r="A8" s="22">
        <v>252</v>
      </c>
      <c r="B8" s="22">
        <v>244</v>
      </c>
      <c r="C8" s="23">
        <v>0.96830000000000005</v>
      </c>
      <c r="D8" s="22">
        <v>8</v>
      </c>
      <c r="E8" s="24">
        <v>1.5046296296296297E-4</v>
      </c>
      <c r="F8" s="24">
        <v>1.2731481481481483E-3</v>
      </c>
      <c r="G8" s="24">
        <v>1.4120370370370369E-3</v>
      </c>
      <c r="H8" s="24">
        <v>0.82</v>
      </c>
      <c r="I8" s="18">
        <f t="shared" si="0"/>
        <v>9.6830000000000006E-3</v>
      </c>
      <c r="J8" s="18">
        <f t="shared" si="5"/>
        <v>8.199999999999999E-3</v>
      </c>
      <c r="K8" s="19">
        <f t="shared" si="2"/>
        <v>8</v>
      </c>
      <c r="L8" s="18">
        <f t="shared" si="3"/>
        <v>3.1746031746031744E-2</v>
      </c>
      <c r="M8" s="18">
        <f t="shared" si="4"/>
        <v>0.96825396825396826</v>
      </c>
    </row>
    <row r="9" spans="1:16" x14ac:dyDescent="0.3">
      <c r="A9" s="22">
        <v>213</v>
      </c>
      <c r="B9" s="22">
        <v>205</v>
      </c>
      <c r="C9" s="23">
        <v>0.96240000000000003</v>
      </c>
      <c r="D9" s="22">
        <v>8</v>
      </c>
      <c r="E9" s="24">
        <v>1.1574074074074075E-4</v>
      </c>
      <c r="F9" s="24">
        <v>1.5046296296296296E-3</v>
      </c>
      <c r="G9" s="24">
        <v>2.3379629629629631E-3</v>
      </c>
      <c r="H9" s="24">
        <v>0.88100000000000001</v>
      </c>
      <c r="I9" s="18">
        <f t="shared" si="0"/>
        <v>9.6240000000000006E-3</v>
      </c>
      <c r="J9" s="18">
        <f t="shared" si="5"/>
        <v>8.8100000000000001E-3</v>
      </c>
      <c r="K9" s="19">
        <f t="shared" si="2"/>
        <v>8</v>
      </c>
      <c r="L9" s="18">
        <f t="shared" si="3"/>
        <v>3.7558685446009391E-2</v>
      </c>
      <c r="M9" s="18">
        <f t="shared" si="4"/>
        <v>0.96244131455399062</v>
      </c>
      <c r="O9" s="30" t="s">
        <v>111</v>
      </c>
      <c r="P9" s="31"/>
    </row>
    <row r="10" spans="1:16" x14ac:dyDescent="0.3">
      <c r="A10" s="22">
        <v>219</v>
      </c>
      <c r="B10" s="22">
        <v>200</v>
      </c>
      <c r="C10" s="23">
        <v>0.91320000000000001</v>
      </c>
      <c r="D10" s="22">
        <v>19</v>
      </c>
      <c r="E10" s="24">
        <v>1.7361111111111112E-4</v>
      </c>
      <c r="F10" s="24">
        <v>1.5972222222222223E-3</v>
      </c>
      <c r="G10" s="24">
        <v>4.3055555555555555E-3</v>
      </c>
      <c r="H10" s="24">
        <v>0.79449999999999998</v>
      </c>
      <c r="I10" s="18">
        <f t="shared" si="0"/>
        <v>9.1319999999999995E-3</v>
      </c>
      <c r="J10" s="18">
        <f t="shared" si="5"/>
        <v>7.9450000000000007E-3</v>
      </c>
      <c r="K10" s="19">
        <f t="shared" si="2"/>
        <v>19</v>
      </c>
      <c r="L10" s="18">
        <f t="shared" si="3"/>
        <v>8.6757990867579904E-2</v>
      </c>
      <c r="M10" s="18">
        <f t="shared" si="4"/>
        <v>0.91324200913242004</v>
      </c>
      <c r="O10" s="13" t="s">
        <v>98</v>
      </c>
      <c r="P10" s="18">
        <f>AVERAGE(I:I)</f>
        <v>9.2692517985611556E-3</v>
      </c>
    </row>
    <row r="11" spans="1:16" x14ac:dyDescent="0.3">
      <c r="A11" s="22">
        <v>371</v>
      </c>
      <c r="B11" s="22">
        <v>348</v>
      </c>
      <c r="C11" s="23">
        <v>0.93799999999999994</v>
      </c>
      <c r="D11" s="22">
        <v>23</v>
      </c>
      <c r="E11" s="24">
        <v>2.199074074074074E-4</v>
      </c>
      <c r="F11" s="24">
        <v>1.1574074074074073E-3</v>
      </c>
      <c r="G11" s="24">
        <v>2.4189814814814816E-3</v>
      </c>
      <c r="H11" s="24">
        <v>0.73629999999999995</v>
      </c>
      <c r="I11" s="18">
        <f t="shared" si="0"/>
        <v>9.3799999999999994E-3</v>
      </c>
      <c r="J11" s="18">
        <f t="shared" si="5"/>
        <v>7.3629999999999998E-3</v>
      </c>
      <c r="K11" s="19">
        <f t="shared" si="2"/>
        <v>23</v>
      </c>
      <c r="L11" s="18">
        <f t="shared" si="3"/>
        <v>6.1994609164420483E-2</v>
      </c>
      <c r="M11" s="18">
        <f t="shared" si="4"/>
        <v>0.93800539083557954</v>
      </c>
      <c r="O11" s="13" t="s">
        <v>99</v>
      </c>
      <c r="P11" s="18">
        <f>AVERAGE(J:J)</f>
        <v>7.0872909746276932E-3</v>
      </c>
    </row>
    <row r="12" spans="1:16" x14ac:dyDescent="0.3">
      <c r="A12" s="22">
        <v>166</v>
      </c>
      <c r="B12" s="22">
        <v>164</v>
      </c>
      <c r="C12" s="23">
        <v>0.98799999999999999</v>
      </c>
      <c r="D12" s="22">
        <v>2</v>
      </c>
      <c r="E12" s="24">
        <v>1.3888888888888889E-4</v>
      </c>
      <c r="F12" s="24">
        <v>1.5046296296296296E-3</v>
      </c>
      <c r="G12" s="24">
        <v>1.9212962962962964E-3</v>
      </c>
      <c r="H12" s="24">
        <v>0.81330000000000002</v>
      </c>
      <c r="I12" s="18">
        <f t="shared" si="0"/>
        <v>9.8799999999999999E-3</v>
      </c>
      <c r="J12" s="18">
        <f t="shared" si="5"/>
        <v>8.1329999999999996E-3</v>
      </c>
      <c r="K12" s="19">
        <f t="shared" si="2"/>
        <v>2</v>
      </c>
      <c r="L12" s="18">
        <f t="shared" si="3"/>
        <v>1.2048192771084338E-2</v>
      </c>
      <c r="M12" s="18">
        <f t="shared" si="4"/>
        <v>0.98795180722891562</v>
      </c>
      <c r="O12" s="13" t="s">
        <v>95</v>
      </c>
      <c r="P12" s="19">
        <f>SUM(K:K)</f>
        <v>27139</v>
      </c>
    </row>
    <row r="13" spans="1:16" x14ac:dyDescent="0.3">
      <c r="A13" s="22">
        <v>32</v>
      </c>
      <c r="B13" s="22">
        <v>32</v>
      </c>
      <c r="C13" s="23">
        <v>1</v>
      </c>
      <c r="D13" s="22">
        <v>0</v>
      </c>
      <c r="E13" s="24">
        <v>2.3148148148148147E-5</v>
      </c>
      <c r="F13" s="24">
        <v>1.4236111111111112E-3</v>
      </c>
      <c r="G13" s="24">
        <v>3.4722222222222222E-5</v>
      </c>
      <c r="H13" s="24">
        <v>1</v>
      </c>
      <c r="I13" s="18">
        <f t="shared" si="0"/>
        <v>0.01</v>
      </c>
      <c r="J13" s="18">
        <f t="shared" si="5"/>
        <v>0.01</v>
      </c>
      <c r="K13" s="19">
        <f t="shared" si="2"/>
        <v>0</v>
      </c>
      <c r="L13" s="18">
        <f t="shared" si="3"/>
        <v>0</v>
      </c>
      <c r="M13" s="18">
        <f t="shared" si="4"/>
        <v>1</v>
      </c>
      <c r="O13" s="13" t="s">
        <v>96</v>
      </c>
      <c r="P13" s="18">
        <f>AVERAGE(L:L)</f>
        <v>7.307656871228109E-2</v>
      </c>
    </row>
    <row r="14" spans="1:16" x14ac:dyDescent="0.3">
      <c r="A14" s="22">
        <v>231</v>
      </c>
      <c r="B14" s="22">
        <v>222</v>
      </c>
      <c r="C14" s="23">
        <v>0.96099999999999997</v>
      </c>
      <c r="D14" s="22">
        <v>9</v>
      </c>
      <c r="E14" s="24">
        <v>9.2592592592592588E-5</v>
      </c>
      <c r="F14" s="24">
        <v>1.261574074074074E-3</v>
      </c>
      <c r="G14" s="24">
        <v>1.5972222222222223E-3</v>
      </c>
      <c r="H14" s="24">
        <v>0.86460000000000004</v>
      </c>
      <c r="I14" s="18">
        <f t="shared" si="0"/>
        <v>9.6100000000000005E-3</v>
      </c>
      <c r="J14" s="18">
        <f t="shared" si="5"/>
        <v>8.6460000000000009E-3</v>
      </c>
      <c r="K14" s="19">
        <f t="shared" si="2"/>
        <v>9</v>
      </c>
      <c r="L14" s="18">
        <f t="shared" si="3"/>
        <v>3.896103896103896E-2</v>
      </c>
      <c r="M14" s="18">
        <f t="shared" si="4"/>
        <v>0.96103896103896103</v>
      </c>
      <c r="O14" s="13" t="s">
        <v>122</v>
      </c>
      <c r="P14" s="18">
        <f>AVERAGE(M:M)</f>
        <v>0.92692343128772037</v>
      </c>
    </row>
    <row r="15" spans="1:16" x14ac:dyDescent="0.3">
      <c r="A15" s="22">
        <v>205</v>
      </c>
      <c r="B15" s="22">
        <v>197</v>
      </c>
      <c r="C15" s="23">
        <v>0.96099999999999997</v>
      </c>
      <c r="D15" s="22">
        <v>8</v>
      </c>
      <c r="E15" s="24">
        <v>8.1018518518518516E-5</v>
      </c>
      <c r="F15" s="24">
        <v>1.2962962962962963E-3</v>
      </c>
      <c r="G15" s="24">
        <v>1.9444444444444444E-3</v>
      </c>
      <c r="H15" s="24">
        <v>0.92610000000000003</v>
      </c>
      <c r="I15" s="18">
        <f t="shared" si="0"/>
        <v>9.6100000000000005E-3</v>
      </c>
      <c r="J15" s="18">
        <f t="shared" si="5"/>
        <v>9.2610000000000001E-3</v>
      </c>
      <c r="K15" s="19">
        <f t="shared" si="2"/>
        <v>8</v>
      </c>
      <c r="L15" s="18">
        <f t="shared" si="3"/>
        <v>3.9024390243902439E-2</v>
      </c>
      <c r="M15" s="18">
        <f t="shared" si="4"/>
        <v>0.96097560975609753</v>
      </c>
    </row>
    <row r="16" spans="1:16" x14ac:dyDescent="0.3">
      <c r="A16" s="22">
        <v>338</v>
      </c>
      <c r="B16" s="22">
        <v>313</v>
      </c>
      <c r="C16" s="23">
        <v>0.92600000000000005</v>
      </c>
      <c r="D16" s="22">
        <v>25</v>
      </c>
      <c r="E16" s="24">
        <v>1.5046296296296297E-4</v>
      </c>
      <c r="F16" s="24">
        <v>1.2847222222222223E-3</v>
      </c>
      <c r="G16" s="24">
        <v>2.5462962962962965E-3</v>
      </c>
      <c r="H16" s="24">
        <v>0.80059999999999998</v>
      </c>
      <c r="I16" s="18">
        <f t="shared" si="0"/>
        <v>9.2600000000000009E-3</v>
      </c>
      <c r="J16" s="18">
        <f t="shared" si="5"/>
        <v>8.0059999999999992E-3</v>
      </c>
      <c r="K16" s="19">
        <f t="shared" si="2"/>
        <v>25</v>
      </c>
      <c r="L16" s="18">
        <f t="shared" si="3"/>
        <v>7.3964497041420121E-2</v>
      </c>
      <c r="M16" s="18">
        <f t="shared" si="4"/>
        <v>0.92603550295857984</v>
      </c>
      <c r="O16" s="36" t="s">
        <v>111</v>
      </c>
      <c r="P16" s="38"/>
    </row>
    <row r="17" spans="1:16" x14ac:dyDescent="0.3">
      <c r="A17" s="22">
        <v>180</v>
      </c>
      <c r="B17" s="22">
        <v>174</v>
      </c>
      <c r="C17" s="23">
        <v>0.9667</v>
      </c>
      <c r="D17" s="22">
        <v>6</v>
      </c>
      <c r="E17" s="24">
        <v>1.5046296296296297E-4</v>
      </c>
      <c r="F17" s="24">
        <v>1.5972222222222223E-3</v>
      </c>
      <c r="G17" s="24">
        <v>2.3842592592592591E-3</v>
      </c>
      <c r="H17" s="24">
        <v>0.83799999999999997</v>
      </c>
      <c r="I17" s="18">
        <f t="shared" si="0"/>
        <v>9.6670000000000002E-3</v>
      </c>
      <c r="J17" s="18">
        <f t="shared" si="5"/>
        <v>8.3800000000000003E-3</v>
      </c>
      <c r="K17" s="19">
        <f t="shared" si="2"/>
        <v>6</v>
      </c>
      <c r="L17" s="18">
        <f t="shared" si="3"/>
        <v>3.3333333333333333E-2</v>
      </c>
      <c r="M17" s="18">
        <f t="shared" si="4"/>
        <v>0.96666666666666667</v>
      </c>
      <c r="O17" s="13" t="s">
        <v>124</v>
      </c>
      <c r="P17" s="25">
        <f>AVERAGE(E:E)</f>
        <v>2.8816761405690258E-4</v>
      </c>
    </row>
    <row r="18" spans="1:16" x14ac:dyDescent="0.3">
      <c r="A18" s="22">
        <v>226</v>
      </c>
      <c r="B18" s="22">
        <v>211</v>
      </c>
      <c r="C18" s="23">
        <v>0.93359999999999999</v>
      </c>
      <c r="D18" s="22">
        <v>15</v>
      </c>
      <c r="E18" s="24">
        <v>2.3148148148148149E-4</v>
      </c>
      <c r="F18" s="24">
        <v>1.4351851851851852E-3</v>
      </c>
      <c r="G18" s="24">
        <v>3.3912037037037036E-3</v>
      </c>
      <c r="H18" s="24">
        <v>0.76229999999999998</v>
      </c>
      <c r="I18" s="18">
        <f t="shared" si="0"/>
        <v>9.3360000000000005E-3</v>
      </c>
      <c r="J18" s="18">
        <f t="shared" si="5"/>
        <v>7.6229999999999996E-3</v>
      </c>
      <c r="K18" s="19">
        <f t="shared" si="2"/>
        <v>15</v>
      </c>
      <c r="L18" s="18">
        <f t="shared" si="3"/>
        <v>6.637168141592921E-2</v>
      </c>
      <c r="M18" s="18">
        <f t="shared" si="4"/>
        <v>0.9336283185840708</v>
      </c>
      <c r="O18" s="13" t="s">
        <v>125</v>
      </c>
      <c r="P18" s="25">
        <f>AVERAGE(F:F)</f>
        <v>1.8235134114930262E-3</v>
      </c>
    </row>
    <row r="19" spans="1:16" x14ac:dyDescent="0.3">
      <c r="A19" s="22">
        <v>226</v>
      </c>
      <c r="B19" s="22">
        <v>212</v>
      </c>
      <c r="C19" s="23">
        <v>0.93810000000000004</v>
      </c>
      <c r="D19" s="22">
        <v>14</v>
      </c>
      <c r="E19" s="24">
        <v>1.1574074074074075E-4</v>
      </c>
      <c r="F19" s="24">
        <v>1.4236111111111112E-3</v>
      </c>
      <c r="G19" s="24">
        <v>1.9097222222222222E-3</v>
      </c>
      <c r="H19" s="24">
        <v>0.84440000000000004</v>
      </c>
      <c r="I19" s="18">
        <f t="shared" si="0"/>
        <v>9.3810000000000004E-3</v>
      </c>
      <c r="J19" s="18">
        <f t="shared" si="5"/>
        <v>8.4440000000000001E-3</v>
      </c>
      <c r="K19" s="19">
        <f t="shared" si="2"/>
        <v>14</v>
      </c>
      <c r="L19" s="18">
        <f t="shared" si="3"/>
        <v>6.1946902654867256E-2</v>
      </c>
      <c r="M19" s="18">
        <f t="shared" si="4"/>
        <v>0.93805309734513276</v>
      </c>
      <c r="O19" s="13" t="s">
        <v>116</v>
      </c>
      <c r="P19" s="25">
        <f>AVERAGE(G:G)</f>
        <v>2.6888304171477657E-3</v>
      </c>
    </row>
    <row r="20" spans="1:16" x14ac:dyDescent="0.3">
      <c r="A20" s="22">
        <v>45</v>
      </c>
      <c r="B20" s="22">
        <v>44</v>
      </c>
      <c r="C20" s="23">
        <v>0.9778</v>
      </c>
      <c r="D20" s="22">
        <v>1</v>
      </c>
      <c r="E20" s="24">
        <v>2.3148148148148147E-5</v>
      </c>
      <c r="F20" s="24">
        <v>1.4351851851851852E-3</v>
      </c>
      <c r="G20" s="24">
        <v>6.3657407407407413E-4</v>
      </c>
      <c r="H20" s="24">
        <v>0.9778</v>
      </c>
      <c r="I20" s="18">
        <f t="shared" si="0"/>
        <v>9.7780000000000002E-3</v>
      </c>
      <c r="J20" s="18">
        <f t="shared" si="5"/>
        <v>9.7780000000000002E-3</v>
      </c>
      <c r="K20" s="19">
        <f t="shared" si="2"/>
        <v>1</v>
      </c>
      <c r="L20" s="18">
        <f t="shared" si="3"/>
        <v>2.2222222222222223E-2</v>
      </c>
      <c r="M20" s="18">
        <f t="shared" si="4"/>
        <v>0.97777777777777775</v>
      </c>
    </row>
    <row r="21" spans="1:16" x14ac:dyDescent="0.3">
      <c r="A21" s="22">
        <v>218</v>
      </c>
      <c r="B21" s="22">
        <v>194</v>
      </c>
      <c r="C21" s="23">
        <v>0.88990000000000002</v>
      </c>
      <c r="D21" s="22">
        <v>24</v>
      </c>
      <c r="E21" s="24">
        <v>3.0092592592592595E-4</v>
      </c>
      <c r="F21" s="24">
        <v>1.8865740740740742E-3</v>
      </c>
      <c r="G21" s="24">
        <v>4.4907407407407405E-3</v>
      </c>
      <c r="H21" s="24">
        <v>0.68979999999999997</v>
      </c>
      <c r="I21" s="18">
        <f t="shared" si="0"/>
        <v>8.8990000000000007E-3</v>
      </c>
      <c r="J21" s="18">
        <f t="shared" si="5"/>
        <v>6.8979999999999996E-3</v>
      </c>
      <c r="K21" s="19">
        <f t="shared" si="2"/>
        <v>24</v>
      </c>
      <c r="L21" s="18">
        <f t="shared" si="3"/>
        <v>0.11009174311926606</v>
      </c>
      <c r="M21" s="18">
        <f t="shared" si="4"/>
        <v>0.88990825688073394</v>
      </c>
    </row>
    <row r="22" spans="1:16" x14ac:dyDescent="0.3">
      <c r="A22" s="22">
        <v>187</v>
      </c>
      <c r="B22" s="22">
        <v>174</v>
      </c>
      <c r="C22" s="23">
        <v>0.93049999999999999</v>
      </c>
      <c r="D22" s="22">
        <v>13</v>
      </c>
      <c r="E22" s="24">
        <v>1.7361111111111112E-4</v>
      </c>
      <c r="F22" s="24">
        <v>1.5740740740740741E-3</v>
      </c>
      <c r="G22" s="24">
        <v>3.2291666666666666E-3</v>
      </c>
      <c r="H22" s="24">
        <v>0.81520000000000004</v>
      </c>
      <c r="I22" s="18">
        <f t="shared" si="0"/>
        <v>9.3050000000000008E-3</v>
      </c>
      <c r="J22" s="18">
        <f t="shared" si="5"/>
        <v>8.1519999999999995E-3</v>
      </c>
      <c r="K22" s="19">
        <f t="shared" si="2"/>
        <v>13</v>
      </c>
      <c r="L22" s="18">
        <f t="shared" si="3"/>
        <v>6.9518716577540107E-2</v>
      </c>
      <c r="M22" s="18">
        <f t="shared" si="4"/>
        <v>0.93048128342245995</v>
      </c>
    </row>
    <row r="23" spans="1:16" x14ac:dyDescent="0.3">
      <c r="A23" s="22">
        <v>191</v>
      </c>
      <c r="B23" s="22">
        <v>184</v>
      </c>
      <c r="C23" s="23">
        <v>0.96340000000000003</v>
      </c>
      <c r="D23" s="22">
        <v>7</v>
      </c>
      <c r="E23" s="24">
        <v>1.1574074074074075E-4</v>
      </c>
      <c r="F23" s="24">
        <v>1.4930555555555556E-3</v>
      </c>
      <c r="G23" s="24">
        <v>2.5462962962962965E-3</v>
      </c>
      <c r="H23" s="24">
        <v>0.85640000000000005</v>
      </c>
      <c r="I23" s="18">
        <f t="shared" si="0"/>
        <v>9.6340000000000002E-3</v>
      </c>
      <c r="J23" s="18">
        <f t="shared" si="5"/>
        <v>8.5640000000000004E-3</v>
      </c>
      <c r="K23" s="19">
        <f t="shared" si="2"/>
        <v>7</v>
      </c>
      <c r="L23" s="18">
        <f t="shared" si="3"/>
        <v>3.6649214659685861E-2</v>
      </c>
      <c r="M23" s="18">
        <f t="shared" si="4"/>
        <v>0.96335078534031415</v>
      </c>
    </row>
    <row r="24" spans="1:16" x14ac:dyDescent="0.3">
      <c r="A24" s="22">
        <v>188</v>
      </c>
      <c r="B24" s="22">
        <v>174</v>
      </c>
      <c r="C24" s="23">
        <v>0.92549999999999999</v>
      </c>
      <c r="D24" s="22">
        <v>14</v>
      </c>
      <c r="E24" s="24">
        <v>1.7361111111111112E-4</v>
      </c>
      <c r="F24" s="24">
        <v>1.6782407407407408E-3</v>
      </c>
      <c r="G24" s="24">
        <v>2.1875000000000002E-3</v>
      </c>
      <c r="H24" s="24">
        <v>0.76880000000000004</v>
      </c>
      <c r="I24" s="18">
        <f t="shared" si="0"/>
        <v>9.2549999999999993E-3</v>
      </c>
      <c r="J24" s="18">
        <f t="shared" si="5"/>
        <v>7.6880000000000004E-3</v>
      </c>
      <c r="K24" s="19">
        <f t="shared" si="2"/>
        <v>14</v>
      </c>
      <c r="L24" s="18">
        <f t="shared" si="3"/>
        <v>7.4468085106382975E-2</v>
      </c>
      <c r="M24" s="18">
        <f t="shared" si="4"/>
        <v>0.92553191489361697</v>
      </c>
    </row>
    <row r="25" spans="1:16" x14ac:dyDescent="0.3">
      <c r="A25" s="22">
        <v>154</v>
      </c>
      <c r="B25" s="22">
        <v>148</v>
      </c>
      <c r="C25" s="23">
        <v>0.96099999999999997</v>
      </c>
      <c r="D25" s="22">
        <v>6</v>
      </c>
      <c r="E25" s="24">
        <v>1.1574074074074075E-4</v>
      </c>
      <c r="F25" s="24">
        <v>1.7013888888888888E-3</v>
      </c>
      <c r="G25" s="24">
        <v>2.5000000000000001E-3</v>
      </c>
      <c r="H25" s="24">
        <v>0.85060000000000002</v>
      </c>
      <c r="I25" s="18">
        <f t="shared" si="0"/>
        <v>9.6100000000000005E-3</v>
      </c>
      <c r="J25" s="18">
        <f t="shared" si="5"/>
        <v>8.5059999999999997E-3</v>
      </c>
      <c r="K25" s="19">
        <f t="shared" si="2"/>
        <v>6</v>
      </c>
      <c r="L25" s="18">
        <f t="shared" si="3"/>
        <v>3.896103896103896E-2</v>
      </c>
      <c r="M25" s="18">
        <f t="shared" si="4"/>
        <v>0.96103896103896103</v>
      </c>
    </row>
    <row r="26" spans="1:16" x14ac:dyDescent="0.3">
      <c r="A26" s="22">
        <v>166</v>
      </c>
      <c r="B26" s="22">
        <v>150</v>
      </c>
      <c r="C26" s="23">
        <v>0.90359999999999996</v>
      </c>
      <c r="D26" s="22">
        <v>16</v>
      </c>
      <c r="E26" s="24">
        <v>2.0833333333333335E-4</v>
      </c>
      <c r="F26" s="24">
        <v>1.6898148148148148E-3</v>
      </c>
      <c r="G26" s="24">
        <v>3.2175925925925926E-3</v>
      </c>
      <c r="H26" s="24">
        <v>0.76829999999999998</v>
      </c>
      <c r="I26" s="18">
        <f t="shared" si="0"/>
        <v>9.0359999999999989E-3</v>
      </c>
      <c r="J26" s="18">
        <f t="shared" si="5"/>
        <v>7.6829999999999997E-3</v>
      </c>
      <c r="K26" s="19">
        <f t="shared" si="2"/>
        <v>16</v>
      </c>
      <c r="L26" s="18">
        <f t="shared" si="3"/>
        <v>9.6385542168674704E-2</v>
      </c>
      <c r="M26" s="18">
        <f t="shared" si="4"/>
        <v>0.90361445783132532</v>
      </c>
    </row>
    <row r="27" spans="1:16" x14ac:dyDescent="0.3">
      <c r="A27" s="22">
        <v>58</v>
      </c>
      <c r="B27" s="22">
        <v>57</v>
      </c>
      <c r="C27" s="23">
        <v>0.98280000000000001</v>
      </c>
      <c r="D27" s="22">
        <v>1</v>
      </c>
      <c r="E27" s="24">
        <v>4.6296296296296294E-5</v>
      </c>
      <c r="F27" s="24">
        <v>1.6898148148148148E-3</v>
      </c>
      <c r="G27" s="24">
        <v>6.7129629629629625E-4</v>
      </c>
      <c r="H27" s="24">
        <v>0.94830000000000003</v>
      </c>
      <c r="I27" s="18">
        <f t="shared" si="0"/>
        <v>9.8279999999999999E-3</v>
      </c>
      <c r="J27" s="18">
        <f t="shared" si="5"/>
        <v>9.4830000000000001E-3</v>
      </c>
      <c r="K27" s="19">
        <f t="shared" si="2"/>
        <v>1</v>
      </c>
      <c r="L27" s="18">
        <f t="shared" si="3"/>
        <v>1.7241379310344827E-2</v>
      </c>
      <c r="M27" s="18">
        <f t="shared" si="4"/>
        <v>0.98275862068965514</v>
      </c>
    </row>
    <row r="28" spans="1:16" x14ac:dyDescent="0.3">
      <c r="A28" s="22">
        <v>160</v>
      </c>
      <c r="B28" s="22">
        <v>153</v>
      </c>
      <c r="C28" s="23">
        <v>0.95630000000000004</v>
      </c>
      <c r="D28" s="22">
        <v>7</v>
      </c>
      <c r="E28" s="24">
        <v>1.1574074074074075E-4</v>
      </c>
      <c r="F28" s="24">
        <v>1.6550925925925926E-3</v>
      </c>
      <c r="G28" s="24">
        <v>1.9097222222222222E-3</v>
      </c>
      <c r="H28" s="24">
        <v>0.84909999999999997</v>
      </c>
      <c r="I28" s="18">
        <f t="shared" si="0"/>
        <v>9.5630000000000003E-3</v>
      </c>
      <c r="J28" s="18">
        <f t="shared" si="5"/>
        <v>8.4910000000000003E-3</v>
      </c>
      <c r="K28" s="19">
        <f t="shared" si="2"/>
        <v>7</v>
      </c>
      <c r="L28" s="18">
        <f t="shared" si="3"/>
        <v>4.3749999999999997E-2</v>
      </c>
      <c r="M28" s="18">
        <f t="shared" si="4"/>
        <v>0.95625000000000004</v>
      </c>
    </row>
    <row r="29" spans="1:16" x14ac:dyDescent="0.3">
      <c r="A29" s="22">
        <v>86</v>
      </c>
      <c r="B29" s="22">
        <v>79</v>
      </c>
      <c r="C29" s="23">
        <v>0.91859999999999997</v>
      </c>
      <c r="D29" s="22">
        <v>7</v>
      </c>
      <c r="E29" s="24">
        <v>3.7037037037037035E-4</v>
      </c>
      <c r="F29" s="24">
        <v>1.8865740740740742E-3</v>
      </c>
      <c r="G29" s="24">
        <v>3.2407407407407406E-3</v>
      </c>
      <c r="H29" s="24">
        <v>0.61629999999999996</v>
      </c>
      <c r="I29" s="18">
        <f t="shared" si="0"/>
        <v>9.1859999999999997E-3</v>
      </c>
      <c r="J29" s="18">
        <f t="shared" si="5"/>
        <v>6.1629999999999992E-3</v>
      </c>
      <c r="K29" s="19">
        <f t="shared" si="2"/>
        <v>7</v>
      </c>
      <c r="L29" s="18">
        <f t="shared" si="3"/>
        <v>8.1395348837209308E-2</v>
      </c>
      <c r="M29" s="18">
        <f t="shared" si="4"/>
        <v>0.91860465116279066</v>
      </c>
    </row>
    <row r="30" spans="1:16" x14ac:dyDescent="0.3">
      <c r="A30" s="22">
        <v>180</v>
      </c>
      <c r="B30" s="22">
        <v>170</v>
      </c>
      <c r="C30" s="23">
        <v>0.94440000000000002</v>
      </c>
      <c r="D30" s="22">
        <v>10</v>
      </c>
      <c r="E30" s="24">
        <v>2.6620370370370372E-4</v>
      </c>
      <c r="F30" s="24">
        <v>1.7476851851851852E-3</v>
      </c>
      <c r="G30" s="24">
        <v>3.9930555555555552E-3</v>
      </c>
      <c r="H30" s="24">
        <v>0.77529999999999999</v>
      </c>
      <c r="I30" s="18">
        <f t="shared" si="0"/>
        <v>9.444000000000001E-3</v>
      </c>
      <c r="J30" s="18">
        <f t="shared" si="5"/>
        <v>7.7529999999999995E-3</v>
      </c>
      <c r="K30" s="19">
        <f t="shared" si="2"/>
        <v>10</v>
      </c>
      <c r="L30" s="18">
        <f t="shared" si="3"/>
        <v>5.5555555555555552E-2</v>
      </c>
      <c r="M30" s="18">
        <f t="shared" si="4"/>
        <v>0.94444444444444442</v>
      </c>
    </row>
    <row r="31" spans="1:16" x14ac:dyDescent="0.3">
      <c r="A31" s="22">
        <v>210</v>
      </c>
      <c r="B31" s="22">
        <v>192</v>
      </c>
      <c r="C31" s="23">
        <v>0.9143</v>
      </c>
      <c r="D31" s="22">
        <v>18</v>
      </c>
      <c r="E31" s="24">
        <v>3.0092592592592595E-4</v>
      </c>
      <c r="F31" s="24">
        <v>1.5740740740740741E-3</v>
      </c>
      <c r="G31" s="24">
        <v>3.8773148148148148E-3</v>
      </c>
      <c r="H31" s="24">
        <v>0.67459999999999998</v>
      </c>
      <c r="I31" s="18">
        <f t="shared" si="0"/>
        <v>9.1430000000000001E-3</v>
      </c>
      <c r="J31" s="18">
        <f t="shared" si="5"/>
        <v>6.7459999999999994E-3</v>
      </c>
      <c r="K31" s="19">
        <f t="shared" si="2"/>
        <v>18</v>
      </c>
      <c r="L31" s="18">
        <f t="shared" si="3"/>
        <v>8.5714285714285715E-2</v>
      </c>
      <c r="M31" s="18">
        <f t="shared" si="4"/>
        <v>0.91428571428571426</v>
      </c>
    </row>
    <row r="32" spans="1:16" x14ac:dyDescent="0.3">
      <c r="A32" s="22">
        <v>163</v>
      </c>
      <c r="B32" s="22">
        <v>157</v>
      </c>
      <c r="C32" s="23">
        <v>0.96319999999999995</v>
      </c>
      <c r="D32" s="22">
        <v>6</v>
      </c>
      <c r="E32" s="24">
        <v>1.6203703703703703E-4</v>
      </c>
      <c r="F32" s="24">
        <v>1.6087962962962963E-3</v>
      </c>
      <c r="G32" s="24">
        <v>2.0254629629629629E-3</v>
      </c>
      <c r="H32" s="24">
        <v>0.81369999999999998</v>
      </c>
      <c r="I32" s="18">
        <f t="shared" si="0"/>
        <v>9.6319999999999999E-3</v>
      </c>
      <c r="J32" s="18">
        <f t="shared" si="5"/>
        <v>8.1370000000000001E-3</v>
      </c>
      <c r="K32" s="19">
        <f t="shared" si="2"/>
        <v>6</v>
      </c>
      <c r="L32" s="18">
        <f t="shared" si="3"/>
        <v>3.6809815950920248E-2</v>
      </c>
      <c r="M32" s="18">
        <f t="shared" si="4"/>
        <v>0.96319018404907975</v>
      </c>
    </row>
    <row r="33" spans="1:13" x14ac:dyDescent="0.3">
      <c r="A33" s="22">
        <v>143</v>
      </c>
      <c r="B33" s="22">
        <v>140</v>
      </c>
      <c r="C33" s="23">
        <v>0.97899999999999998</v>
      </c>
      <c r="D33" s="22">
        <v>3</v>
      </c>
      <c r="E33" s="24">
        <v>1.7361111111111112E-4</v>
      </c>
      <c r="F33" s="24">
        <v>1.6203703703703703E-3</v>
      </c>
      <c r="G33" s="24">
        <v>3.2754629629629631E-3</v>
      </c>
      <c r="H33" s="24">
        <v>0.82520000000000004</v>
      </c>
      <c r="I33" s="18">
        <f t="shared" si="0"/>
        <v>9.7900000000000001E-3</v>
      </c>
      <c r="J33" s="18">
        <f t="shared" si="5"/>
        <v>8.2520000000000007E-3</v>
      </c>
      <c r="K33" s="19">
        <f t="shared" si="2"/>
        <v>3</v>
      </c>
      <c r="L33" s="18">
        <f t="shared" si="3"/>
        <v>2.097902097902098E-2</v>
      </c>
      <c r="M33" s="18">
        <f t="shared" si="4"/>
        <v>0.97902097902097907</v>
      </c>
    </row>
    <row r="34" spans="1:13" x14ac:dyDescent="0.3">
      <c r="A34" s="22">
        <v>57</v>
      </c>
      <c r="B34" s="22">
        <v>55</v>
      </c>
      <c r="C34" s="23">
        <v>0.96489999999999998</v>
      </c>
      <c r="D34" s="22">
        <v>2</v>
      </c>
      <c r="E34" s="24">
        <v>6.9444444444444444E-5</v>
      </c>
      <c r="F34" s="24">
        <v>1.4236111111111112E-3</v>
      </c>
      <c r="G34" s="24">
        <v>1.2731481481481483E-3</v>
      </c>
      <c r="H34" s="24">
        <v>0.9123</v>
      </c>
      <c r="I34" s="18">
        <f t="shared" si="0"/>
        <v>9.6489999999999996E-3</v>
      </c>
      <c r="J34" s="18">
        <f t="shared" si="5"/>
        <v>9.1229999999999992E-3</v>
      </c>
      <c r="K34" s="19">
        <f t="shared" si="2"/>
        <v>2</v>
      </c>
      <c r="L34" s="18">
        <f t="shared" si="3"/>
        <v>3.5087719298245612E-2</v>
      </c>
      <c r="M34" s="18">
        <f t="shared" si="4"/>
        <v>0.96491228070175439</v>
      </c>
    </row>
    <row r="35" spans="1:13" x14ac:dyDescent="0.3">
      <c r="A35" s="22">
        <v>179</v>
      </c>
      <c r="B35" s="22">
        <v>172</v>
      </c>
      <c r="C35" s="23">
        <v>0.96089999999999998</v>
      </c>
      <c r="D35" s="22">
        <v>7</v>
      </c>
      <c r="E35" s="24">
        <v>1.5046296296296297E-4</v>
      </c>
      <c r="F35" s="24">
        <v>1.5856481481481481E-3</v>
      </c>
      <c r="G35" s="24">
        <v>2.3495370370370371E-3</v>
      </c>
      <c r="H35" s="24">
        <v>0.82489999999999997</v>
      </c>
      <c r="I35" s="18">
        <f t="shared" si="0"/>
        <v>9.6089999999999995E-3</v>
      </c>
      <c r="J35" s="18">
        <f t="shared" si="5"/>
        <v>8.2489999999999994E-3</v>
      </c>
      <c r="K35" s="19">
        <f t="shared" si="2"/>
        <v>7</v>
      </c>
      <c r="L35" s="18">
        <f t="shared" si="3"/>
        <v>3.9106145251396648E-2</v>
      </c>
      <c r="M35" s="18">
        <f t="shared" si="4"/>
        <v>0.96089385474860334</v>
      </c>
    </row>
    <row r="36" spans="1:13" x14ac:dyDescent="0.3">
      <c r="A36" s="22">
        <v>194</v>
      </c>
      <c r="B36" s="22">
        <v>184</v>
      </c>
      <c r="C36" s="23">
        <v>0.94850000000000001</v>
      </c>
      <c r="D36" s="22">
        <v>10</v>
      </c>
      <c r="E36" s="24">
        <v>2.7777777777777778E-4</v>
      </c>
      <c r="F36" s="24">
        <v>1.6666666666666668E-3</v>
      </c>
      <c r="G36" s="24">
        <v>2.3032407407407407E-3</v>
      </c>
      <c r="H36" s="24">
        <v>0.70099999999999996</v>
      </c>
      <c r="I36" s="18">
        <f t="shared" si="0"/>
        <v>9.4850000000000004E-3</v>
      </c>
      <c r="J36" s="18">
        <f t="shared" si="5"/>
        <v>7.0099999999999997E-3</v>
      </c>
      <c r="K36" s="19">
        <f t="shared" si="2"/>
        <v>10</v>
      </c>
      <c r="L36" s="18">
        <f t="shared" si="3"/>
        <v>5.1546391752577317E-2</v>
      </c>
      <c r="M36" s="18">
        <f t="shared" si="4"/>
        <v>0.94845360824742264</v>
      </c>
    </row>
    <row r="37" spans="1:13" x14ac:dyDescent="0.3">
      <c r="A37" s="22">
        <v>201</v>
      </c>
      <c r="B37" s="22">
        <v>196</v>
      </c>
      <c r="C37" s="23">
        <v>0.97509999999999997</v>
      </c>
      <c r="D37" s="22">
        <v>5</v>
      </c>
      <c r="E37" s="24">
        <v>1.7361111111111112E-4</v>
      </c>
      <c r="F37" s="24">
        <v>1.5740740740740741E-3</v>
      </c>
      <c r="G37" s="24">
        <v>3.3912037037037036E-3</v>
      </c>
      <c r="H37" s="24">
        <v>0.81589999999999996</v>
      </c>
      <c r="I37" s="18">
        <f t="shared" si="0"/>
        <v>9.7509999999999993E-3</v>
      </c>
      <c r="J37" s="18">
        <f t="shared" si="5"/>
        <v>8.1589999999999996E-3</v>
      </c>
      <c r="K37" s="19">
        <f t="shared" si="2"/>
        <v>5</v>
      </c>
      <c r="L37" s="18">
        <f t="shared" si="3"/>
        <v>2.4875621890547265E-2</v>
      </c>
      <c r="M37" s="18">
        <f t="shared" si="4"/>
        <v>0.97512437810945274</v>
      </c>
    </row>
    <row r="38" spans="1:13" x14ac:dyDescent="0.3">
      <c r="A38" s="22">
        <v>218</v>
      </c>
      <c r="B38" s="22">
        <v>189</v>
      </c>
      <c r="C38" s="23">
        <v>0.86699999999999999</v>
      </c>
      <c r="D38" s="22">
        <v>29</v>
      </c>
      <c r="E38" s="24">
        <v>3.7037037037037035E-4</v>
      </c>
      <c r="F38" s="24">
        <v>1.8171296296296297E-3</v>
      </c>
      <c r="G38" s="24">
        <v>5.6018518518518518E-3</v>
      </c>
      <c r="H38" s="24">
        <v>0.57410000000000005</v>
      </c>
      <c r="I38" s="18">
        <f t="shared" si="0"/>
        <v>8.6700000000000006E-3</v>
      </c>
      <c r="J38" s="18">
        <f t="shared" si="5"/>
        <v>5.7410000000000004E-3</v>
      </c>
      <c r="K38" s="19">
        <f t="shared" si="2"/>
        <v>29</v>
      </c>
      <c r="L38" s="18">
        <f t="shared" si="3"/>
        <v>0.13302752293577982</v>
      </c>
      <c r="M38" s="18">
        <f t="shared" si="4"/>
        <v>0.8669724770642202</v>
      </c>
    </row>
    <row r="39" spans="1:13" x14ac:dyDescent="0.3">
      <c r="A39" s="22">
        <v>194</v>
      </c>
      <c r="B39" s="22">
        <v>190</v>
      </c>
      <c r="C39" s="23">
        <v>0.97940000000000005</v>
      </c>
      <c r="D39" s="22">
        <v>4</v>
      </c>
      <c r="E39" s="24">
        <v>1.8518518518518518E-4</v>
      </c>
      <c r="F39" s="24">
        <v>1.6435185185185185E-3</v>
      </c>
      <c r="G39" s="24">
        <v>1.4120370370370369E-3</v>
      </c>
      <c r="H39" s="24">
        <v>0.81769999999999998</v>
      </c>
      <c r="I39" s="18">
        <f t="shared" si="0"/>
        <v>9.7940000000000006E-3</v>
      </c>
      <c r="J39" s="18">
        <f t="shared" si="5"/>
        <v>8.1770000000000002E-3</v>
      </c>
      <c r="K39" s="19">
        <f t="shared" si="2"/>
        <v>4</v>
      </c>
      <c r="L39" s="18">
        <f t="shared" si="3"/>
        <v>2.0618556701030927E-2</v>
      </c>
      <c r="M39" s="18">
        <f t="shared" si="4"/>
        <v>0.97938144329896903</v>
      </c>
    </row>
    <row r="40" spans="1:13" x14ac:dyDescent="0.3">
      <c r="A40" s="22">
        <v>227</v>
      </c>
      <c r="B40" s="22">
        <v>219</v>
      </c>
      <c r="C40" s="23">
        <v>0.96479999999999999</v>
      </c>
      <c r="D40" s="22">
        <v>8</v>
      </c>
      <c r="E40" s="24">
        <v>1.7361111111111112E-4</v>
      </c>
      <c r="F40" s="24">
        <v>1.8981481481481482E-3</v>
      </c>
      <c r="G40" s="24">
        <v>2.7199074074074074E-3</v>
      </c>
      <c r="H40" s="24">
        <v>0.83630000000000004</v>
      </c>
      <c r="I40" s="18">
        <f t="shared" si="0"/>
        <v>9.6480000000000003E-3</v>
      </c>
      <c r="J40" s="18">
        <f t="shared" si="5"/>
        <v>8.3630000000000006E-3</v>
      </c>
      <c r="K40" s="19">
        <f t="shared" si="2"/>
        <v>8</v>
      </c>
      <c r="L40" s="18">
        <f t="shared" si="3"/>
        <v>3.5242290748898682E-2</v>
      </c>
      <c r="M40" s="18">
        <f t="shared" si="4"/>
        <v>0.96475770925110127</v>
      </c>
    </row>
    <row r="41" spans="1:13" x14ac:dyDescent="0.3">
      <c r="A41" s="22">
        <v>52</v>
      </c>
      <c r="B41" s="22">
        <v>52</v>
      </c>
      <c r="C41" s="23">
        <v>1</v>
      </c>
      <c r="D41" s="22">
        <v>0</v>
      </c>
      <c r="E41" s="24">
        <v>1.0416666666666667E-4</v>
      </c>
      <c r="F41" s="24">
        <v>1.5740740740740741E-3</v>
      </c>
      <c r="G41" s="24">
        <v>6.018518518518519E-4</v>
      </c>
      <c r="H41" s="24">
        <v>0.94230000000000003</v>
      </c>
      <c r="I41" s="18">
        <f t="shared" si="0"/>
        <v>0.01</v>
      </c>
      <c r="J41" s="18">
        <f t="shared" si="5"/>
        <v>9.4230000000000008E-3</v>
      </c>
      <c r="K41" s="19">
        <f t="shared" si="2"/>
        <v>0</v>
      </c>
      <c r="L41" s="18">
        <f t="shared" si="3"/>
        <v>0</v>
      </c>
      <c r="M41" s="18">
        <f t="shared" si="4"/>
        <v>1</v>
      </c>
    </row>
    <row r="42" spans="1:13" x14ac:dyDescent="0.3">
      <c r="A42" s="22">
        <v>385</v>
      </c>
      <c r="B42" s="22">
        <v>370</v>
      </c>
      <c r="C42" s="23">
        <v>0.96099999999999997</v>
      </c>
      <c r="D42" s="22">
        <v>15</v>
      </c>
      <c r="E42" s="24">
        <v>2.3148148148148149E-4</v>
      </c>
      <c r="F42" s="24">
        <v>1.5162037037037036E-3</v>
      </c>
      <c r="G42" s="24">
        <v>2.1990740740740742E-3</v>
      </c>
      <c r="H42" s="24">
        <v>0.76190000000000002</v>
      </c>
      <c r="I42" s="18">
        <f t="shared" si="0"/>
        <v>9.6100000000000005E-3</v>
      </c>
      <c r="J42" s="18">
        <f t="shared" si="5"/>
        <v>7.6189999999999999E-3</v>
      </c>
      <c r="K42" s="19">
        <f t="shared" si="2"/>
        <v>15</v>
      </c>
      <c r="L42" s="18">
        <f t="shared" si="3"/>
        <v>3.896103896103896E-2</v>
      </c>
      <c r="M42" s="18">
        <f t="shared" si="4"/>
        <v>0.96103896103896103</v>
      </c>
    </row>
    <row r="43" spans="1:13" x14ac:dyDescent="0.3">
      <c r="A43" s="22">
        <v>137</v>
      </c>
      <c r="B43" s="22">
        <v>130</v>
      </c>
      <c r="C43" s="23">
        <v>0.94889999999999997</v>
      </c>
      <c r="D43" s="22">
        <v>7</v>
      </c>
      <c r="E43" s="24">
        <v>1.8518518518518518E-4</v>
      </c>
      <c r="F43" s="24">
        <v>1.6898148148148148E-3</v>
      </c>
      <c r="G43" s="24">
        <v>6.7939814814814816E-3</v>
      </c>
      <c r="H43" s="24">
        <v>0.7591</v>
      </c>
      <c r="I43" s="18">
        <f t="shared" si="0"/>
        <v>9.4889999999999992E-3</v>
      </c>
      <c r="J43" s="18">
        <f t="shared" si="5"/>
        <v>7.5909999999999997E-3</v>
      </c>
      <c r="K43" s="19">
        <f t="shared" si="2"/>
        <v>7</v>
      </c>
      <c r="L43" s="18">
        <f t="shared" si="3"/>
        <v>5.1094890510948905E-2</v>
      </c>
      <c r="M43" s="18">
        <f t="shared" si="4"/>
        <v>0.94890510948905105</v>
      </c>
    </row>
    <row r="44" spans="1:13" x14ac:dyDescent="0.3">
      <c r="A44" s="22">
        <v>254</v>
      </c>
      <c r="B44" s="22">
        <v>252</v>
      </c>
      <c r="C44" s="23">
        <v>0.99209999999999998</v>
      </c>
      <c r="D44" s="22">
        <v>2</v>
      </c>
      <c r="E44" s="24">
        <v>1.1574074074074075E-4</v>
      </c>
      <c r="F44" s="24">
        <v>1.4814814814814814E-3</v>
      </c>
      <c r="G44" s="24">
        <v>8.1018518518518516E-4</v>
      </c>
      <c r="H44" s="24">
        <v>0.91339999999999999</v>
      </c>
      <c r="I44" s="18">
        <f t="shared" si="0"/>
        <v>9.9209999999999993E-3</v>
      </c>
      <c r="J44" s="18">
        <f t="shared" si="5"/>
        <v>9.1339999999999998E-3</v>
      </c>
      <c r="K44" s="19">
        <f t="shared" si="2"/>
        <v>2</v>
      </c>
      <c r="L44" s="18">
        <f t="shared" si="3"/>
        <v>7.874015748031496E-3</v>
      </c>
      <c r="M44" s="18">
        <f t="shared" si="4"/>
        <v>0.99212598425196852</v>
      </c>
    </row>
    <row r="45" spans="1:13" x14ac:dyDescent="0.3">
      <c r="A45" s="22">
        <v>211</v>
      </c>
      <c r="B45" s="22">
        <v>206</v>
      </c>
      <c r="C45" s="23">
        <v>0.97629999999999995</v>
      </c>
      <c r="D45" s="22">
        <v>5</v>
      </c>
      <c r="E45" s="24">
        <v>1.273148148148148E-4</v>
      </c>
      <c r="F45" s="24">
        <v>1.6666666666666668E-3</v>
      </c>
      <c r="G45" s="24">
        <v>3.2060185185185186E-3</v>
      </c>
      <c r="H45" s="24">
        <v>0.87139999999999995</v>
      </c>
      <c r="I45" s="18">
        <f t="shared" si="0"/>
        <v>9.7629999999999991E-3</v>
      </c>
      <c r="J45" s="18">
        <f t="shared" si="5"/>
        <v>8.7139999999999995E-3</v>
      </c>
      <c r="K45" s="19">
        <f t="shared" si="2"/>
        <v>5</v>
      </c>
      <c r="L45" s="18">
        <f t="shared" si="3"/>
        <v>2.3696682464454975E-2</v>
      </c>
      <c r="M45" s="18">
        <f t="shared" si="4"/>
        <v>0.976303317535545</v>
      </c>
    </row>
    <row r="46" spans="1:13" x14ac:dyDescent="0.3">
      <c r="A46" s="22">
        <v>282</v>
      </c>
      <c r="B46" s="22">
        <v>279</v>
      </c>
      <c r="C46" s="23">
        <v>0.98939999999999995</v>
      </c>
      <c r="D46" s="22">
        <v>3</v>
      </c>
      <c r="E46" s="24">
        <v>8.1018518518518516E-5</v>
      </c>
      <c r="F46" s="24">
        <v>1.5972222222222223E-3</v>
      </c>
      <c r="G46" s="24">
        <v>8.2175925925925927E-4</v>
      </c>
      <c r="H46" s="24">
        <v>0.93210000000000004</v>
      </c>
      <c r="I46" s="18">
        <f t="shared" si="0"/>
        <v>9.894E-3</v>
      </c>
      <c r="J46" s="18">
        <f t="shared" si="5"/>
        <v>9.3210000000000012E-3</v>
      </c>
      <c r="K46" s="19">
        <f t="shared" si="2"/>
        <v>3</v>
      </c>
      <c r="L46" s="18">
        <f t="shared" si="3"/>
        <v>1.0638297872340425E-2</v>
      </c>
      <c r="M46" s="18">
        <f t="shared" si="4"/>
        <v>0.98936170212765961</v>
      </c>
    </row>
    <row r="47" spans="1:13" x14ac:dyDescent="0.3">
      <c r="A47" s="22">
        <v>262</v>
      </c>
      <c r="B47" s="22">
        <v>260</v>
      </c>
      <c r="C47" s="23">
        <v>0.99239999999999995</v>
      </c>
      <c r="D47" s="22">
        <v>2</v>
      </c>
      <c r="E47" s="24">
        <v>9.2592592592592588E-5</v>
      </c>
      <c r="F47" s="24">
        <v>1.7476851851851852E-3</v>
      </c>
      <c r="G47" s="24">
        <v>8.4490740740740739E-4</v>
      </c>
      <c r="H47" s="24">
        <v>0.90800000000000003</v>
      </c>
      <c r="I47" s="18">
        <f t="shared" si="0"/>
        <v>9.9239999999999988E-3</v>
      </c>
      <c r="J47" s="18">
        <f t="shared" si="5"/>
        <v>9.0799999999999995E-3</v>
      </c>
      <c r="K47" s="19">
        <f t="shared" si="2"/>
        <v>2</v>
      </c>
      <c r="L47" s="18">
        <f t="shared" si="3"/>
        <v>7.6335877862595417E-3</v>
      </c>
      <c r="M47" s="18">
        <f t="shared" si="4"/>
        <v>0.99236641221374045</v>
      </c>
    </row>
    <row r="48" spans="1:13" x14ac:dyDescent="0.3">
      <c r="A48" s="22">
        <v>65</v>
      </c>
      <c r="B48" s="22">
        <v>63</v>
      </c>
      <c r="C48" s="23">
        <v>0.96919999999999995</v>
      </c>
      <c r="D48" s="22">
        <v>2</v>
      </c>
      <c r="E48" s="24">
        <v>1.3888888888888889E-4</v>
      </c>
      <c r="F48" s="24">
        <v>1.6435185185185185E-3</v>
      </c>
      <c r="G48" s="24">
        <v>1.5046296296296296E-3</v>
      </c>
      <c r="H48" s="24">
        <v>0.85940000000000005</v>
      </c>
      <c r="I48" s="18">
        <f t="shared" si="0"/>
        <v>9.6919999999999992E-3</v>
      </c>
      <c r="J48" s="18">
        <f t="shared" si="5"/>
        <v>8.5940000000000009E-3</v>
      </c>
      <c r="K48" s="19">
        <f t="shared" si="2"/>
        <v>2</v>
      </c>
      <c r="L48" s="18">
        <f t="shared" si="3"/>
        <v>3.0769230769230771E-2</v>
      </c>
      <c r="M48" s="18">
        <f t="shared" si="4"/>
        <v>0.96923076923076923</v>
      </c>
    </row>
    <row r="49" spans="1:13" x14ac:dyDescent="0.3">
      <c r="A49" s="22">
        <v>325</v>
      </c>
      <c r="B49" s="22">
        <v>323</v>
      </c>
      <c r="C49" s="23">
        <v>0.99380000000000002</v>
      </c>
      <c r="D49" s="22">
        <v>2</v>
      </c>
      <c r="E49" s="24">
        <v>5.7870370370370373E-5</v>
      </c>
      <c r="F49" s="24">
        <v>1.5393518518518519E-3</v>
      </c>
      <c r="G49" s="24">
        <v>8.564814814814815E-4</v>
      </c>
      <c r="H49" s="24">
        <v>0.96899999999999997</v>
      </c>
      <c r="I49" s="18">
        <f t="shared" si="0"/>
        <v>9.9380000000000007E-3</v>
      </c>
      <c r="J49" s="18">
        <f t="shared" si="5"/>
        <v>9.689999999999999E-3</v>
      </c>
      <c r="K49" s="19">
        <f t="shared" si="2"/>
        <v>2</v>
      </c>
      <c r="L49" s="18">
        <f t="shared" si="3"/>
        <v>6.1538461538461538E-3</v>
      </c>
      <c r="M49" s="18">
        <f t="shared" si="4"/>
        <v>0.99384615384615382</v>
      </c>
    </row>
    <row r="50" spans="1:13" x14ac:dyDescent="0.3">
      <c r="A50" s="22">
        <v>235</v>
      </c>
      <c r="B50" s="22">
        <v>230</v>
      </c>
      <c r="C50" s="23">
        <v>0.97870000000000001</v>
      </c>
      <c r="D50" s="22">
        <v>5</v>
      </c>
      <c r="E50" s="24">
        <v>5.7870370370370373E-5</v>
      </c>
      <c r="F50" s="24">
        <v>1.6087962962962963E-3</v>
      </c>
      <c r="G50" s="24">
        <v>6.7129629629629625E-4</v>
      </c>
      <c r="H50" s="24">
        <v>0.96140000000000003</v>
      </c>
      <c r="I50" s="18">
        <f t="shared" si="0"/>
        <v>9.7870000000000006E-3</v>
      </c>
      <c r="J50" s="18">
        <f t="shared" si="5"/>
        <v>9.614000000000001E-3</v>
      </c>
      <c r="K50" s="19">
        <f t="shared" si="2"/>
        <v>5</v>
      </c>
      <c r="L50" s="18">
        <f t="shared" si="3"/>
        <v>2.1276595744680851E-2</v>
      </c>
      <c r="M50" s="18">
        <f t="shared" si="4"/>
        <v>0.97872340425531912</v>
      </c>
    </row>
    <row r="51" spans="1:13" x14ac:dyDescent="0.3">
      <c r="A51" s="22">
        <v>215</v>
      </c>
      <c r="B51" s="22">
        <v>212</v>
      </c>
      <c r="C51" s="23">
        <v>0.98599999999999999</v>
      </c>
      <c r="D51" s="22">
        <v>3</v>
      </c>
      <c r="E51" s="24">
        <v>5.7870370370370373E-5</v>
      </c>
      <c r="F51" s="24">
        <v>1.5509259259259259E-3</v>
      </c>
      <c r="G51" s="24">
        <v>6.7129629629629625E-4</v>
      </c>
      <c r="H51" s="24">
        <v>0.95809999999999995</v>
      </c>
      <c r="I51" s="18">
        <f t="shared" si="0"/>
        <v>9.8600000000000007E-3</v>
      </c>
      <c r="J51" s="18">
        <f t="shared" si="5"/>
        <v>9.5809999999999992E-3</v>
      </c>
      <c r="K51" s="19">
        <f t="shared" si="2"/>
        <v>3</v>
      </c>
      <c r="L51" s="18">
        <f t="shared" si="3"/>
        <v>1.3953488372093023E-2</v>
      </c>
      <c r="M51" s="18">
        <f t="shared" si="4"/>
        <v>0.98604651162790702</v>
      </c>
    </row>
    <row r="52" spans="1:13" x14ac:dyDescent="0.3">
      <c r="A52" s="22">
        <v>85</v>
      </c>
      <c r="B52" s="22">
        <v>85</v>
      </c>
      <c r="C52" s="23">
        <v>1</v>
      </c>
      <c r="D52" s="22">
        <v>0</v>
      </c>
      <c r="E52" s="24">
        <v>3.4722222222222222E-5</v>
      </c>
      <c r="F52" s="24">
        <v>1.6898148148148148E-3</v>
      </c>
      <c r="G52" s="24">
        <v>6.3657407407407413E-4</v>
      </c>
      <c r="H52" s="24">
        <v>0.97650000000000003</v>
      </c>
      <c r="I52" s="18">
        <f t="shared" si="0"/>
        <v>0.01</v>
      </c>
      <c r="J52" s="18">
        <f t="shared" si="5"/>
        <v>9.7650000000000011E-3</v>
      </c>
      <c r="K52" s="19">
        <f t="shared" si="2"/>
        <v>0</v>
      </c>
      <c r="L52" s="18">
        <f t="shared" si="3"/>
        <v>0</v>
      </c>
      <c r="M52" s="18">
        <f t="shared" si="4"/>
        <v>1</v>
      </c>
    </row>
    <row r="53" spans="1:13" x14ac:dyDescent="0.3">
      <c r="A53" s="22">
        <v>195</v>
      </c>
      <c r="B53" s="22">
        <v>195</v>
      </c>
      <c r="C53" s="23">
        <v>1</v>
      </c>
      <c r="D53" s="22">
        <v>0</v>
      </c>
      <c r="E53" s="24">
        <v>5.7870370370370373E-5</v>
      </c>
      <c r="F53" s="24">
        <v>1.6666666666666668E-3</v>
      </c>
      <c r="G53" s="24">
        <v>1.5393518518518519E-3</v>
      </c>
      <c r="H53" s="24">
        <v>0.97440000000000004</v>
      </c>
      <c r="I53" s="18">
        <f t="shared" si="0"/>
        <v>0.01</v>
      </c>
      <c r="J53" s="18">
        <f t="shared" si="5"/>
        <v>9.7440000000000009E-3</v>
      </c>
      <c r="K53" s="19">
        <f t="shared" si="2"/>
        <v>0</v>
      </c>
      <c r="L53" s="18">
        <f t="shared" si="3"/>
        <v>0</v>
      </c>
      <c r="M53" s="18">
        <f t="shared" si="4"/>
        <v>1</v>
      </c>
    </row>
    <row r="54" spans="1:13" x14ac:dyDescent="0.3">
      <c r="A54" s="22">
        <v>188</v>
      </c>
      <c r="B54" s="22">
        <v>182</v>
      </c>
      <c r="C54" s="23">
        <v>0.96809999999999996</v>
      </c>
      <c r="D54" s="22">
        <v>6</v>
      </c>
      <c r="E54" s="24">
        <v>1.7361111111111112E-4</v>
      </c>
      <c r="F54" s="24">
        <v>1.5509259259259259E-3</v>
      </c>
      <c r="G54" s="24">
        <v>1.2847222222222223E-3</v>
      </c>
      <c r="H54" s="24">
        <v>0.83609999999999995</v>
      </c>
      <c r="I54" s="18">
        <f t="shared" si="0"/>
        <v>9.6810000000000004E-3</v>
      </c>
      <c r="J54" s="18">
        <f t="shared" si="5"/>
        <v>8.3610000000000004E-3</v>
      </c>
      <c r="K54" s="19">
        <f t="shared" si="2"/>
        <v>6</v>
      </c>
      <c r="L54" s="18">
        <f t="shared" si="3"/>
        <v>3.1914893617021274E-2</v>
      </c>
      <c r="M54" s="18">
        <f t="shared" si="4"/>
        <v>0.96808510638297873</v>
      </c>
    </row>
    <row r="55" spans="1:13" x14ac:dyDescent="0.3">
      <c r="A55" s="22">
        <v>58</v>
      </c>
      <c r="B55" s="22">
        <v>58</v>
      </c>
      <c r="C55" s="23">
        <v>1</v>
      </c>
      <c r="D55" s="22">
        <v>0</v>
      </c>
      <c r="E55" s="24">
        <v>6.9444444444444444E-5</v>
      </c>
      <c r="F55" s="24">
        <v>1.6435185185185185E-3</v>
      </c>
      <c r="G55" s="24">
        <v>6.018518518518519E-4</v>
      </c>
      <c r="H55" s="24">
        <v>0.94830000000000003</v>
      </c>
      <c r="I55" s="18">
        <f t="shared" si="0"/>
        <v>0.01</v>
      </c>
      <c r="J55" s="18">
        <f t="shared" si="5"/>
        <v>9.4830000000000001E-3</v>
      </c>
      <c r="K55" s="19">
        <f t="shared" si="2"/>
        <v>0</v>
      </c>
      <c r="L55" s="18">
        <f t="shared" si="3"/>
        <v>0</v>
      </c>
      <c r="M55" s="18">
        <f t="shared" si="4"/>
        <v>1</v>
      </c>
    </row>
    <row r="56" spans="1:13" x14ac:dyDescent="0.3">
      <c r="A56" s="22">
        <v>251</v>
      </c>
      <c r="B56" s="22">
        <v>247</v>
      </c>
      <c r="C56" s="23">
        <v>0.98409999999999997</v>
      </c>
      <c r="D56" s="22">
        <v>4</v>
      </c>
      <c r="E56" s="24">
        <v>1.6203703703703703E-4</v>
      </c>
      <c r="F56" s="24">
        <v>1.5740740740740741E-3</v>
      </c>
      <c r="G56" s="24">
        <v>1.3078703703703703E-3</v>
      </c>
      <c r="H56" s="24">
        <v>0.83530000000000004</v>
      </c>
      <c r="I56" s="18">
        <f t="shared" si="0"/>
        <v>9.8409999999999991E-3</v>
      </c>
      <c r="J56" s="18">
        <f t="shared" si="5"/>
        <v>8.353000000000001E-3</v>
      </c>
      <c r="K56" s="19">
        <f t="shared" si="2"/>
        <v>4</v>
      </c>
      <c r="L56" s="18">
        <f t="shared" si="3"/>
        <v>1.5936254980079681E-2</v>
      </c>
      <c r="M56" s="18">
        <f t="shared" si="4"/>
        <v>0.98406374501992033</v>
      </c>
    </row>
    <row r="57" spans="1:13" x14ac:dyDescent="0.3">
      <c r="A57" s="22">
        <v>181</v>
      </c>
      <c r="B57" s="22">
        <v>178</v>
      </c>
      <c r="C57" s="23">
        <v>0.98340000000000005</v>
      </c>
      <c r="D57" s="22">
        <v>3</v>
      </c>
      <c r="E57" s="24">
        <v>1.3888888888888889E-4</v>
      </c>
      <c r="F57" s="24">
        <v>1.6666666666666668E-3</v>
      </c>
      <c r="G57" s="24">
        <v>1.3541666666666667E-3</v>
      </c>
      <c r="H57" s="24">
        <v>0.8619</v>
      </c>
      <c r="I57" s="18">
        <f t="shared" si="0"/>
        <v>9.8340000000000007E-3</v>
      </c>
      <c r="J57" s="18">
        <f t="shared" si="5"/>
        <v>8.6189999999999999E-3</v>
      </c>
      <c r="K57" s="19">
        <f t="shared" si="2"/>
        <v>3</v>
      </c>
      <c r="L57" s="18">
        <f t="shared" si="3"/>
        <v>1.6574585635359115E-2</v>
      </c>
      <c r="M57" s="18">
        <f t="shared" si="4"/>
        <v>0.98342541436464093</v>
      </c>
    </row>
    <row r="58" spans="1:13" x14ac:dyDescent="0.3">
      <c r="A58" s="22">
        <v>228</v>
      </c>
      <c r="B58" s="22">
        <v>213</v>
      </c>
      <c r="C58" s="23">
        <v>0.93420000000000003</v>
      </c>
      <c r="D58" s="22">
        <v>15</v>
      </c>
      <c r="E58" s="24">
        <v>3.0092592592592595E-4</v>
      </c>
      <c r="F58" s="24">
        <v>1.5740740740740741E-3</v>
      </c>
      <c r="G58" s="24">
        <v>2.1643518518518518E-3</v>
      </c>
      <c r="H58" s="24">
        <v>0.63560000000000005</v>
      </c>
      <c r="I58" s="18">
        <f t="shared" si="0"/>
        <v>9.3419999999999996E-3</v>
      </c>
      <c r="J58" s="18">
        <f t="shared" si="5"/>
        <v>6.3560000000000005E-3</v>
      </c>
      <c r="K58" s="19">
        <f t="shared" si="2"/>
        <v>15</v>
      </c>
      <c r="L58" s="18">
        <f t="shared" si="3"/>
        <v>6.5789473684210523E-2</v>
      </c>
      <c r="M58" s="18">
        <f t="shared" si="4"/>
        <v>0.93421052631578949</v>
      </c>
    </row>
    <row r="59" spans="1:13" x14ac:dyDescent="0.3">
      <c r="A59" s="22">
        <v>165</v>
      </c>
      <c r="B59" s="22">
        <v>163</v>
      </c>
      <c r="C59" s="23">
        <v>0.9879</v>
      </c>
      <c r="D59" s="22">
        <v>2</v>
      </c>
      <c r="E59" s="24">
        <v>1.0416666666666667E-4</v>
      </c>
      <c r="F59" s="24">
        <v>1.6782407407407408E-3</v>
      </c>
      <c r="G59" s="24">
        <v>1.6203703703703703E-3</v>
      </c>
      <c r="H59" s="24">
        <v>0.90239999999999998</v>
      </c>
      <c r="I59" s="18">
        <f t="shared" si="0"/>
        <v>9.8790000000000006E-3</v>
      </c>
      <c r="J59" s="18">
        <f t="shared" si="5"/>
        <v>9.023999999999999E-3</v>
      </c>
      <c r="K59" s="19">
        <f t="shared" si="2"/>
        <v>2</v>
      </c>
      <c r="L59" s="18">
        <f t="shared" si="3"/>
        <v>1.2121212121212121E-2</v>
      </c>
      <c r="M59" s="18">
        <f t="shared" si="4"/>
        <v>0.98787878787878791</v>
      </c>
    </row>
    <row r="60" spans="1:13" x14ac:dyDescent="0.3">
      <c r="A60" s="22">
        <v>185</v>
      </c>
      <c r="B60" s="22">
        <v>179</v>
      </c>
      <c r="C60" s="23">
        <v>0.96760000000000002</v>
      </c>
      <c r="D60" s="22">
        <v>6</v>
      </c>
      <c r="E60" s="24">
        <v>1.9675925925925926E-4</v>
      </c>
      <c r="F60" s="24">
        <v>1.5856481481481481E-3</v>
      </c>
      <c r="G60" s="24">
        <v>1.7708333333333332E-3</v>
      </c>
      <c r="H60" s="24">
        <v>0.78569999999999995</v>
      </c>
      <c r="I60" s="18">
        <f t="shared" si="0"/>
        <v>9.6760000000000006E-3</v>
      </c>
      <c r="J60" s="18">
        <f t="shared" si="5"/>
        <v>7.8569999999999994E-3</v>
      </c>
      <c r="K60" s="19">
        <f t="shared" si="2"/>
        <v>6</v>
      </c>
      <c r="L60" s="18">
        <f t="shared" si="3"/>
        <v>3.2432432432432434E-2</v>
      </c>
      <c r="M60" s="18">
        <f t="shared" si="4"/>
        <v>0.96756756756756757</v>
      </c>
    </row>
    <row r="61" spans="1:13" x14ac:dyDescent="0.3">
      <c r="A61" s="22">
        <v>172</v>
      </c>
      <c r="B61" s="22">
        <v>164</v>
      </c>
      <c r="C61" s="23">
        <v>0.95350000000000001</v>
      </c>
      <c r="D61" s="22">
        <v>8</v>
      </c>
      <c r="E61" s="24">
        <v>2.0833333333333335E-4</v>
      </c>
      <c r="F61" s="24">
        <v>1.7013888888888888E-3</v>
      </c>
      <c r="G61" s="24">
        <v>2.8819444444444444E-3</v>
      </c>
      <c r="H61" s="24">
        <v>0.77059999999999995</v>
      </c>
      <c r="I61" s="18">
        <f t="shared" si="0"/>
        <v>9.5350000000000001E-3</v>
      </c>
      <c r="J61" s="18">
        <f t="shared" si="5"/>
        <v>7.7059999999999993E-3</v>
      </c>
      <c r="K61" s="19">
        <f t="shared" si="2"/>
        <v>8</v>
      </c>
      <c r="L61" s="18">
        <f t="shared" si="3"/>
        <v>4.6511627906976744E-2</v>
      </c>
      <c r="M61" s="18">
        <f t="shared" si="4"/>
        <v>0.95348837209302328</v>
      </c>
    </row>
    <row r="62" spans="1:13" x14ac:dyDescent="0.3">
      <c r="A62" s="22">
        <v>57</v>
      </c>
      <c r="B62" s="22">
        <v>51</v>
      </c>
      <c r="C62" s="23">
        <v>0.89470000000000005</v>
      </c>
      <c r="D62" s="22">
        <v>6</v>
      </c>
      <c r="E62" s="24">
        <v>8.1018518518518516E-5</v>
      </c>
      <c r="F62" s="24">
        <v>1.238425925925926E-3</v>
      </c>
      <c r="G62" s="24">
        <v>2.5462962962962965E-3</v>
      </c>
      <c r="H62" s="24">
        <v>0.90569999999999995</v>
      </c>
      <c r="I62" s="18">
        <f t="shared" si="0"/>
        <v>8.9470000000000001E-3</v>
      </c>
      <c r="J62" s="18">
        <f t="shared" si="5"/>
        <v>9.0569999999999991E-3</v>
      </c>
      <c r="K62" s="19">
        <f t="shared" si="2"/>
        <v>6</v>
      </c>
      <c r="L62" s="18">
        <f t="shared" si="3"/>
        <v>0.10526315789473684</v>
      </c>
      <c r="M62" s="18">
        <f t="shared" si="4"/>
        <v>0.89473684210526316</v>
      </c>
    </row>
    <row r="63" spans="1:13" x14ac:dyDescent="0.3">
      <c r="A63" s="22">
        <v>200</v>
      </c>
      <c r="B63" s="22">
        <v>192</v>
      </c>
      <c r="C63" s="23">
        <v>0.96</v>
      </c>
      <c r="D63" s="22">
        <v>8</v>
      </c>
      <c r="E63" s="24">
        <v>1.1574074074074075E-4</v>
      </c>
      <c r="F63" s="24">
        <v>1.5972222222222223E-3</v>
      </c>
      <c r="G63" s="24">
        <v>1.9560185185185184E-3</v>
      </c>
      <c r="H63" s="24">
        <v>0.86429999999999996</v>
      </c>
      <c r="I63" s="18">
        <f t="shared" si="0"/>
        <v>9.5999999999999992E-3</v>
      </c>
      <c r="J63" s="18">
        <f t="shared" si="5"/>
        <v>8.6429999999999996E-3</v>
      </c>
      <c r="K63" s="19">
        <f t="shared" si="2"/>
        <v>8</v>
      </c>
      <c r="L63" s="18">
        <f t="shared" si="3"/>
        <v>0.04</v>
      </c>
      <c r="M63" s="18">
        <f t="shared" si="4"/>
        <v>0.96</v>
      </c>
    </row>
    <row r="64" spans="1:13" x14ac:dyDescent="0.3">
      <c r="A64" s="22">
        <v>202</v>
      </c>
      <c r="B64" s="22">
        <v>199</v>
      </c>
      <c r="C64" s="23">
        <v>0.98509999999999998</v>
      </c>
      <c r="D64" s="22">
        <v>3</v>
      </c>
      <c r="E64" s="24">
        <v>9.2592592592592588E-5</v>
      </c>
      <c r="F64" s="24">
        <v>1.4467592592592592E-3</v>
      </c>
      <c r="G64" s="24">
        <v>8.9120370370370373E-4</v>
      </c>
      <c r="H64" s="24">
        <v>0.91</v>
      </c>
      <c r="I64" s="18">
        <f t="shared" si="0"/>
        <v>9.8510000000000004E-3</v>
      </c>
      <c r="J64" s="18">
        <f t="shared" si="5"/>
        <v>9.1000000000000004E-3</v>
      </c>
      <c r="K64" s="19">
        <f t="shared" si="2"/>
        <v>3</v>
      </c>
      <c r="L64" s="18">
        <f t="shared" si="3"/>
        <v>1.4851485148514851E-2</v>
      </c>
      <c r="M64" s="18">
        <f t="shared" si="4"/>
        <v>0.98514851485148514</v>
      </c>
    </row>
    <row r="65" spans="1:13" x14ac:dyDescent="0.3">
      <c r="A65" s="22">
        <v>217</v>
      </c>
      <c r="B65" s="22">
        <v>212</v>
      </c>
      <c r="C65" s="23">
        <v>0.97699999999999998</v>
      </c>
      <c r="D65" s="22">
        <v>5</v>
      </c>
      <c r="E65" s="24">
        <v>8.1018518518518516E-5</v>
      </c>
      <c r="F65" s="24">
        <v>1.3310185185185185E-3</v>
      </c>
      <c r="G65" s="24">
        <v>1.2731481481481483E-3</v>
      </c>
      <c r="H65" s="24">
        <v>0.94420000000000004</v>
      </c>
      <c r="I65" s="18">
        <f t="shared" si="0"/>
        <v>9.7699999999999992E-3</v>
      </c>
      <c r="J65" s="18">
        <f t="shared" si="5"/>
        <v>9.4420000000000007E-3</v>
      </c>
      <c r="K65" s="19">
        <f t="shared" si="2"/>
        <v>5</v>
      </c>
      <c r="L65" s="18">
        <f t="shared" si="3"/>
        <v>2.3041474654377881E-2</v>
      </c>
      <c r="M65" s="18">
        <f t="shared" si="4"/>
        <v>0.97695852534562211</v>
      </c>
    </row>
    <row r="66" spans="1:13" x14ac:dyDescent="0.3">
      <c r="A66" s="22">
        <v>225</v>
      </c>
      <c r="B66" s="22">
        <v>223</v>
      </c>
      <c r="C66" s="23">
        <v>0.99109999999999998</v>
      </c>
      <c r="D66" s="22">
        <v>2</v>
      </c>
      <c r="E66" s="24">
        <v>1.0416666666666667E-4</v>
      </c>
      <c r="F66" s="24">
        <v>1.4930555555555556E-3</v>
      </c>
      <c r="G66" s="24">
        <v>7.6388888888888893E-4</v>
      </c>
      <c r="H66" s="24">
        <v>0.91930000000000001</v>
      </c>
      <c r="I66" s="18">
        <f t="shared" si="0"/>
        <v>9.9109999999999997E-3</v>
      </c>
      <c r="J66" s="18">
        <f t="shared" si="5"/>
        <v>9.1929999999999998E-3</v>
      </c>
      <c r="K66" s="19">
        <f t="shared" si="2"/>
        <v>2</v>
      </c>
      <c r="L66" s="18">
        <f t="shared" si="3"/>
        <v>8.8888888888888889E-3</v>
      </c>
      <c r="M66" s="18">
        <f t="shared" si="4"/>
        <v>0.99111111111111116</v>
      </c>
    </row>
    <row r="67" spans="1:13" x14ac:dyDescent="0.3">
      <c r="A67" s="22">
        <v>235</v>
      </c>
      <c r="B67" s="22">
        <v>231</v>
      </c>
      <c r="C67" s="23">
        <v>0.98299999999999998</v>
      </c>
      <c r="D67" s="22">
        <v>4</v>
      </c>
      <c r="E67" s="24">
        <v>9.2592592592592588E-5</v>
      </c>
      <c r="F67" s="24">
        <v>1.6087962962962963E-3</v>
      </c>
      <c r="G67" s="24">
        <v>7.6388888888888893E-4</v>
      </c>
      <c r="H67" s="24">
        <v>0.95709999999999995</v>
      </c>
      <c r="I67" s="18">
        <f t="shared" ref="I67:I130" si="6">VALUE(SUBSTITUTE(C67,"%",""))/100</f>
        <v>9.8300000000000002E-3</v>
      </c>
      <c r="J67" s="18">
        <f t="shared" si="5"/>
        <v>9.5709999999999996E-3</v>
      </c>
      <c r="K67" s="19">
        <f t="shared" ref="K67:K130" si="7">A67-B67</f>
        <v>4</v>
      </c>
      <c r="L67" s="18">
        <f t="shared" ref="L67:L130" si="8">D67/A67</f>
        <v>1.7021276595744681E-2</v>
      </c>
      <c r="M67" s="18">
        <f t="shared" ref="M67:M130" si="9">B67/A67</f>
        <v>0.98297872340425529</v>
      </c>
    </row>
    <row r="68" spans="1:13" x14ac:dyDescent="0.3">
      <c r="A68" s="22">
        <v>202</v>
      </c>
      <c r="B68" s="22">
        <v>201</v>
      </c>
      <c r="C68" s="23">
        <v>0.995</v>
      </c>
      <c r="D68" s="22">
        <v>1</v>
      </c>
      <c r="E68" s="24">
        <v>9.2592592592592588E-5</v>
      </c>
      <c r="F68" s="24">
        <v>1.6319444444444445E-3</v>
      </c>
      <c r="G68" s="24">
        <v>1.3078703703703703E-3</v>
      </c>
      <c r="H68" s="24">
        <v>0.94550000000000001</v>
      </c>
      <c r="I68" s="18">
        <f t="shared" si="6"/>
        <v>9.9500000000000005E-3</v>
      </c>
      <c r="J68" s="18">
        <f t="shared" si="5"/>
        <v>9.4549999999999999E-3</v>
      </c>
      <c r="K68" s="19">
        <f t="shared" si="7"/>
        <v>1</v>
      </c>
      <c r="L68" s="18">
        <f t="shared" si="8"/>
        <v>4.9504950495049506E-3</v>
      </c>
      <c r="M68" s="18">
        <f t="shared" si="9"/>
        <v>0.99504950495049505</v>
      </c>
    </row>
    <row r="69" spans="1:13" x14ac:dyDescent="0.3">
      <c r="A69" s="22">
        <v>43</v>
      </c>
      <c r="B69" s="22">
        <v>39</v>
      </c>
      <c r="C69" s="23">
        <v>0.90700000000000003</v>
      </c>
      <c r="D69" s="22">
        <v>4</v>
      </c>
      <c r="E69" s="24">
        <v>1.273148148148148E-4</v>
      </c>
      <c r="F69" s="24">
        <v>1.5625000000000001E-3</v>
      </c>
      <c r="G69" s="24">
        <v>1.2731481481481483E-3</v>
      </c>
      <c r="H69" s="24">
        <v>0.76190000000000002</v>
      </c>
      <c r="I69" s="18">
        <f t="shared" si="6"/>
        <v>9.0699999999999999E-3</v>
      </c>
      <c r="J69" s="18">
        <f t="shared" si="5"/>
        <v>7.6189999999999999E-3</v>
      </c>
      <c r="K69" s="19">
        <f t="shared" si="7"/>
        <v>4</v>
      </c>
      <c r="L69" s="18">
        <f t="shared" si="8"/>
        <v>9.3023255813953487E-2</v>
      </c>
      <c r="M69" s="18">
        <f t="shared" si="9"/>
        <v>0.90697674418604646</v>
      </c>
    </row>
    <row r="70" spans="1:13" x14ac:dyDescent="0.3">
      <c r="A70" s="22">
        <v>194</v>
      </c>
      <c r="B70" s="22">
        <v>187</v>
      </c>
      <c r="C70" s="23">
        <v>0.96389999999999998</v>
      </c>
      <c r="D70" s="22">
        <v>7</v>
      </c>
      <c r="E70" s="24">
        <v>1.1574074074074075E-4</v>
      </c>
      <c r="F70" s="24">
        <v>1.7013888888888888E-3</v>
      </c>
      <c r="G70" s="24">
        <v>1.736111111111111E-3</v>
      </c>
      <c r="H70" s="24">
        <v>0.87429999999999997</v>
      </c>
      <c r="I70" s="18">
        <f t="shared" si="6"/>
        <v>9.639E-3</v>
      </c>
      <c r="J70" s="18">
        <f t="shared" ref="J70:J133" si="10">VALUE(SUBSTITUTE(H70,"%",""))/100</f>
        <v>8.742999999999999E-3</v>
      </c>
      <c r="K70" s="19">
        <f t="shared" si="7"/>
        <v>7</v>
      </c>
      <c r="L70" s="18">
        <f t="shared" si="8"/>
        <v>3.608247422680412E-2</v>
      </c>
      <c r="M70" s="18">
        <f t="shared" si="9"/>
        <v>0.96391752577319589</v>
      </c>
    </row>
    <row r="71" spans="1:13" x14ac:dyDescent="0.3">
      <c r="A71" s="22">
        <v>202</v>
      </c>
      <c r="B71" s="22">
        <v>199</v>
      </c>
      <c r="C71" s="23">
        <v>0.98509999999999998</v>
      </c>
      <c r="D71" s="22">
        <v>3</v>
      </c>
      <c r="E71" s="24">
        <v>1.5046296296296297E-4</v>
      </c>
      <c r="F71" s="24">
        <v>1.6550925925925926E-3</v>
      </c>
      <c r="G71" s="24">
        <v>1.3657407407407407E-3</v>
      </c>
      <c r="H71" s="24">
        <v>0.86070000000000002</v>
      </c>
      <c r="I71" s="18">
        <f t="shared" si="6"/>
        <v>9.8510000000000004E-3</v>
      </c>
      <c r="J71" s="18">
        <f t="shared" si="10"/>
        <v>8.6070000000000001E-3</v>
      </c>
      <c r="K71" s="19">
        <f t="shared" si="7"/>
        <v>3</v>
      </c>
      <c r="L71" s="18">
        <f t="shared" si="8"/>
        <v>1.4851485148514851E-2</v>
      </c>
      <c r="M71" s="18">
        <f t="shared" si="9"/>
        <v>0.98514851485148514</v>
      </c>
    </row>
    <row r="72" spans="1:13" x14ac:dyDescent="0.3">
      <c r="A72" s="22">
        <v>146</v>
      </c>
      <c r="B72" s="22">
        <v>140</v>
      </c>
      <c r="C72" s="23">
        <v>0.95889999999999997</v>
      </c>
      <c r="D72" s="22">
        <v>6</v>
      </c>
      <c r="E72" s="24">
        <v>1.3888888888888889E-4</v>
      </c>
      <c r="F72" s="24">
        <v>1.5393518518518519E-3</v>
      </c>
      <c r="G72" s="24">
        <v>3.1828703703703702E-3</v>
      </c>
      <c r="H72" s="24">
        <v>0.83450000000000002</v>
      </c>
      <c r="I72" s="18">
        <f t="shared" si="6"/>
        <v>9.5890000000000003E-3</v>
      </c>
      <c r="J72" s="18">
        <f t="shared" si="10"/>
        <v>8.345E-3</v>
      </c>
      <c r="K72" s="19">
        <f t="shared" si="7"/>
        <v>6</v>
      </c>
      <c r="L72" s="18">
        <f t="shared" si="8"/>
        <v>4.1095890410958902E-2</v>
      </c>
      <c r="M72" s="18">
        <f t="shared" si="9"/>
        <v>0.95890410958904104</v>
      </c>
    </row>
    <row r="73" spans="1:13" x14ac:dyDescent="0.3">
      <c r="A73" s="22">
        <v>147</v>
      </c>
      <c r="B73" s="22">
        <v>145</v>
      </c>
      <c r="C73" s="23">
        <v>0.98640000000000005</v>
      </c>
      <c r="D73" s="22">
        <v>2</v>
      </c>
      <c r="E73" s="24">
        <v>1.0416666666666667E-4</v>
      </c>
      <c r="F73" s="24">
        <v>1.5625000000000001E-3</v>
      </c>
      <c r="G73" s="24">
        <v>6.7129629629629625E-4</v>
      </c>
      <c r="H73" s="24">
        <v>0.91159999999999997</v>
      </c>
      <c r="I73" s="18">
        <f t="shared" si="6"/>
        <v>9.8640000000000012E-3</v>
      </c>
      <c r="J73" s="18">
        <f t="shared" si="10"/>
        <v>9.1159999999999991E-3</v>
      </c>
      <c r="K73" s="19">
        <f t="shared" si="7"/>
        <v>2</v>
      </c>
      <c r="L73" s="18">
        <f t="shared" si="8"/>
        <v>1.3605442176870748E-2</v>
      </c>
      <c r="M73" s="18">
        <f t="shared" si="9"/>
        <v>0.98639455782312924</v>
      </c>
    </row>
    <row r="74" spans="1:13" x14ac:dyDescent="0.3">
      <c r="A74" s="22">
        <v>155</v>
      </c>
      <c r="B74" s="22">
        <v>145</v>
      </c>
      <c r="C74" s="23">
        <v>0.9355</v>
      </c>
      <c r="D74" s="22">
        <v>10</v>
      </c>
      <c r="E74" s="24">
        <v>1.3888888888888889E-4</v>
      </c>
      <c r="F74" s="24">
        <v>1.7708333333333332E-3</v>
      </c>
      <c r="G74" s="24">
        <v>3.1597222222222222E-3</v>
      </c>
      <c r="H74" s="24">
        <v>0.82240000000000002</v>
      </c>
      <c r="I74" s="18">
        <f t="shared" si="6"/>
        <v>9.3550000000000005E-3</v>
      </c>
      <c r="J74" s="18">
        <f t="shared" si="10"/>
        <v>8.2240000000000004E-3</v>
      </c>
      <c r="K74" s="19">
        <f t="shared" si="7"/>
        <v>10</v>
      </c>
      <c r="L74" s="18">
        <f t="shared" si="8"/>
        <v>6.4516129032258063E-2</v>
      </c>
      <c r="M74" s="18">
        <f t="shared" si="9"/>
        <v>0.93548387096774188</v>
      </c>
    </row>
    <row r="75" spans="1:13" x14ac:dyDescent="0.3">
      <c r="A75" s="22">
        <v>157</v>
      </c>
      <c r="B75" s="22">
        <v>156</v>
      </c>
      <c r="C75" s="23">
        <v>0.99360000000000004</v>
      </c>
      <c r="D75" s="22">
        <v>1</v>
      </c>
      <c r="E75" s="24">
        <v>1.0416666666666667E-4</v>
      </c>
      <c r="F75" s="24">
        <v>1.6666666666666668E-3</v>
      </c>
      <c r="G75" s="24">
        <v>6.134259259259259E-4</v>
      </c>
      <c r="H75" s="24">
        <v>0.92949999999999999</v>
      </c>
      <c r="I75" s="18">
        <f t="shared" si="6"/>
        <v>9.9360000000000004E-3</v>
      </c>
      <c r="J75" s="18">
        <f t="shared" si="10"/>
        <v>9.2949999999999994E-3</v>
      </c>
      <c r="K75" s="19">
        <f t="shared" si="7"/>
        <v>1</v>
      </c>
      <c r="L75" s="18">
        <f t="shared" si="8"/>
        <v>6.369426751592357E-3</v>
      </c>
      <c r="M75" s="18">
        <f t="shared" si="9"/>
        <v>0.99363057324840764</v>
      </c>
    </row>
    <row r="76" spans="1:13" x14ac:dyDescent="0.3">
      <c r="A76" s="22">
        <v>38</v>
      </c>
      <c r="B76" s="22">
        <v>36</v>
      </c>
      <c r="C76" s="23">
        <v>0.94740000000000002</v>
      </c>
      <c r="D76" s="22">
        <v>2</v>
      </c>
      <c r="E76" s="24">
        <v>1.5046296296296297E-4</v>
      </c>
      <c r="F76" s="24">
        <v>1.5162037037037036E-3</v>
      </c>
      <c r="G76" s="24">
        <v>6.8287037037037036E-4</v>
      </c>
      <c r="H76" s="24">
        <v>0.83779999999999999</v>
      </c>
      <c r="I76" s="18">
        <f t="shared" si="6"/>
        <v>9.4739999999999998E-3</v>
      </c>
      <c r="J76" s="18">
        <f t="shared" si="10"/>
        <v>8.378E-3</v>
      </c>
      <c r="K76" s="19">
        <f t="shared" si="7"/>
        <v>2</v>
      </c>
      <c r="L76" s="18">
        <f t="shared" si="8"/>
        <v>5.2631578947368418E-2</v>
      </c>
      <c r="M76" s="18">
        <f t="shared" si="9"/>
        <v>0.94736842105263153</v>
      </c>
    </row>
    <row r="77" spans="1:13" x14ac:dyDescent="0.3">
      <c r="A77" s="22">
        <v>166</v>
      </c>
      <c r="B77" s="22">
        <v>162</v>
      </c>
      <c r="C77" s="23">
        <v>0.97589999999999999</v>
      </c>
      <c r="D77" s="22">
        <v>4</v>
      </c>
      <c r="E77" s="24">
        <v>1.0416666666666667E-4</v>
      </c>
      <c r="F77" s="24">
        <v>1.724537037037037E-3</v>
      </c>
      <c r="G77" s="24">
        <v>1.9097222222222222E-3</v>
      </c>
      <c r="H77" s="24">
        <v>0.89090000000000003</v>
      </c>
      <c r="I77" s="18">
        <f t="shared" si="6"/>
        <v>9.7590000000000003E-3</v>
      </c>
      <c r="J77" s="18">
        <f t="shared" si="10"/>
        <v>8.9090000000000003E-3</v>
      </c>
      <c r="K77" s="19">
        <f t="shared" si="7"/>
        <v>4</v>
      </c>
      <c r="L77" s="18">
        <f t="shared" si="8"/>
        <v>2.4096385542168676E-2</v>
      </c>
      <c r="M77" s="18">
        <f t="shared" si="9"/>
        <v>0.97590361445783136</v>
      </c>
    </row>
    <row r="78" spans="1:13" x14ac:dyDescent="0.3">
      <c r="A78" s="22">
        <v>226</v>
      </c>
      <c r="B78" s="22">
        <v>216</v>
      </c>
      <c r="C78" s="23">
        <v>0.95579999999999998</v>
      </c>
      <c r="D78" s="22">
        <v>10</v>
      </c>
      <c r="E78" s="24">
        <v>1.5046296296296297E-4</v>
      </c>
      <c r="F78" s="24">
        <v>1.5625000000000001E-3</v>
      </c>
      <c r="G78" s="24">
        <v>1.2268518518518518E-3</v>
      </c>
      <c r="H78" s="24">
        <v>0.8145</v>
      </c>
      <c r="I78" s="18">
        <f t="shared" si="6"/>
        <v>9.5580000000000005E-3</v>
      </c>
      <c r="J78" s="18">
        <f t="shared" si="10"/>
        <v>8.1449999999999995E-3</v>
      </c>
      <c r="K78" s="19">
        <f t="shared" si="7"/>
        <v>10</v>
      </c>
      <c r="L78" s="18">
        <f t="shared" si="8"/>
        <v>4.4247787610619468E-2</v>
      </c>
      <c r="M78" s="18">
        <f t="shared" si="9"/>
        <v>0.95575221238938057</v>
      </c>
    </row>
    <row r="79" spans="1:13" x14ac:dyDescent="0.3">
      <c r="A79" s="22">
        <v>253</v>
      </c>
      <c r="B79" s="22">
        <v>247</v>
      </c>
      <c r="C79" s="23">
        <v>0.97629999999999995</v>
      </c>
      <c r="D79" s="22">
        <v>6</v>
      </c>
      <c r="E79" s="24">
        <v>1.1574074074074075E-4</v>
      </c>
      <c r="F79" s="24">
        <v>1.3194444444444445E-3</v>
      </c>
      <c r="G79" s="24">
        <v>8.9120370370370373E-4</v>
      </c>
      <c r="H79" s="24">
        <v>0.88490000000000002</v>
      </c>
      <c r="I79" s="18">
        <f t="shared" si="6"/>
        <v>9.7629999999999991E-3</v>
      </c>
      <c r="J79" s="18">
        <f t="shared" si="10"/>
        <v>8.849000000000001E-3</v>
      </c>
      <c r="K79" s="19">
        <f t="shared" si="7"/>
        <v>6</v>
      </c>
      <c r="L79" s="18">
        <f t="shared" si="8"/>
        <v>2.3715415019762844E-2</v>
      </c>
      <c r="M79" s="18">
        <f t="shared" si="9"/>
        <v>0.97628458498023718</v>
      </c>
    </row>
    <row r="80" spans="1:13" x14ac:dyDescent="0.3">
      <c r="A80" s="22">
        <v>134</v>
      </c>
      <c r="B80" s="22">
        <v>134</v>
      </c>
      <c r="C80" s="23">
        <v>1</v>
      </c>
      <c r="D80" s="22">
        <v>0</v>
      </c>
      <c r="E80" s="24">
        <v>3.4722222222222222E-5</v>
      </c>
      <c r="F80" s="24">
        <v>1.5393518518518519E-3</v>
      </c>
      <c r="G80" s="24">
        <v>3.0092592592592595E-4</v>
      </c>
      <c r="H80" s="24">
        <v>1</v>
      </c>
      <c r="I80" s="18">
        <f t="shared" si="6"/>
        <v>0.01</v>
      </c>
      <c r="J80" s="18">
        <f t="shared" si="10"/>
        <v>0.01</v>
      </c>
      <c r="K80" s="19">
        <f t="shared" si="7"/>
        <v>0</v>
      </c>
      <c r="L80" s="18">
        <f t="shared" si="8"/>
        <v>0</v>
      </c>
      <c r="M80" s="18">
        <f t="shared" si="9"/>
        <v>1</v>
      </c>
    </row>
    <row r="81" spans="1:13" x14ac:dyDescent="0.3">
      <c r="A81" s="22">
        <v>70</v>
      </c>
      <c r="B81" s="22">
        <v>67</v>
      </c>
      <c r="C81" s="23">
        <v>0.95709999999999995</v>
      </c>
      <c r="D81" s="22">
        <v>3</v>
      </c>
      <c r="E81" s="24">
        <v>1.3888888888888889E-4</v>
      </c>
      <c r="F81" s="24">
        <v>1.4004629629629629E-3</v>
      </c>
      <c r="G81" s="24">
        <v>8.7962962962962962E-4</v>
      </c>
      <c r="H81" s="24">
        <v>0.83819999999999995</v>
      </c>
      <c r="I81" s="18">
        <f t="shared" si="6"/>
        <v>9.5709999999999996E-3</v>
      </c>
      <c r="J81" s="18">
        <f t="shared" si="10"/>
        <v>8.3819999999999988E-3</v>
      </c>
      <c r="K81" s="19">
        <f t="shared" si="7"/>
        <v>3</v>
      </c>
      <c r="L81" s="18">
        <f t="shared" si="8"/>
        <v>4.2857142857142858E-2</v>
      </c>
      <c r="M81" s="18">
        <f t="shared" si="9"/>
        <v>0.95714285714285718</v>
      </c>
    </row>
    <row r="82" spans="1:13" x14ac:dyDescent="0.3">
      <c r="A82" s="22">
        <v>83</v>
      </c>
      <c r="B82" s="22">
        <v>82</v>
      </c>
      <c r="C82" s="23">
        <v>0.98799999999999999</v>
      </c>
      <c r="D82" s="22">
        <v>1</v>
      </c>
      <c r="E82" s="24">
        <v>8.1018518518518516E-5</v>
      </c>
      <c r="F82" s="24">
        <v>1.4236111111111112E-3</v>
      </c>
      <c r="G82" s="24">
        <v>8.7962962962962962E-4</v>
      </c>
      <c r="H82" s="24">
        <v>0.95179999999999998</v>
      </c>
      <c r="I82" s="18">
        <f t="shared" si="6"/>
        <v>9.8799999999999999E-3</v>
      </c>
      <c r="J82" s="18">
        <f t="shared" si="10"/>
        <v>9.5180000000000004E-3</v>
      </c>
      <c r="K82" s="19">
        <f t="shared" si="7"/>
        <v>1</v>
      </c>
      <c r="L82" s="18">
        <f t="shared" si="8"/>
        <v>1.2048192771084338E-2</v>
      </c>
      <c r="M82" s="18">
        <f t="shared" si="9"/>
        <v>0.98795180722891562</v>
      </c>
    </row>
    <row r="83" spans="1:13" x14ac:dyDescent="0.3">
      <c r="A83" s="22">
        <v>42</v>
      </c>
      <c r="B83" s="22">
        <v>40</v>
      </c>
      <c r="C83" s="23">
        <v>0.95240000000000002</v>
      </c>
      <c r="D83" s="22">
        <v>2</v>
      </c>
      <c r="E83" s="24">
        <v>9.2592592592592588E-5</v>
      </c>
      <c r="F83" s="24">
        <v>1.2847222222222223E-3</v>
      </c>
      <c r="G83" s="24">
        <v>1.1111111111111111E-3</v>
      </c>
      <c r="H83" s="24">
        <v>0.90239999999999998</v>
      </c>
      <c r="I83" s="18">
        <f t="shared" si="6"/>
        <v>9.5239999999999995E-3</v>
      </c>
      <c r="J83" s="18">
        <f t="shared" si="10"/>
        <v>9.023999999999999E-3</v>
      </c>
      <c r="K83" s="19">
        <f t="shared" si="7"/>
        <v>2</v>
      </c>
      <c r="L83" s="18">
        <f t="shared" si="8"/>
        <v>4.7619047619047616E-2</v>
      </c>
      <c r="M83" s="18">
        <f t="shared" si="9"/>
        <v>0.95238095238095233</v>
      </c>
    </row>
    <row r="84" spans="1:13" x14ac:dyDescent="0.3">
      <c r="A84" s="22">
        <v>66</v>
      </c>
      <c r="B84" s="22">
        <v>64</v>
      </c>
      <c r="C84" s="23">
        <v>0.96970000000000001</v>
      </c>
      <c r="D84" s="22">
        <v>2</v>
      </c>
      <c r="E84" s="24">
        <v>5.7870370370370373E-5</v>
      </c>
      <c r="F84" s="24">
        <v>1.3888888888888889E-3</v>
      </c>
      <c r="G84" s="24">
        <v>1.1458333333333333E-3</v>
      </c>
      <c r="H84" s="24">
        <v>0.95450000000000002</v>
      </c>
      <c r="I84" s="18">
        <f t="shared" si="6"/>
        <v>9.6970000000000008E-3</v>
      </c>
      <c r="J84" s="18">
        <f t="shared" si="10"/>
        <v>9.5449999999999997E-3</v>
      </c>
      <c r="K84" s="19">
        <f t="shared" si="7"/>
        <v>2</v>
      </c>
      <c r="L84" s="18">
        <f t="shared" si="8"/>
        <v>3.0303030303030304E-2</v>
      </c>
      <c r="M84" s="18">
        <f t="shared" si="9"/>
        <v>0.96969696969696972</v>
      </c>
    </row>
    <row r="85" spans="1:13" x14ac:dyDescent="0.3">
      <c r="A85" s="22">
        <v>153</v>
      </c>
      <c r="B85" s="22">
        <v>146</v>
      </c>
      <c r="C85" s="23">
        <v>0.95420000000000005</v>
      </c>
      <c r="D85" s="22">
        <v>7</v>
      </c>
      <c r="E85" s="24">
        <v>2.3148148148148149E-4</v>
      </c>
      <c r="F85" s="24">
        <v>1.4814814814814814E-3</v>
      </c>
      <c r="G85" s="24">
        <v>3.1481481481481482E-3</v>
      </c>
      <c r="H85" s="24">
        <v>0.76</v>
      </c>
      <c r="I85" s="18">
        <f t="shared" si="6"/>
        <v>9.5420000000000001E-3</v>
      </c>
      <c r="J85" s="18">
        <f t="shared" si="10"/>
        <v>7.6E-3</v>
      </c>
      <c r="K85" s="19">
        <f t="shared" si="7"/>
        <v>7</v>
      </c>
      <c r="L85" s="18">
        <f t="shared" si="8"/>
        <v>4.5751633986928102E-2</v>
      </c>
      <c r="M85" s="18">
        <f t="shared" si="9"/>
        <v>0.95424836601307195</v>
      </c>
    </row>
    <row r="86" spans="1:13" x14ac:dyDescent="0.3">
      <c r="A86" s="22">
        <v>141</v>
      </c>
      <c r="B86" s="22">
        <v>135</v>
      </c>
      <c r="C86" s="23">
        <v>0.95740000000000003</v>
      </c>
      <c r="D86" s="22">
        <v>6</v>
      </c>
      <c r="E86" s="24">
        <v>2.6620370370370372E-4</v>
      </c>
      <c r="F86" s="24">
        <v>1.4583333333333334E-3</v>
      </c>
      <c r="G86" s="24">
        <v>1.5625000000000001E-3</v>
      </c>
      <c r="H86" s="24">
        <v>0.66910000000000003</v>
      </c>
      <c r="I86" s="18">
        <f t="shared" si="6"/>
        <v>9.5740000000000009E-3</v>
      </c>
      <c r="J86" s="18">
        <f t="shared" si="10"/>
        <v>6.6909999999999999E-3</v>
      </c>
      <c r="K86" s="19">
        <f t="shared" si="7"/>
        <v>6</v>
      </c>
      <c r="L86" s="18">
        <f t="shared" si="8"/>
        <v>4.2553191489361701E-2</v>
      </c>
      <c r="M86" s="18">
        <f t="shared" si="9"/>
        <v>0.95744680851063835</v>
      </c>
    </row>
    <row r="87" spans="1:13" x14ac:dyDescent="0.3">
      <c r="A87" s="22">
        <v>146</v>
      </c>
      <c r="B87" s="22">
        <v>143</v>
      </c>
      <c r="C87" s="23">
        <v>0.97950000000000004</v>
      </c>
      <c r="D87" s="22">
        <v>3</v>
      </c>
      <c r="E87" s="24">
        <v>1.9675925925925926E-4</v>
      </c>
      <c r="F87" s="24">
        <v>1.3541666666666667E-3</v>
      </c>
      <c r="G87" s="24">
        <v>1.7013888888888888E-3</v>
      </c>
      <c r="H87" s="24">
        <v>0.78320000000000001</v>
      </c>
      <c r="I87" s="18">
        <f t="shared" si="6"/>
        <v>9.7949999999999999E-3</v>
      </c>
      <c r="J87" s="18">
        <f t="shared" si="10"/>
        <v>7.8320000000000004E-3</v>
      </c>
      <c r="K87" s="19">
        <f t="shared" si="7"/>
        <v>3</v>
      </c>
      <c r="L87" s="18">
        <f t="shared" si="8"/>
        <v>2.0547945205479451E-2</v>
      </c>
      <c r="M87" s="18">
        <f t="shared" si="9"/>
        <v>0.97945205479452058</v>
      </c>
    </row>
    <row r="88" spans="1:13" x14ac:dyDescent="0.3">
      <c r="A88" s="22">
        <v>144</v>
      </c>
      <c r="B88" s="22">
        <v>140</v>
      </c>
      <c r="C88" s="23">
        <v>0.97219999999999995</v>
      </c>
      <c r="D88" s="22">
        <v>4</v>
      </c>
      <c r="E88" s="24">
        <v>1.3888888888888889E-4</v>
      </c>
      <c r="F88" s="24">
        <v>1.3078703703703703E-3</v>
      </c>
      <c r="G88" s="24">
        <v>1.4467592592592592E-3</v>
      </c>
      <c r="H88" s="24">
        <v>0.84030000000000005</v>
      </c>
      <c r="I88" s="18">
        <f t="shared" si="6"/>
        <v>9.7219999999999997E-3</v>
      </c>
      <c r="J88" s="18">
        <f t="shared" si="10"/>
        <v>8.4030000000000007E-3</v>
      </c>
      <c r="K88" s="19">
        <f t="shared" si="7"/>
        <v>4</v>
      </c>
      <c r="L88" s="18">
        <f t="shared" si="8"/>
        <v>2.7777777777777776E-2</v>
      </c>
      <c r="M88" s="18">
        <f t="shared" si="9"/>
        <v>0.97222222222222221</v>
      </c>
    </row>
    <row r="89" spans="1:13" x14ac:dyDescent="0.3">
      <c r="A89" s="22">
        <v>105</v>
      </c>
      <c r="B89" s="22">
        <v>103</v>
      </c>
      <c r="C89" s="23">
        <v>0.98099999999999998</v>
      </c>
      <c r="D89" s="22">
        <v>2</v>
      </c>
      <c r="E89" s="24">
        <v>1.9675925925925926E-4</v>
      </c>
      <c r="F89" s="24">
        <v>1.3310185185185185E-3</v>
      </c>
      <c r="G89" s="24">
        <v>1.4004629629629629E-3</v>
      </c>
      <c r="H89" s="24">
        <v>0.76190000000000002</v>
      </c>
      <c r="I89" s="18">
        <f t="shared" si="6"/>
        <v>9.8099999999999993E-3</v>
      </c>
      <c r="J89" s="18">
        <f t="shared" si="10"/>
        <v>7.6189999999999999E-3</v>
      </c>
      <c r="K89" s="19">
        <f t="shared" si="7"/>
        <v>2</v>
      </c>
      <c r="L89" s="18">
        <f t="shared" si="8"/>
        <v>1.9047619047619049E-2</v>
      </c>
      <c r="M89" s="18">
        <f t="shared" si="9"/>
        <v>0.98095238095238091</v>
      </c>
    </row>
    <row r="90" spans="1:13" x14ac:dyDescent="0.3">
      <c r="A90" s="22">
        <v>36</v>
      </c>
      <c r="B90" s="22">
        <v>35</v>
      </c>
      <c r="C90" s="23">
        <v>0.97219999999999995</v>
      </c>
      <c r="D90" s="22">
        <v>1</v>
      </c>
      <c r="E90" s="24">
        <v>1.8518518518518518E-4</v>
      </c>
      <c r="F90" s="24">
        <v>1.3194444444444445E-3</v>
      </c>
      <c r="G90" s="24">
        <v>1.0532407407407407E-3</v>
      </c>
      <c r="H90" s="24">
        <v>0.77139999999999997</v>
      </c>
      <c r="I90" s="18">
        <f t="shared" si="6"/>
        <v>9.7219999999999997E-3</v>
      </c>
      <c r="J90" s="18">
        <f t="shared" si="10"/>
        <v>7.7139999999999995E-3</v>
      </c>
      <c r="K90" s="19">
        <f t="shared" si="7"/>
        <v>1</v>
      </c>
      <c r="L90" s="18">
        <f t="shared" si="8"/>
        <v>2.7777777777777776E-2</v>
      </c>
      <c r="M90" s="18">
        <f t="shared" si="9"/>
        <v>0.97222222222222221</v>
      </c>
    </row>
    <row r="91" spans="1:13" x14ac:dyDescent="0.3">
      <c r="A91" s="22">
        <v>61</v>
      </c>
      <c r="B91" s="22">
        <v>57</v>
      </c>
      <c r="C91" s="23">
        <v>0.93440000000000001</v>
      </c>
      <c r="D91" s="22">
        <v>4</v>
      </c>
      <c r="E91" s="24">
        <v>4.6296296296296294E-5</v>
      </c>
      <c r="F91" s="24">
        <v>1.3888888888888889E-3</v>
      </c>
      <c r="G91" s="24">
        <v>2.5578703703703705E-3</v>
      </c>
      <c r="H91" s="24">
        <v>0.91669999999999996</v>
      </c>
      <c r="I91" s="18">
        <f t="shared" si="6"/>
        <v>9.3439999999999999E-3</v>
      </c>
      <c r="J91" s="18">
        <f t="shared" si="10"/>
        <v>9.1669999999999998E-3</v>
      </c>
      <c r="K91" s="19">
        <f t="shared" si="7"/>
        <v>4</v>
      </c>
      <c r="L91" s="18">
        <f t="shared" si="8"/>
        <v>6.5573770491803282E-2</v>
      </c>
      <c r="M91" s="18">
        <f t="shared" si="9"/>
        <v>0.93442622950819676</v>
      </c>
    </row>
    <row r="92" spans="1:13" x14ac:dyDescent="0.3">
      <c r="A92" s="22">
        <v>60</v>
      </c>
      <c r="B92" s="22">
        <v>58</v>
      </c>
      <c r="C92" s="23">
        <v>0.9667</v>
      </c>
      <c r="D92" s="22">
        <v>2</v>
      </c>
      <c r="E92" s="24">
        <v>1.273148148148148E-4</v>
      </c>
      <c r="F92" s="24">
        <v>1.4814814814814814E-3</v>
      </c>
      <c r="G92" s="24">
        <v>1.0879629629629629E-3</v>
      </c>
      <c r="H92" s="24">
        <v>0.85</v>
      </c>
      <c r="I92" s="18">
        <f t="shared" si="6"/>
        <v>9.6670000000000002E-3</v>
      </c>
      <c r="J92" s="18">
        <f t="shared" si="10"/>
        <v>8.5000000000000006E-3</v>
      </c>
      <c r="K92" s="19">
        <f t="shared" si="7"/>
        <v>2</v>
      </c>
      <c r="L92" s="18">
        <f t="shared" si="8"/>
        <v>3.3333333333333333E-2</v>
      </c>
      <c r="M92" s="18">
        <f t="shared" si="9"/>
        <v>0.96666666666666667</v>
      </c>
    </row>
    <row r="93" spans="1:13" x14ac:dyDescent="0.3">
      <c r="A93" s="22">
        <v>18</v>
      </c>
      <c r="B93" s="22">
        <v>17</v>
      </c>
      <c r="C93" s="23">
        <v>0.94440000000000002</v>
      </c>
      <c r="D93" s="22">
        <v>1</v>
      </c>
      <c r="E93" s="24">
        <v>5.7870370370370373E-5</v>
      </c>
      <c r="F93" s="24">
        <v>1.8402777777777777E-3</v>
      </c>
      <c r="G93" s="24">
        <v>2.3148148148148149E-4</v>
      </c>
      <c r="H93" s="24">
        <v>1</v>
      </c>
      <c r="I93" s="18">
        <f t="shared" si="6"/>
        <v>9.444000000000001E-3</v>
      </c>
      <c r="J93" s="18">
        <f t="shared" si="10"/>
        <v>0.01</v>
      </c>
      <c r="K93" s="19">
        <f t="shared" si="7"/>
        <v>1</v>
      </c>
      <c r="L93" s="18">
        <f t="shared" si="8"/>
        <v>5.5555555555555552E-2</v>
      </c>
      <c r="M93" s="18">
        <f t="shared" si="9"/>
        <v>0.94444444444444442</v>
      </c>
    </row>
    <row r="94" spans="1:13" x14ac:dyDescent="0.3">
      <c r="A94" s="22">
        <v>206</v>
      </c>
      <c r="B94" s="22">
        <v>202</v>
      </c>
      <c r="C94" s="23">
        <v>0.98060000000000003</v>
      </c>
      <c r="D94" s="22">
        <v>4</v>
      </c>
      <c r="E94" s="24">
        <v>1.0416666666666667E-4</v>
      </c>
      <c r="F94" s="24">
        <v>1.3194444444444445E-3</v>
      </c>
      <c r="G94" s="24">
        <v>8.1018518518518516E-4</v>
      </c>
      <c r="H94" s="24">
        <v>0.89270000000000005</v>
      </c>
      <c r="I94" s="18">
        <f t="shared" si="6"/>
        <v>9.8060000000000005E-3</v>
      </c>
      <c r="J94" s="18">
        <f t="shared" si="10"/>
        <v>8.9270000000000009E-3</v>
      </c>
      <c r="K94" s="19">
        <f t="shared" si="7"/>
        <v>4</v>
      </c>
      <c r="L94" s="18">
        <f t="shared" si="8"/>
        <v>1.9417475728155338E-2</v>
      </c>
      <c r="M94" s="18">
        <f t="shared" si="9"/>
        <v>0.98058252427184467</v>
      </c>
    </row>
    <row r="95" spans="1:13" x14ac:dyDescent="0.3">
      <c r="A95" s="22">
        <v>194</v>
      </c>
      <c r="B95" s="22">
        <v>193</v>
      </c>
      <c r="C95" s="23">
        <v>0.99480000000000002</v>
      </c>
      <c r="D95" s="22">
        <v>1</v>
      </c>
      <c r="E95" s="24">
        <v>1.273148148148148E-4</v>
      </c>
      <c r="F95" s="24">
        <v>1.3541666666666667E-3</v>
      </c>
      <c r="G95" s="24">
        <v>1.0879629629629629E-3</v>
      </c>
      <c r="H95" s="24">
        <v>0.84970000000000001</v>
      </c>
      <c r="I95" s="18">
        <f t="shared" si="6"/>
        <v>9.9480000000000002E-3</v>
      </c>
      <c r="J95" s="18">
        <f t="shared" si="10"/>
        <v>8.4969999999999993E-3</v>
      </c>
      <c r="K95" s="19">
        <f t="shared" si="7"/>
        <v>1</v>
      </c>
      <c r="L95" s="18">
        <f t="shared" si="8"/>
        <v>5.1546391752577319E-3</v>
      </c>
      <c r="M95" s="18">
        <f t="shared" si="9"/>
        <v>0.99484536082474229</v>
      </c>
    </row>
    <row r="96" spans="1:13" x14ac:dyDescent="0.3">
      <c r="A96" s="22">
        <v>206</v>
      </c>
      <c r="B96" s="22">
        <v>200</v>
      </c>
      <c r="C96" s="23">
        <v>0.97089999999999999</v>
      </c>
      <c r="D96" s="22">
        <v>6</v>
      </c>
      <c r="E96" s="24">
        <v>1.1574074074074075E-4</v>
      </c>
      <c r="F96" s="24">
        <v>1.4814814814814814E-3</v>
      </c>
      <c r="G96" s="24">
        <v>1.3888888888888889E-3</v>
      </c>
      <c r="H96" s="24">
        <v>0.86270000000000002</v>
      </c>
      <c r="I96" s="18">
        <f t="shared" si="6"/>
        <v>9.7090000000000006E-3</v>
      </c>
      <c r="J96" s="18">
        <f t="shared" si="10"/>
        <v>8.627000000000001E-3</v>
      </c>
      <c r="K96" s="19">
        <f t="shared" si="7"/>
        <v>6</v>
      </c>
      <c r="L96" s="18">
        <f t="shared" si="8"/>
        <v>2.9126213592233011E-2</v>
      </c>
      <c r="M96" s="18">
        <f t="shared" si="9"/>
        <v>0.970873786407767</v>
      </c>
    </row>
    <row r="97" spans="1:13" x14ac:dyDescent="0.3">
      <c r="A97" s="22">
        <v>53</v>
      </c>
      <c r="B97" s="22">
        <v>53</v>
      </c>
      <c r="C97" s="23">
        <v>1</v>
      </c>
      <c r="D97" s="22">
        <v>0</v>
      </c>
      <c r="E97" s="24">
        <v>2.0833333333333335E-4</v>
      </c>
      <c r="F97" s="24">
        <v>1.4814814814814814E-3</v>
      </c>
      <c r="G97" s="24">
        <v>1.5046296296296296E-3</v>
      </c>
      <c r="H97" s="24">
        <v>0.77359999999999995</v>
      </c>
      <c r="I97" s="18">
        <f t="shared" si="6"/>
        <v>0.01</v>
      </c>
      <c r="J97" s="18">
        <f t="shared" si="10"/>
        <v>7.7359999999999998E-3</v>
      </c>
      <c r="K97" s="19">
        <f t="shared" si="7"/>
        <v>0</v>
      </c>
      <c r="L97" s="18">
        <f t="shared" si="8"/>
        <v>0</v>
      </c>
      <c r="M97" s="18">
        <f t="shared" si="9"/>
        <v>1</v>
      </c>
    </row>
    <row r="98" spans="1:13" x14ac:dyDescent="0.3">
      <c r="A98" s="22">
        <v>147</v>
      </c>
      <c r="B98" s="22">
        <v>145</v>
      </c>
      <c r="C98" s="23">
        <v>0.98640000000000005</v>
      </c>
      <c r="D98" s="22">
        <v>2</v>
      </c>
      <c r="E98" s="24">
        <v>1.0416666666666667E-4</v>
      </c>
      <c r="F98" s="24">
        <v>1.2731481481481483E-3</v>
      </c>
      <c r="G98" s="24">
        <v>9.7222222222222219E-4</v>
      </c>
      <c r="H98" s="24">
        <v>0.88360000000000005</v>
      </c>
      <c r="I98" s="18">
        <f t="shared" si="6"/>
        <v>9.8640000000000012E-3</v>
      </c>
      <c r="J98" s="18">
        <f t="shared" si="10"/>
        <v>8.8360000000000001E-3</v>
      </c>
      <c r="K98" s="19">
        <f t="shared" si="7"/>
        <v>2</v>
      </c>
      <c r="L98" s="18">
        <f t="shared" si="8"/>
        <v>1.3605442176870748E-2</v>
      </c>
      <c r="M98" s="18">
        <f t="shared" si="9"/>
        <v>0.98639455782312924</v>
      </c>
    </row>
    <row r="99" spans="1:13" x14ac:dyDescent="0.3">
      <c r="A99" s="22">
        <v>201</v>
      </c>
      <c r="B99" s="22">
        <v>197</v>
      </c>
      <c r="C99" s="23">
        <v>0.98009999999999997</v>
      </c>
      <c r="D99" s="22">
        <v>4</v>
      </c>
      <c r="E99" s="24">
        <v>1.0416666666666667E-4</v>
      </c>
      <c r="F99" s="24">
        <v>1.3773148148148147E-3</v>
      </c>
      <c r="G99" s="24">
        <v>1.6550925925925926E-3</v>
      </c>
      <c r="H99" s="24">
        <v>0.90949999999999998</v>
      </c>
      <c r="I99" s="18">
        <f t="shared" si="6"/>
        <v>9.8009999999999989E-3</v>
      </c>
      <c r="J99" s="18">
        <f t="shared" si="10"/>
        <v>9.0949999999999989E-3</v>
      </c>
      <c r="K99" s="19">
        <f t="shared" si="7"/>
        <v>4</v>
      </c>
      <c r="L99" s="18">
        <f t="shared" si="8"/>
        <v>1.9900497512437811E-2</v>
      </c>
      <c r="M99" s="18">
        <f t="shared" si="9"/>
        <v>0.98009950248756217</v>
      </c>
    </row>
    <row r="100" spans="1:13" x14ac:dyDescent="0.3">
      <c r="A100" s="22">
        <v>202</v>
      </c>
      <c r="B100" s="22">
        <v>198</v>
      </c>
      <c r="C100" s="23">
        <v>0.98019999999999996</v>
      </c>
      <c r="D100" s="22">
        <v>4</v>
      </c>
      <c r="E100" s="24">
        <v>1.1574074074074075E-4</v>
      </c>
      <c r="F100" s="24">
        <v>1.4930555555555556E-3</v>
      </c>
      <c r="G100" s="24">
        <v>8.2175925925925927E-4</v>
      </c>
      <c r="H100" s="24">
        <v>0.88500000000000001</v>
      </c>
      <c r="I100" s="18">
        <f t="shared" si="6"/>
        <v>9.8019999999999999E-3</v>
      </c>
      <c r="J100" s="18">
        <f t="shared" si="10"/>
        <v>8.8500000000000002E-3</v>
      </c>
      <c r="K100" s="19">
        <f t="shared" si="7"/>
        <v>4</v>
      </c>
      <c r="L100" s="18">
        <f t="shared" si="8"/>
        <v>1.9801980198019802E-2</v>
      </c>
      <c r="M100" s="18">
        <f t="shared" si="9"/>
        <v>0.98019801980198018</v>
      </c>
    </row>
    <row r="101" spans="1:13" x14ac:dyDescent="0.3">
      <c r="A101" s="22">
        <v>226</v>
      </c>
      <c r="B101" s="22">
        <v>219</v>
      </c>
      <c r="C101" s="23">
        <v>0.96899999999999997</v>
      </c>
      <c r="D101" s="22">
        <v>7</v>
      </c>
      <c r="E101" s="24">
        <v>1.1574074074074075E-4</v>
      </c>
      <c r="F101" s="24">
        <v>1.5277777777777779E-3</v>
      </c>
      <c r="G101" s="24">
        <v>1.9097222222222222E-3</v>
      </c>
      <c r="H101" s="24">
        <v>0.88</v>
      </c>
      <c r="I101" s="18">
        <f t="shared" si="6"/>
        <v>9.689999999999999E-3</v>
      </c>
      <c r="J101" s="18">
        <f t="shared" si="10"/>
        <v>8.8000000000000005E-3</v>
      </c>
      <c r="K101" s="19">
        <f t="shared" si="7"/>
        <v>7</v>
      </c>
      <c r="L101" s="18">
        <f t="shared" si="8"/>
        <v>3.0973451327433628E-2</v>
      </c>
      <c r="M101" s="18">
        <f t="shared" si="9"/>
        <v>0.96902654867256632</v>
      </c>
    </row>
    <row r="102" spans="1:13" x14ac:dyDescent="0.3">
      <c r="A102" s="22">
        <v>167</v>
      </c>
      <c r="B102" s="22">
        <v>163</v>
      </c>
      <c r="C102" s="23">
        <v>0.97599999999999998</v>
      </c>
      <c r="D102" s="22">
        <v>4</v>
      </c>
      <c r="E102" s="24">
        <v>8.1018518518518516E-5</v>
      </c>
      <c r="F102" s="24">
        <v>1.4930555555555556E-3</v>
      </c>
      <c r="G102" s="24">
        <v>1.2731481481481483E-3</v>
      </c>
      <c r="H102" s="24">
        <v>0.92769999999999997</v>
      </c>
      <c r="I102" s="18">
        <f t="shared" si="6"/>
        <v>9.7599999999999996E-3</v>
      </c>
      <c r="J102" s="18">
        <f t="shared" si="10"/>
        <v>9.2770000000000005E-3</v>
      </c>
      <c r="K102" s="19">
        <f t="shared" si="7"/>
        <v>4</v>
      </c>
      <c r="L102" s="18">
        <f t="shared" si="8"/>
        <v>2.3952095808383235E-2</v>
      </c>
      <c r="M102" s="18">
        <f t="shared" si="9"/>
        <v>0.9760479041916168</v>
      </c>
    </row>
    <row r="103" spans="1:13" x14ac:dyDescent="0.3">
      <c r="A103" s="22">
        <v>164</v>
      </c>
      <c r="B103" s="22">
        <v>164</v>
      </c>
      <c r="C103" s="23">
        <v>1</v>
      </c>
      <c r="D103" s="22">
        <v>0</v>
      </c>
      <c r="E103" s="24">
        <v>1.273148148148148E-4</v>
      </c>
      <c r="F103" s="24">
        <v>1.5856481481481481E-3</v>
      </c>
      <c r="G103" s="24">
        <v>1.2152777777777778E-3</v>
      </c>
      <c r="H103" s="24">
        <v>0.89019999999999999</v>
      </c>
      <c r="I103" s="18">
        <f t="shared" si="6"/>
        <v>0.01</v>
      </c>
      <c r="J103" s="18">
        <f t="shared" si="10"/>
        <v>8.9020000000000002E-3</v>
      </c>
      <c r="K103" s="19">
        <f t="shared" si="7"/>
        <v>0</v>
      </c>
      <c r="L103" s="18">
        <f t="shared" si="8"/>
        <v>0</v>
      </c>
      <c r="M103" s="18">
        <f t="shared" si="9"/>
        <v>1</v>
      </c>
    </row>
    <row r="104" spans="1:13" x14ac:dyDescent="0.3">
      <c r="A104" s="22">
        <v>42</v>
      </c>
      <c r="B104" s="22">
        <v>41</v>
      </c>
      <c r="C104" s="23">
        <v>0.97619999999999996</v>
      </c>
      <c r="D104" s="22">
        <v>1</v>
      </c>
      <c r="E104" s="24">
        <v>1.273148148148148E-4</v>
      </c>
      <c r="F104" s="24">
        <v>1.4930555555555556E-3</v>
      </c>
      <c r="G104" s="24">
        <v>9.0277777777777774E-4</v>
      </c>
      <c r="H104" s="24">
        <v>0.878</v>
      </c>
      <c r="I104" s="18">
        <f t="shared" si="6"/>
        <v>9.7619999999999998E-3</v>
      </c>
      <c r="J104" s="18">
        <f t="shared" si="10"/>
        <v>8.7799999999999996E-3</v>
      </c>
      <c r="K104" s="19">
        <f t="shared" si="7"/>
        <v>1</v>
      </c>
      <c r="L104" s="18">
        <f t="shared" si="8"/>
        <v>2.3809523809523808E-2</v>
      </c>
      <c r="M104" s="18">
        <f t="shared" si="9"/>
        <v>0.97619047619047616</v>
      </c>
    </row>
    <row r="105" spans="1:13" x14ac:dyDescent="0.3">
      <c r="A105" s="22">
        <v>79</v>
      </c>
      <c r="B105" s="22">
        <v>78</v>
      </c>
      <c r="C105" s="23">
        <v>0.98729999999999996</v>
      </c>
      <c r="D105" s="22">
        <v>1</v>
      </c>
      <c r="E105" s="24">
        <v>8.1018518518518516E-5</v>
      </c>
      <c r="F105" s="24">
        <v>1.6550925925925926E-3</v>
      </c>
      <c r="G105" s="24">
        <v>5.5555555555555556E-4</v>
      </c>
      <c r="H105" s="24">
        <v>0.94869999999999999</v>
      </c>
      <c r="I105" s="18">
        <f t="shared" si="6"/>
        <v>9.8729999999999998E-3</v>
      </c>
      <c r="J105" s="18">
        <f t="shared" si="10"/>
        <v>9.4870000000000006E-3</v>
      </c>
      <c r="K105" s="19">
        <f t="shared" si="7"/>
        <v>1</v>
      </c>
      <c r="L105" s="18">
        <f t="shared" si="8"/>
        <v>1.2658227848101266E-2</v>
      </c>
      <c r="M105" s="18">
        <f t="shared" si="9"/>
        <v>0.98734177215189878</v>
      </c>
    </row>
    <row r="106" spans="1:13" x14ac:dyDescent="0.3">
      <c r="A106" s="22">
        <v>165</v>
      </c>
      <c r="B106" s="22">
        <v>162</v>
      </c>
      <c r="C106" s="23">
        <v>0.98180000000000001</v>
      </c>
      <c r="D106" s="22">
        <v>3</v>
      </c>
      <c r="E106" s="24">
        <v>1.0416666666666667E-4</v>
      </c>
      <c r="F106" s="24">
        <v>1.4930555555555556E-3</v>
      </c>
      <c r="G106" s="24">
        <v>1.2731481481481483E-3</v>
      </c>
      <c r="H106" s="24">
        <v>0.89700000000000002</v>
      </c>
      <c r="I106" s="18">
        <f t="shared" si="6"/>
        <v>9.8180000000000003E-3</v>
      </c>
      <c r="J106" s="18">
        <f t="shared" si="10"/>
        <v>8.9700000000000005E-3</v>
      </c>
      <c r="K106" s="19">
        <f t="shared" si="7"/>
        <v>3</v>
      </c>
      <c r="L106" s="18">
        <f t="shared" si="8"/>
        <v>1.8181818181818181E-2</v>
      </c>
      <c r="M106" s="18">
        <f t="shared" si="9"/>
        <v>0.98181818181818181</v>
      </c>
    </row>
    <row r="107" spans="1:13" x14ac:dyDescent="0.3">
      <c r="A107" s="22">
        <v>180</v>
      </c>
      <c r="B107" s="22">
        <v>174</v>
      </c>
      <c r="C107" s="23">
        <v>0.9667</v>
      </c>
      <c r="D107" s="22">
        <v>6</v>
      </c>
      <c r="E107" s="24">
        <v>1.8518518518518518E-4</v>
      </c>
      <c r="F107" s="24">
        <v>1.5740740740740741E-3</v>
      </c>
      <c r="G107" s="24">
        <v>1.1921296296296296E-3</v>
      </c>
      <c r="H107" s="24">
        <v>0.77780000000000005</v>
      </c>
      <c r="I107" s="18">
        <f t="shared" si="6"/>
        <v>9.6670000000000002E-3</v>
      </c>
      <c r="J107" s="18">
        <f t="shared" si="10"/>
        <v>7.7780000000000002E-3</v>
      </c>
      <c r="K107" s="19">
        <f t="shared" si="7"/>
        <v>6</v>
      </c>
      <c r="L107" s="18">
        <f t="shared" si="8"/>
        <v>3.3333333333333333E-2</v>
      </c>
      <c r="M107" s="18">
        <f t="shared" si="9"/>
        <v>0.96666666666666667</v>
      </c>
    </row>
    <row r="108" spans="1:13" x14ac:dyDescent="0.3">
      <c r="A108" s="22">
        <v>179</v>
      </c>
      <c r="B108" s="22">
        <v>176</v>
      </c>
      <c r="C108" s="23">
        <v>0.98319999999999996</v>
      </c>
      <c r="D108" s="22">
        <v>3</v>
      </c>
      <c r="E108" s="24">
        <v>1.1574074074074075E-4</v>
      </c>
      <c r="F108" s="24">
        <v>1.6898148148148148E-3</v>
      </c>
      <c r="G108" s="24">
        <v>1.2731481481481483E-3</v>
      </c>
      <c r="H108" s="24">
        <v>0.87639999999999996</v>
      </c>
      <c r="I108" s="18">
        <f t="shared" si="6"/>
        <v>9.8320000000000005E-3</v>
      </c>
      <c r="J108" s="18">
        <f t="shared" si="10"/>
        <v>8.7639999999999992E-3</v>
      </c>
      <c r="K108" s="19">
        <f t="shared" si="7"/>
        <v>3</v>
      </c>
      <c r="L108" s="18">
        <f t="shared" si="8"/>
        <v>1.6759776536312849E-2</v>
      </c>
      <c r="M108" s="18">
        <f t="shared" si="9"/>
        <v>0.98324022346368711</v>
      </c>
    </row>
    <row r="109" spans="1:13" x14ac:dyDescent="0.3">
      <c r="A109" s="22">
        <v>217</v>
      </c>
      <c r="B109" s="22">
        <v>215</v>
      </c>
      <c r="C109" s="23">
        <v>0.99080000000000001</v>
      </c>
      <c r="D109" s="22">
        <v>2</v>
      </c>
      <c r="E109" s="24">
        <v>9.2592592592592588E-5</v>
      </c>
      <c r="F109" s="24">
        <v>1.4814814814814814E-3</v>
      </c>
      <c r="G109" s="24">
        <v>1.4699074074074074E-3</v>
      </c>
      <c r="H109" s="24">
        <v>0.91710000000000003</v>
      </c>
      <c r="I109" s="18">
        <f t="shared" si="6"/>
        <v>9.9080000000000001E-3</v>
      </c>
      <c r="J109" s="18">
        <f t="shared" si="10"/>
        <v>9.1710000000000003E-3</v>
      </c>
      <c r="K109" s="19">
        <f t="shared" si="7"/>
        <v>2</v>
      </c>
      <c r="L109" s="18">
        <f t="shared" si="8"/>
        <v>9.2165898617511521E-3</v>
      </c>
      <c r="M109" s="18">
        <f t="shared" si="9"/>
        <v>0.99078341013824889</v>
      </c>
    </row>
    <row r="110" spans="1:13" x14ac:dyDescent="0.3">
      <c r="A110" s="22">
        <v>171</v>
      </c>
      <c r="B110" s="22">
        <v>167</v>
      </c>
      <c r="C110" s="23">
        <v>0.97660000000000002</v>
      </c>
      <c r="D110" s="22">
        <v>4</v>
      </c>
      <c r="E110" s="24">
        <v>1.1574074074074075E-4</v>
      </c>
      <c r="F110" s="24">
        <v>1.5625000000000001E-3</v>
      </c>
      <c r="G110" s="24">
        <v>1.2731481481481483E-3</v>
      </c>
      <c r="H110" s="24">
        <v>0.86470000000000002</v>
      </c>
      <c r="I110" s="18">
        <f t="shared" si="6"/>
        <v>9.7660000000000004E-3</v>
      </c>
      <c r="J110" s="18">
        <f t="shared" si="10"/>
        <v>8.6470000000000002E-3</v>
      </c>
      <c r="K110" s="19">
        <f t="shared" si="7"/>
        <v>4</v>
      </c>
      <c r="L110" s="18">
        <f t="shared" si="8"/>
        <v>2.3391812865497075E-2</v>
      </c>
      <c r="M110" s="18">
        <f t="shared" si="9"/>
        <v>0.97660818713450293</v>
      </c>
    </row>
    <row r="111" spans="1:13" x14ac:dyDescent="0.3">
      <c r="A111" s="22">
        <v>37</v>
      </c>
      <c r="B111" s="22">
        <v>37</v>
      </c>
      <c r="C111" s="23">
        <v>1</v>
      </c>
      <c r="D111" s="22">
        <v>0</v>
      </c>
      <c r="E111" s="24">
        <v>1.0416666666666667E-4</v>
      </c>
      <c r="F111" s="24">
        <v>1.3541666666666667E-3</v>
      </c>
      <c r="G111" s="24">
        <v>9.4907407407407408E-4</v>
      </c>
      <c r="H111" s="24">
        <v>0.8649</v>
      </c>
      <c r="I111" s="18">
        <f t="shared" si="6"/>
        <v>0.01</v>
      </c>
      <c r="J111" s="18">
        <f t="shared" si="10"/>
        <v>8.6490000000000004E-3</v>
      </c>
      <c r="K111" s="19">
        <f t="shared" si="7"/>
        <v>0</v>
      </c>
      <c r="L111" s="18">
        <f t="shared" si="8"/>
        <v>0</v>
      </c>
      <c r="M111" s="18">
        <f t="shared" si="9"/>
        <v>1</v>
      </c>
    </row>
    <row r="112" spans="1:13" x14ac:dyDescent="0.3">
      <c r="A112" s="22">
        <v>215</v>
      </c>
      <c r="B112" s="22">
        <v>206</v>
      </c>
      <c r="C112" s="23">
        <v>0.95809999999999995</v>
      </c>
      <c r="D112" s="22">
        <v>9</v>
      </c>
      <c r="E112" s="24">
        <v>2.0833333333333335E-4</v>
      </c>
      <c r="F112" s="24">
        <v>1.4930555555555556E-3</v>
      </c>
      <c r="G112" s="24">
        <v>1.9097222222222222E-3</v>
      </c>
      <c r="H112" s="24">
        <v>0.8095</v>
      </c>
      <c r="I112" s="18">
        <f t="shared" si="6"/>
        <v>9.5809999999999992E-3</v>
      </c>
      <c r="J112" s="18">
        <f t="shared" si="10"/>
        <v>8.0949999999999998E-3</v>
      </c>
      <c r="K112" s="19">
        <f t="shared" si="7"/>
        <v>9</v>
      </c>
      <c r="L112" s="18">
        <f t="shared" si="8"/>
        <v>4.1860465116279069E-2</v>
      </c>
      <c r="M112" s="18">
        <f t="shared" si="9"/>
        <v>0.95813953488372094</v>
      </c>
    </row>
    <row r="113" spans="1:13" x14ac:dyDescent="0.3">
      <c r="A113" s="22">
        <v>218</v>
      </c>
      <c r="B113" s="22">
        <v>212</v>
      </c>
      <c r="C113" s="23">
        <v>0.97250000000000003</v>
      </c>
      <c r="D113" s="22">
        <v>6</v>
      </c>
      <c r="E113" s="24">
        <v>1.8518518518518518E-4</v>
      </c>
      <c r="F113" s="24">
        <v>1.5856481481481481E-3</v>
      </c>
      <c r="G113" s="24">
        <v>1.4930555555555556E-3</v>
      </c>
      <c r="H113" s="24">
        <v>0.84260000000000002</v>
      </c>
      <c r="I113" s="18">
        <f t="shared" si="6"/>
        <v>9.725000000000001E-3</v>
      </c>
      <c r="J113" s="18">
        <f t="shared" si="10"/>
        <v>8.4259999999999995E-3</v>
      </c>
      <c r="K113" s="19">
        <f t="shared" si="7"/>
        <v>6</v>
      </c>
      <c r="L113" s="18">
        <f t="shared" si="8"/>
        <v>2.7522935779816515E-2</v>
      </c>
      <c r="M113" s="18">
        <f t="shared" si="9"/>
        <v>0.97247706422018354</v>
      </c>
    </row>
    <row r="114" spans="1:13" x14ac:dyDescent="0.3">
      <c r="A114" s="22">
        <v>205</v>
      </c>
      <c r="B114" s="22">
        <v>202</v>
      </c>
      <c r="C114" s="23">
        <v>0.98540000000000005</v>
      </c>
      <c r="D114" s="22">
        <v>3</v>
      </c>
      <c r="E114" s="24">
        <v>1.273148148148148E-4</v>
      </c>
      <c r="F114" s="24">
        <v>1.6782407407407408E-3</v>
      </c>
      <c r="G114" s="24">
        <v>1.1226851851851851E-3</v>
      </c>
      <c r="H114" s="24">
        <v>0.90690000000000004</v>
      </c>
      <c r="I114" s="18">
        <f t="shared" si="6"/>
        <v>9.8539999999999999E-3</v>
      </c>
      <c r="J114" s="18">
        <f t="shared" si="10"/>
        <v>9.0690000000000007E-3</v>
      </c>
      <c r="K114" s="19">
        <f t="shared" si="7"/>
        <v>3</v>
      </c>
      <c r="L114" s="18">
        <f t="shared" si="8"/>
        <v>1.4634146341463415E-2</v>
      </c>
      <c r="M114" s="18">
        <f t="shared" si="9"/>
        <v>0.98536585365853657</v>
      </c>
    </row>
    <row r="115" spans="1:13" x14ac:dyDescent="0.3">
      <c r="A115" s="22">
        <v>195</v>
      </c>
      <c r="B115" s="22">
        <v>190</v>
      </c>
      <c r="C115" s="23">
        <v>0.97440000000000004</v>
      </c>
      <c r="D115" s="22">
        <v>5</v>
      </c>
      <c r="E115" s="24">
        <v>1.3888888888888889E-4</v>
      </c>
      <c r="F115" s="24">
        <v>1.6435185185185185E-3</v>
      </c>
      <c r="G115" s="24">
        <v>8.564814814814815E-4</v>
      </c>
      <c r="H115" s="24">
        <v>0.8901</v>
      </c>
      <c r="I115" s="18">
        <f t="shared" si="6"/>
        <v>9.7440000000000009E-3</v>
      </c>
      <c r="J115" s="18">
        <f t="shared" si="10"/>
        <v>8.9009999999999992E-3</v>
      </c>
      <c r="K115" s="19">
        <f t="shared" si="7"/>
        <v>5</v>
      </c>
      <c r="L115" s="18">
        <f t="shared" si="8"/>
        <v>2.564102564102564E-2</v>
      </c>
      <c r="M115" s="18">
        <f t="shared" si="9"/>
        <v>0.97435897435897434</v>
      </c>
    </row>
    <row r="116" spans="1:13" x14ac:dyDescent="0.3">
      <c r="A116" s="22">
        <v>181</v>
      </c>
      <c r="B116" s="22">
        <v>176</v>
      </c>
      <c r="C116" s="23">
        <v>0.97240000000000004</v>
      </c>
      <c r="D116" s="22">
        <v>5</v>
      </c>
      <c r="E116" s="24">
        <v>1.5046296296296297E-4</v>
      </c>
      <c r="F116" s="24">
        <v>1.5393518518518519E-3</v>
      </c>
      <c r="G116" s="24">
        <v>8.7962962962962962E-4</v>
      </c>
      <c r="H116" s="24">
        <v>0.82220000000000004</v>
      </c>
      <c r="I116" s="18">
        <f t="shared" si="6"/>
        <v>9.724E-3</v>
      </c>
      <c r="J116" s="18">
        <f t="shared" si="10"/>
        <v>8.2220000000000001E-3</v>
      </c>
      <c r="K116" s="19">
        <f t="shared" si="7"/>
        <v>5</v>
      </c>
      <c r="L116" s="18">
        <f t="shared" si="8"/>
        <v>2.7624309392265192E-2</v>
      </c>
      <c r="M116" s="18">
        <f t="shared" si="9"/>
        <v>0.97237569060773477</v>
      </c>
    </row>
    <row r="117" spans="1:13" x14ac:dyDescent="0.3">
      <c r="A117" s="22">
        <v>212</v>
      </c>
      <c r="B117" s="22">
        <v>206</v>
      </c>
      <c r="C117" s="23">
        <v>0.97170000000000001</v>
      </c>
      <c r="D117" s="22">
        <v>6</v>
      </c>
      <c r="E117" s="24">
        <v>1.273148148148148E-4</v>
      </c>
      <c r="F117" s="24">
        <v>1.6203703703703703E-3</v>
      </c>
      <c r="G117" s="24">
        <v>1.261574074074074E-3</v>
      </c>
      <c r="H117" s="24">
        <v>0.89419999999999999</v>
      </c>
      <c r="I117" s="18">
        <f t="shared" si="6"/>
        <v>9.7169999999999999E-3</v>
      </c>
      <c r="J117" s="18">
        <f t="shared" si="10"/>
        <v>8.9420000000000003E-3</v>
      </c>
      <c r="K117" s="19">
        <f t="shared" si="7"/>
        <v>6</v>
      </c>
      <c r="L117" s="18">
        <f t="shared" si="8"/>
        <v>2.8301886792452831E-2</v>
      </c>
      <c r="M117" s="18">
        <f t="shared" si="9"/>
        <v>0.97169811320754718</v>
      </c>
    </row>
    <row r="118" spans="1:13" x14ac:dyDescent="0.3">
      <c r="A118" s="22">
        <v>33</v>
      </c>
      <c r="B118" s="22">
        <v>32</v>
      </c>
      <c r="C118" s="23">
        <v>0.96970000000000001</v>
      </c>
      <c r="D118" s="22">
        <v>1</v>
      </c>
      <c r="E118" s="24">
        <v>9.2592592592592588E-5</v>
      </c>
      <c r="F118" s="24">
        <v>1.712962962962963E-3</v>
      </c>
      <c r="G118" s="24">
        <v>6.3657407407407413E-4</v>
      </c>
      <c r="H118" s="24">
        <v>0.90910000000000002</v>
      </c>
      <c r="I118" s="18">
        <f t="shared" si="6"/>
        <v>9.6970000000000008E-3</v>
      </c>
      <c r="J118" s="18">
        <f t="shared" si="10"/>
        <v>9.0910000000000001E-3</v>
      </c>
      <c r="K118" s="19">
        <f t="shared" si="7"/>
        <v>1</v>
      </c>
      <c r="L118" s="18">
        <f t="shared" si="8"/>
        <v>3.0303030303030304E-2</v>
      </c>
      <c r="M118" s="18">
        <f t="shared" si="9"/>
        <v>0.96969696969696972</v>
      </c>
    </row>
    <row r="119" spans="1:13" x14ac:dyDescent="0.3">
      <c r="A119" s="22">
        <v>298</v>
      </c>
      <c r="B119" s="22">
        <v>287</v>
      </c>
      <c r="C119" s="23">
        <v>0.96309999999999996</v>
      </c>
      <c r="D119" s="22">
        <v>11</v>
      </c>
      <c r="E119" s="24">
        <v>1.5046296296296297E-4</v>
      </c>
      <c r="F119" s="24">
        <v>1.0995370370370371E-3</v>
      </c>
      <c r="G119" s="24">
        <v>1.9791666666666668E-3</v>
      </c>
      <c r="H119" s="24">
        <v>0.83330000000000004</v>
      </c>
      <c r="I119" s="18">
        <f t="shared" si="6"/>
        <v>9.6309999999999989E-3</v>
      </c>
      <c r="J119" s="18">
        <f t="shared" si="10"/>
        <v>8.3330000000000001E-3</v>
      </c>
      <c r="K119" s="19">
        <f t="shared" si="7"/>
        <v>11</v>
      </c>
      <c r="L119" s="18">
        <f t="shared" si="8"/>
        <v>3.6912751677852351E-2</v>
      </c>
      <c r="M119" s="18">
        <f t="shared" si="9"/>
        <v>0.96308724832214765</v>
      </c>
    </row>
    <row r="120" spans="1:13" x14ac:dyDescent="0.3">
      <c r="A120" s="22">
        <v>158</v>
      </c>
      <c r="B120" s="22">
        <v>156</v>
      </c>
      <c r="C120" s="23">
        <v>0.98729999999999996</v>
      </c>
      <c r="D120" s="22">
        <v>2</v>
      </c>
      <c r="E120" s="24">
        <v>1.273148148148148E-4</v>
      </c>
      <c r="F120" s="24">
        <v>1.6550925925925926E-3</v>
      </c>
      <c r="G120" s="24">
        <v>1.0648148148148149E-3</v>
      </c>
      <c r="H120" s="24">
        <v>0.89810000000000001</v>
      </c>
      <c r="I120" s="18">
        <f t="shared" si="6"/>
        <v>9.8729999999999998E-3</v>
      </c>
      <c r="J120" s="18">
        <f t="shared" si="10"/>
        <v>8.9809999999999994E-3</v>
      </c>
      <c r="K120" s="19">
        <f t="shared" si="7"/>
        <v>2</v>
      </c>
      <c r="L120" s="18">
        <f t="shared" si="8"/>
        <v>1.2658227848101266E-2</v>
      </c>
      <c r="M120" s="18">
        <f t="shared" si="9"/>
        <v>0.98734177215189878</v>
      </c>
    </row>
    <row r="121" spans="1:13" x14ac:dyDescent="0.3">
      <c r="A121" s="22">
        <v>156</v>
      </c>
      <c r="B121" s="22">
        <v>154</v>
      </c>
      <c r="C121" s="23">
        <v>0.98719999999999997</v>
      </c>
      <c r="D121" s="22">
        <v>2</v>
      </c>
      <c r="E121" s="24">
        <v>1.3888888888888889E-4</v>
      </c>
      <c r="F121" s="24">
        <v>1.5393518518518519E-3</v>
      </c>
      <c r="G121" s="24">
        <v>7.0601851851851847E-4</v>
      </c>
      <c r="H121" s="24">
        <v>0.85809999999999997</v>
      </c>
      <c r="I121" s="18">
        <f t="shared" si="6"/>
        <v>9.8719999999999988E-3</v>
      </c>
      <c r="J121" s="18">
        <f t="shared" si="10"/>
        <v>8.5810000000000001E-3</v>
      </c>
      <c r="K121" s="19">
        <f t="shared" si="7"/>
        <v>2</v>
      </c>
      <c r="L121" s="18">
        <f t="shared" si="8"/>
        <v>1.282051282051282E-2</v>
      </c>
      <c r="M121" s="18">
        <f t="shared" si="9"/>
        <v>0.98717948717948723</v>
      </c>
    </row>
    <row r="122" spans="1:13" x14ac:dyDescent="0.3">
      <c r="A122" s="22">
        <v>163</v>
      </c>
      <c r="B122" s="22">
        <v>163</v>
      </c>
      <c r="C122" s="23">
        <v>1</v>
      </c>
      <c r="D122" s="22">
        <v>0</v>
      </c>
      <c r="E122" s="24">
        <v>1.1574074074074075E-4</v>
      </c>
      <c r="F122" s="24">
        <v>1.4120370370370369E-3</v>
      </c>
      <c r="G122" s="24">
        <v>1.9212962962962964E-3</v>
      </c>
      <c r="H122" s="24">
        <v>0.9264</v>
      </c>
      <c r="I122" s="18">
        <f t="shared" si="6"/>
        <v>0.01</v>
      </c>
      <c r="J122" s="18">
        <f t="shared" si="10"/>
        <v>9.2639999999999997E-3</v>
      </c>
      <c r="K122" s="19">
        <f t="shared" si="7"/>
        <v>0</v>
      </c>
      <c r="L122" s="18">
        <f t="shared" si="8"/>
        <v>0</v>
      </c>
      <c r="M122" s="18">
        <f t="shared" si="9"/>
        <v>1</v>
      </c>
    </row>
    <row r="123" spans="1:13" x14ac:dyDescent="0.3">
      <c r="A123" s="22">
        <v>98</v>
      </c>
      <c r="B123" s="22">
        <v>98</v>
      </c>
      <c r="C123" s="23">
        <v>1</v>
      </c>
      <c r="D123" s="22">
        <v>0</v>
      </c>
      <c r="E123" s="24">
        <v>8.1018518518518516E-5</v>
      </c>
      <c r="F123" s="24">
        <v>1.5046296296296296E-3</v>
      </c>
      <c r="G123" s="24">
        <v>8.1018518518518516E-4</v>
      </c>
      <c r="H123" s="24">
        <v>0.93879999999999997</v>
      </c>
      <c r="I123" s="18">
        <f t="shared" si="6"/>
        <v>0.01</v>
      </c>
      <c r="J123" s="18">
        <f t="shared" si="10"/>
        <v>9.3880000000000005E-3</v>
      </c>
      <c r="K123" s="19">
        <f t="shared" si="7"/>
        <v>0</v>
      </c>
      <c r="L123" s="18">
        <f t="shared" si="8"/>
        <v>0</v>
      </c>
      <c r="M123" s="18">
        <f t="shared" si="9"/>
        <v>1</v>
      </c>
    </row>
    <row r="124" spans="1:13" x14ac:dyDescent="0.3">
      <c r="A124" s="22">
        <v>255</v>
      </c>
      <c r="B124" s="22">
        <v>249</v>
      </c>
      <c r="C124" s="23">
        <v>0.97650000000000003</v>
      </c>
      <c r="D124" s="22">
        <v>6</v>
      </c>
      <c r="E124" s="24">
        <v>1.7361111111111112E-4</v>
      </c>
      <c r="F124" s="24">
        <v>1.6087962962962963E-3</v>
      </c>
      <c r="G124" s="24">
        <v>3.8310185185185183E-3</v>
      </c>
      <c r="H124" s="24">
        <v>0.82679999999999998</v>
      </c>
      <c r="I124" s="18">
        <f t="shared" si="6"/>
        <v>9.7650000000000011E-3</v>
      </c>
      <c r="J124" s="18">
        <f t="shared" si="10"/>
        <v>8.2679999999999993E-3</v>
      </c>
      <c r="K124" s="19">
        <f t="shared" si="7"/>
        <v>6</v>
      </c>
      <c r="L124" s="18">
        <f t="shared" si="8"/>
        <v>2.3529411764705882E-2</v>
      </c>
      <c r="M124" s="18">
        <f t="shared" si="9"/>
        <v>0.97647058823529409</v>
      </c>
    </row>
    <row r="125" spans="1:13" x14ac:dyDescent="0.3">
      <c r="A125" s="22">
        <v>50</v>
      </c>
      <c r="B125" s="22">
        <v>49</v>
      </c>
      <c r="C125" s="23">
        <v>0.98</v>
      </c>
      <c r="D125" s="22">
        <v>1</v>
      </c>
      <c r="E125" s="24">
        <v>9.2592592592592588E-5</v>
      </c>
      <c r="F125" s="24">
        <v>1.4120370370370369E-3</v>
      </c>
      <c r="G125" s="24">
        <v>6.5972222222222224E-4</v>
      </c>
      <c r="H125" s="24">
        <v>0.92</v>
      </c>
      <c r="I125" s="18">
        <f t="shared" si="6"/>
        <v>9.7999999999999997E-3</v>
      </c>
      <c r="J125" s="18">
        <f t="shared" si="10"/>
        <v>9.1999999999999998E-3</v>
      </c>
      <c r="K125" s="19">
        <f t="shared" si="7"/>
        <v>1</v>
      </c>
      <c r="L125" s="18">
        <f t="shared" si="8"/>
        <v>0.02</v>
      </c>
      <c r="M125" s="18">
        <f t="shared" si="9"/>
        <v>0.98</v>
      </c>
    </row>
    <row r="126" spans="1:13" x14ac:dyDescent="0.3">
      <c r="A126" s="22">
        <v>290</v>
      </c>
      <c r="B126" s="22">
        <v>289</v>
      </c>
      <c r="C126" s="23">
        <v>0.99660000000000004</v>
      </c>
      <c r="D126" s="22">
        <v>1</v>
      </c>
      <c r="E126" s="24">
        <v>1.3888888888888889E-4</v>
      </c>
      <c r="F126" s="24">
        <v>1.4004629629629629E-3</v>
      </c>
      <c r="G126" s="24">
        <v>8.1018518518518516E-4</v>
      </c>
      <c r="H126" s="24">
        <v>0.89270000000000005</v>
      </c>
      <c r="I126" s="18">
        <f t="shared" si="6"/>
        <v>9.9660000000000009E-3</v>
      </c>
      <c r="J126" s="18">
        <f t="shared" si="10"/>
        <v>8.9270000000000009E-3</v>
      </c>
      <c r="K126" s="19">
        <f t="shared" si="7"/>
        <v>1</v>
      </c>
      <c r="L126" s="18">
        <f t="shared" si="8"/>
        <v>3.4482758620689655E-3</v>
      </c>
      <c r="M126" s="18">
        <f t="shared" si="9"/>
        <v>0.99655172413793103</v>
      </c>
    </row>
    <row r="127" spans="1:13" x14ac:dyDescent="0.3">
      <c r="A127" s="22">
        <v>296</v>
      </c>
      <c r="B127" s="22">
        <v>281</v>
      </c>
      <c r="C127" s="23">
        <v>0.94930000000000003</v>
      </c>
      <c r="D127" s="22">
        <v>15</v>
      </c>
      <c r="E127" s="24">
        <v>2.5462962962962961E-4</v>
      </c>
      <c r="F127" s="24">
        <v>1.4814814814814814E-3</v>
      </c>
      <c r="G127" s="24">
        <v>3.1250000000000002E-3</v>
      </c>
      <c r="H127" s="24">
        <v>0.73540000000000005</v>
      </c>
      <c r="I127" s="18">
        <f t="shared" si="6"/>
        <v>9.4929999999999997E-3</v>
      </c>
      <c r="J127" s="18">
        <f t="shared" si="10"/>
        <v>7.3540000000000003E-3</v>
      </c>
      <c r="K127" s="19">
        <f t="shared" si="7"/>
        <v>15</v>
      </c>
      <c r="L127" s="18">
        <f t="shared" si="8"/>
        <v>5.0675675675675678E-2</v>
      </c>
      <c r="M127" s="18">
        <f t="shared" si="9"/>
        <v>0.94932432432432434</v>
      </c>
    </row>
    <row r="128" spans="1:13" x14ac:dyDescent="0.3">
      <c r="A128" s="22">
        <v>260</v>
      </c>
      <c r="B128" s="22">
        <v>257</v>
      </c>
      <c r="C128" s="23">
        <v>0.98850000000000005</v>
      </c>
      <c r="D128" s="22">
        <v>3</v>
      </c>
      <c r="E128" s="24">
        <v>1.9675925925925926E-4</v>
      </c>
      <c r="F128" s="24">
        <v>1.5393518518518519E-3</v>
      </c>
      <c r="G128" s="24">
        <v>9.2592592592592596E-4</v>
      </c>
      <c r="H128" s="24">
        <v>0.87160000000000004</v>
      </c>
      <c r="I128" s="18">
        <f t="shared" si="6"/>
        <v>9.8849999999999997E-3</v>
      </c>
      <c r="J128" s="18">
        <f t="shared" si="10"/>
        <v>8.7159999999999998E-3</v>
      </c>
      <c r="K128" s="19">
        <f t="shared" si="7"/>
        <v>3</v>
      </c>
      <c r="L128" s="18">
        <f t="shared" si="8"/>
        <v>1.1538461538461539E-2</v>
      </c>
      <c r="M128" s="18">
        <f t="shared" si="9"/>
        <v>0.9884615384615385</v>
      </c>
    </row>
    <row r="129" spans="1:13" x14ac:dyDescent="0.3">
      <c r="A129" s="22">
        <v>201</v>
      </c>
      <c r="B129" s="22">
        <v>193</v>
      </c>
      <c r="C129" s="23">
        <v>0.96020000000000005</v>
      </c>
      <c r="D129" s="22">
        <v>8</v>
      </c>
      <c r="E129" s="24">
        <v>2.199074074074074E-4</v>
      </c>
      <c r="F129" s="24">
        <v>1.6550925925925926E-3</v>
      </c>
      <c r="G129" s="24">
        <v>1.4120370370370369E-3</v>
      </c>
      <c r="H129" s="24">
        <v>0.76770000000000005</v>
      </c>
      <c r="I129" s="18">
        <f t="shared" si="6"/>
        <v>9.6020000000000012E-3</v>
      </c>
      <c r="J129" s="18">
        <f t="shared" si="10"/>
        <v>7.6770000000000007E-3</v>
      </c>
      <c r="K129" s="19">
        <f t="shared" si="7"/>
        <v>8</v>
      </c>
      <c r="L129" s="18">
        <f t="shared" si="8"/>
        <v>3.9800995024875621E-2</v>
      </c>
      <c r="M129" s="18">
        <f t="shared" si="9"/>
        <v>0.96019900497512434</v>
      </c>
    </row>
    <row r="130" spans="1:13" x14ac:dyDescent="0.3">
      <c r="A130" s="22">
        <v>132</v>
      </c>
      <c r="B130" s="22">
        <v>131</v>
      </c>
      <c r="C130" s="23">
        <v>0.99239999999999995</v>
      </c>
      <c r="D130" s="22">
        <v>1</v>
      </c>
      <c r="E130" s="24">
        <v>1.9675925925925926E-4</v>
      </c>
      <c r="F130" s="24">
        <v>1.5393518518518519E-3</v>
      </c>
      <c r="G130" s="24">
        <v>1.0416666666666667E-3</v>
      </c>
      <c r="H130" s="24">
        <v>0.76519999999999999</v>
      </c>
      <c r="I130" s="18">
        <f t="shared" si="6"/>
        <v>9.9239999999999988E-3</v>
      </c>
      <c r="J130" s="18">
        <f t="shared" si="10"/>
        <v>7.6519999999999999E-3</v>
      </c>
      <c r="K130" s="19">
        <f t="shared" si="7"/>
        <v>1</v>
      </c>
      <c r="L130" s="18">
        <f t="shared" si="8"/>
        <v>7.575757575757576E-3</v>
      </c>
      <c r="M130" s="18">
        <f t="shared" si="9"/>
        <v>0.99242424242424243</v>
      </c>
    </row>
    <row r="131" spans="1:13" x14ac:dyDescent="0.3">
      <c r="A131" s="22">
        <v>167</v>
      </c>
      <c r="B131" s="22">
        <v>165</v>
      </c>
      <c r="C131" s="23">
        <v>0.98799999999999999</v>
      </c>
      <c r="D131" s="22">
        <v>2</v>
      </c>
      <c r="E131" s="24">
        <v>1.0416666666666667E-4</v>
      </c>
      <c r="F131" s="24">
        <v>1.4583333333333334E-3</v>
      </c>
      <c r="G131" s="24">
        <v>6.5972222222222224E-4</v>
      </c>
      <c r="H131" s="24">
        <v>0.92120000000000002</v>
      </c>
      <c r="I131" s="18">
        <f t="shared" ref="I131:I194" si="11">VALUE(SUBSTITUTE(C131,"%",""))/100</f>
        <v>9.8799999999999999E-3</v>
      </c>
      <c r="J131" s="18">
        <f t="shared" si="10"/>
        <v>9.2119999999999997E-3</v>
      </c>
      <c r="K131" s="19">
        <f t="shared" ref="K131:K194" si="12">A131-B131</f>
        <v>2</v>
      </c>
      <c r="L131" s="18">
        <f t="shared" ref="L131:L194" si="13">D131/A131</f>
        <v>1.1976047904191617E-2</v>
      </c>
      <c r="M131" s="18">
        <f t="shared" ref="M131:M194" si="14">B131/A131</f>
        <v>0.9880239520958084</v>
      </c>
    </row>
    <row r="132" spans="1:13" x14ac:dyDescent="0.3">
      <c r="A132" s="22">
        <v>85</v>
      </c>
      <c r="B132" s="22">
        <v>79</v>
      </c>
      <c r="C132" s="23">
        <v>0.9294</v>
      </c>
      <c r="D132" s="22">
        <v>6</v>
      </c>
      <c r="E132" s="24">
        <v>2.0833333333333335E-4</v>
      </c>
      <c r="F132" s="24">
        <v>1.6782407407407408E-3</v>
      </c>
      <c r="G132" s="24">
        <v>1.3078703703703703E-3</v>
      </c>
      <c r="H132" s="24">
        <v>0.77380000000000004</v>
      </c>
      <c r="I132" s="18">
        <f t="shared" si="11"/>
        <v>9.2940000000000002E-3</v>
      </c>
      <c r="J132" s="18">
        <f t="shared" si="10"/>
        <v>7.7380000000000001E-3</v>
      </c>
      <c r="K132" s="19">
        <f t="shared" si="12"/>
        <v>6</v>
      </c>
      <c r="L132" s="18">
        <f t="shared" si="13"/>
        <v>7.0588235294117646E-2</v>
      </c>
      <c r="M132" s="18">
        <f t="shared" si="14"/>
        <v>0.92941176470588238</v>
      </c>
    </row>
    <row r="133" spans="1:13" x14ac:dyDescent="0.3">
      <c r="A133" s="22">
        <v>244</v>
      </c>
      <c r="B133" s="22">
        <v>236</v>
      </c>
      <c r="C133" s="23">
        <v>0.96719999999999995</v>
      </c>
      <c r="D133" s="22">
        <v>8</v>
      </c>
      <c r="E133" s="24">
        <v>2.4305555555555555E-4</v>
      </c>
      <c r="F133" s="24">
        <v>1.724537037037037E-3</v>
      </c>
      <c r="G133" s="24">
        <v>1.3425925925925925E-3</v>
      </c>
      <c r="H133" s="24">
        <v>0.75619999999999998</v>
      </c>
      <c r="I133" s="18">
        <f t="shared" si="11"/>
        <v>9.672E-3</v>
      </c>
      <c r="J133" s="18">
        <f t="shared" si="10"/>
        <v>7.5620000000000001E-3</v>
      </c>
      <c r="K133" s="19">
        <f t="shared" si="12"/>
        <v>8</v>
      </c>
      <c r="L133" s="18">
        <f t="shared" si="13"/>
        <v>3.2786885245901641E-2</v>
      </c>
      <c r="M133" s="18">
        <f t="shared" si="14"/>
        <v>0.96721311475409832</v>
      </c>
    </row>
    <row r="134" spans="1:13" x14ac:dyDescent="0.3">
      <c r="A134" s="22">
        <v>186</v>
      </c>
      <c r="B134" s="22">
        <v>182</v>
      </c>
      <c r="C134" s="23">
        <v>0.97850000000000004</v>
      </c>
      <c r="D134" s="22">
        <v>4</v>
      </c>
      <c r="E134" s="24">
        <v>1.6203703703703703E-4</v>
      </c>
      <c r="F134" s="24">
        <v>1.5393518518518519E-3</v>
      </c>
      <c r="G134" s="24">
        <v>1.1342592592592593E-3</v>
      </c>
      <c r="H134" s="24">
        <v>0.7903</v>
      </c>
      <c r="I134" s="18">
        <f t="shared" si="11"/>
        <v>9.7850000000000003E-3</v>
      </c>
      <c r="J134" s="18">
        <f t="shared" ref="J134:J197" si="15">VALUE(SUBSTITUTE(H134,"%",""))/100</f>
        <v>7.9030000000000003E-3</v>
      </c>
      <c r="K134" s="19">
        <f t="shared" si="12"/>
        <v>4</v>
      </c>
      <c r="L134" s="18">
        <f t="shared" si="13"/>
        <v>2.1505376344086023E-2</v>
      </c>
      <c r="M134" s="18">
        <f t="shared" si="14"/>
        <v>0.978494623655914</v>
      </c>
    </row>
    <row r="135" spans="1:13" x14ac:dyDescent="0.3">
      <c r="A135" s="22">
        <v>278</v>
      </c>
      <c r="B135" s="22">
        <v>264</v>
      </c>
      <c r="C135" s="23">
        <v>0.9496</v>
      </c>
      <c r="D135" s="22">
        <v>14</v>
      </c>
      <c r="E135" s="24">
        <v>2.199074074074074E-4</v>
      </c>
      <c r="F135" s="24">
        <v>1.6203703703703703E-3</v>
      </c>
      <c r="G135" s="24">
        <v>1.5046296296296296E-3</v>
      </c>
      <c r="H135" s="24">
        <v>0.76839999999999997</v>
      </c>
      <c r="I135" s="18">
        <f t="shared" si="11"/>
        <v>9.4959999999999992E-3</v>
      </c>
      <c r="J135" s="18">
        <f t="shared" si="15"/>
        <v>7.6839999999999999E-3</v>
      </c>
      <c r="K135" s="19">
        <f t="shared" si="12"/>
        <v>14</v>
      </c>
      <c r="L135" s="18">
        <f t="shared" si="13"/>
        <v>5.0359712230215826E-2</v>
      </c>
      <c r="M135" s="18">
        <f t="shared" si="14"/>
        <v>0.94964028776978415</v>
      </c>
    </row>
    <row r="136" spans="1:13" x14ac:dyDescent="0.3">
      <c r="A136" s="22">
        <v>272</v>
      </c>
      <c r="B136" s="22">
        <v>268</v>
      </c>
      <c r="C136" s="23">
        <v>0.98529999999999995</v>
      </c>
      <c r="D136" s="22">
        <v>4</v>
      </c>
      <c r="E136" s="24">
        <v>1.7361111111111112E-4</v>
      </c>
      <c r="F136" s="24">
        <v>1.736111111111111E-3</v>
      </c>
      <c r="G136" s="24">
        <v>1.2152777777777778E-3</v>
      </c>
      <c r="H136" s="24">
        <v>0.8</v>
      </c>
      <c r="I136" s="18">
        <f t="shared" si="11"/>
        <v>9.8529999999999989E-3</v>
      </c>
      <c r="J136" s="18">
        <f t="shared" si="15"/>
        <v>8.0000000000000002E-3</v>
      </c>
      <c r="K136" s="19">
        <f t="shared" si="12"/>
        <v>4</v>
      </c>
      <c r="L136" s="18">
        <f t="shared" si="13"/>
        <v>1.4705882352941176E-2</v>
      </c>
      <c r="M136" s="18">
        <f t="shared" si="14"/>
        <v>0.98529411764705888</v>
      </c>
    </row>
    <row r="137" spans="1:13" x14ac:dyDescent="0.3">
      <c r="A137" s="22">
        <v>218</v>
      </c>
      <c r="B137" s="22">
        <v>206</v>
      </c>
      <c r="C137" s="23">
        <v>0.94499999999999995</v>
      </c>
      <c r="D137" s="22">
        <v>12</v>
      </c>
      <c r="E137" s="24">
        <v>2.8935185185185184E-4</v>
      </c>
      <c r="F137" s="24">
        <v>1.6319444444444445E-3</v>
      </c>
      <c r="G137" s="24">
        <v>2.5578703703703705E-3</v>
      </c>
      <c r="H137" s="24">
        <v>0.67279999999999995</v>
      </c>
      <c r="I137" s="18">
        <f t="shared" si="11"/>
        <v>9.4500000000000001E-3</v>
      </c>
      <c r="J137" s="18">
        <f t="shared" si="15"/>
        <v>6.7279999999999996E-3</v>
      </c>
      <c r="K137" s="19">
        <f t="shared" si="12"/>
        <v>12</v>
      </c>
      <c r="L137" s="18">
        <f t="shared" si="13"/>
        <v>5.5045871559633031E-2</v>
      </c>
      <c r="M137" s="18">
        <f t="shared" si="14"/>
        <v>0.94495412844036697</v>
      </c>
    </row>
    <row r="138" spans="1:13" x14ac:dyDescent="0.3">
      <c r="A138" s="22">
        <v>152</v>
      </c>
      <c r="B138" s="22">
        <v>148</v>
      </c>
      <c r="C138" s="23">
        <v>0.97370000000000001</v>
      </c>
      <c r="D138" s="22">
        <v>4</v>
      </c>
      <c r="E138" s="24">
        <v>1.6203703703703703E-4</v>
      </c>
      <c r="F138" s="24">
        <v>1.5972222222222223E-3</v>
      </c>
      <c r="G138" s="24">
        <v>9.837962962962962E-4</v>
      </c>
      <c r="H138" s="24">
        <v>0.83330000000000004</v>
      </c>
      <c r="I138" s="18">
        <f t="shared" si="11"/>
        <v>9.7370000000000009E-3</v>
      </c>
      <c r="J138" s="18">
        <f t="shared" si="15"/>
        <v>8.3330000000000001E-3</v>
      </c>
      <c r="K138" s="19">
        <f t="shared" si="12"/>
        <v>4</v>
      </c>
      <c r="L138" s="18">
        <f t="shared" si="13"/>
        <v>2.6315789473684209E-2</v>
      </c>
      <c r="M138" s="18">
        <f t="shared" si="14"/>
        <v>0.97368421052631582</v>
      </c>
    </row>
    <row r="139" spans="1:13" x14ac:dyDescent="0.3">
      <c r="A139" s="22">
        <v>48</v>
      </c>
      <c r="B139" s="22">
        <v>43</v>
      </c>
      <c r="C139" s="23">
        <v>0.89580000000000004</v>
      </c>
      <c r="D139" s="22">
        <v>5</v>
      </c>
      <c r="E139" s="24">
        <v>2.5462962962962961E-4</v>
      </c>
      <c r="F139" s="24">
        <v>1.4004629629629629E-3</v>
      </c>
      <c r="G139" s="24">
        <v>9.3749999999999997E-4</v>
      </c>
      <c r="H139" s="24">
        <v>0.69569999999999999</v>
      </c>
      <c r="I139" s="18">
        <f t="shared" si="11"/>
        <v>8.9580000000000007E-3</v>
      </c>
      <c r="J139" s="18">
        <f t="shared" si="15"/>
        <v>6.9569999999999996E-3</v>
      </c>
      <c r="K139" s="19">
        <f t="shared" si="12"/>
        <v>5</v>
      </c>
      <c r="L139" s="18">
        <f t="shared" si="13"/>
        <v>0.10416666666666667</v>
      </c>
      <c r="M139" s="18">
        <f t="shared" si="14"/>
        <v>0.89583333333333337</v>
      </c>
    </row>
    <row r="140" spans="1:13" x14ac:dyDescent="0.3">
      <c r="A140" s="22">
        <v>186</v>
      </c>
      <c r="B140" s="22">
        <v>181</v>
      </c>
      <c r="C140" s="23">
        <v>0.97309999999999997</v>
      </c>
      <c r="D140" s="22">
        <v>5</v>
      </c>
      <c r="E140" s="24">
        <v>1.6203703703703703E-4</v>
      </c>
      <c r="F140" s="24">
        <v>1.6203703703703703E-3</v>
      </c>
      <c r="G140" s="24">
        <v>1.261574074074074E-3</v>
      </c>
      <c r="H140" s="24">
        <v>0.84950000000000003</v>
      </c>
      <c r="I140" s="18">
        <f t="shared" si="11"/>
        <v>9.7310000000000001E-3</v>
      </c>
      <c r="J140" s="18">
        <f t="shared" si="15"/>
        <v>8.4950000000000008E-3</v>
      </c>
      <c r="K140" s="19">
        <f t="shared" si="12"/>
        <v>5</v>
      </c>
      <c r="L140" s="18">
        <f t="shared" si="13"/>
        <v>2.6881720430107527E-2</v>
      </c>
      <c r="M140" s="18">
        <f t="shared" si="14"/>
        <v>0.9731182795698925</v>
      </c>
    </row>
    <row r="141" spans="1:13" x14ac:dyDescent="0.3">
      <c r="A141" s="22">
        <v>182</v>
      </c>
      <c r="B141" s="22">
        <v>180</v>
      </c>
      <c r="C141" s="23">
        <v>0.98899999999999999</v>
      </c>
      <c r="D141" s="22">
        <v>2</v>
      </c>
      <c r="E141" s="24">
        <v>9.2592592592592588E-5</v>
      </c>
      <c r="F141" s="24">
        <v>1.5046296296296296E-3</v>
      </c>
      <c r="G141" s="24">
        <v>6.7129629629629625E-4</v>
      </c>
      <c r="H141" s="24">
        <v>0.93369999999999997</v>
      </c>
      <c r="I141" s="18">
        <f t="shared" si="11"/>
        <v>9.8899999999999995E-3</v>
      </c>
      <c r="J141" s="18">
        <f t="shared" si="15"/>
        <v>9.3369999999999998E-3</v>
      </c>
      <c r="K141" s="19">
        <f t="shared" si="12"/>
        <v>2</v>
      </c>
      <c r="L141" s="18">
        <f t="shared" si="13"/>
        <v>1.098901098901099E-2</v>
      </c>
      <c r="M141" s="18">
        <f t="shared" si="14"/>
        <v>0.98901098901098905</v>
      </c>
    </row>
    <row r="142" spans="1:13" x14ac:dyDescent="0.3">
      <c r="A142" s="22">
        <v>192</v>
      </c>
      <c r="B142" s="22">
        <v>188</v>
      </c>
      <c r="C142" s="23">
        <v>0.97919999999999996</v>
      </c>
      <c r="D142" s="22">
        <v>4</v>
      </c>
      <c r="E142" s="24">
        <v>2.3148148148148149E-4</v>
      </c>
      <c r="F142" s="24">
        <v>1.3657407407407407E-3</v>
      </c>
      <c r="G142" s="24">
        <v>1.3425925925925925E-3</v>
      </c>
      <c r="H142" s="24">
        <v>0.76190000000000002</v>
      </c>
      <c r="I142" s="18">
        <f t="shared" si="11"/>
        <v>9.7920000000000004E-3</v>
      </c>
      <c r="J142" s="18">
        <f t="shared" si="15"/>
        <v>7.6189999999999999E-3</v>
      </c>
      <c r="K142" s="19">
        <f t="shared" si="12"/>
        <v>4</v>
      </c>
      <c r="L142" s="18">
        <f t="shared" si="13"/>
        <v>2.0833333333333332E-2</v>
      </c>
      <c r="M142" s="18">
        <f t="shared" si="14"/>
        <v>0.97916666666666663</v>
      </c>
    </row>
    <row r="143" spans="1:13" x14ac:dyDescent="0.3">
      <c r="A143" s="22">
        <v>155</v>
      </c>
      <c r="B143" s="22">
        <v>148</v>
      </c>
      <c r="C143" s="23">
        <v>0.95479999999999998</v>
      </c>
      <c r="D143" s="22">
        <v>7</v>
      </c>
      <c r="E143" s="24">
        <v>1.6203703703703703E-4</v>
      </c>
      <c r="F143" s="24">
        <v>1.6666666666666668E-3</v>
      </c>
      <c r="G143" s="24">
        <v>1.5972222222222223E-3</v>
      </c>
      <c r="H143" s="24">
        <v>0.85329999999999995</v>
      </c>
      <c r="I143" s="18">
        <f t="shared" si="11"/>
        <v>9.5479999999999992E-3</v>
      </c>
      <c r="J143" s="18">
        <f t="shared" si="15"/>
        <v>8.5329999999999989E-3</v>
      </c>
      <c r="K143" s="19">
        <f t="shared" si="12"/>
        <v>7</v>
      </c>
      <c r="L143" s="18">
        <f t="shared" si="13"/>
        <v>4.5161290322580643E-2</v>
      </c>
      <c r="M143" s="18">
        <f t="shared" si="14"/>
        <v>0.95483870967741935</v>
      </c>
    </row>
    <row r="144" spans="1:13" x14ac:dyDescent="0.3">
      <c r="A144" s="22">
        <v>144</v>
      </c>
      <c r="B144" s="22">
        <v>142</v>
      </c>
      <c r="C144" s="23">
        <v>0.98609999999999998</v>
      </c>
      <c r="D144" s="22">
        <v>2</v>
      </c>
      <c r="E144" s="24">
        <v>1.273148148148148E-4</v>
      </c>
      <c r="F144" s="24">
        <v>1.6087962962962963E-3</v>
      </c>
      <c r="G144" s="24">
        <v>7.5231481481481482E-4</v>
      </c>
      <c r="H144" s="24">
        <v>0.90210000000000001</v>
      </c>
      <c r="I144" s="18">
        <f t="shared" si="11"/>
        <v>9.861E-3</v>
      </c>
      <c r="J144" s="18">
        <f t="shared" si="15"/>
        <v>9.0209999999999995E-3</v>
      </c>
      <c r="K144" s="19">
        <f t="shared" si="12"/>
        <v>2</v>
      </c>
      <c r="L144" s="18">
        <f t="shared" si="13"/>
        <v>1.3888888888888888E-2</v>
      </c>
      <c r="M144" s="18">
        <f t="shared" si="14"/>
        <v>0.98611111111111116</v>
      </c>
    </row>
    <row r="145" spans="1:13" x14ac:dyDescent="0.3">
      <c r="A145" s="22">
        <v>164</v>
      </c>
      <c r="B145" s="22">
        <v>162</v>
      </c>
      <c r="C145" s="23">
        <v>0.98780000000000001</v>
      </c>
      <c r="D145" s="22">
        <v>2</v>
      </c>
      <c r="E145" s="24">
        <v>1.3888888888888889E-4</v>
      </c>
      <c r="F145" s="24">
        <v>1.7939814814814815E-3</v>
      </c>
      <c r="G145" s="24">
        <v>1.2731481481481483E-3</v>
      </c>
      <c r="H145" s="24">
        <v>0.85370000000000001</v>
      </c>
      <c r="I145" s="18">
        <f t="shared" si="11"/>
        <v>9.8779999999999996E-3</v>
      </c>
      <c r="J145" s="18">
        <f t="shared" si="15"/>
        <v>8.5369999999999994E-3</v>
      </c>
      <c r="K145" s="19">
        <f t="shared" si="12"/>
        <v>2</v>
      </c>
      <c r="L145" s="18">
        <f t="shared" si="13"/>
        <v>1.2195121951219513E-2</v>
      </c>
      <c r="M145" s="18">
        <f t="shared" si="14"/>
        <v>0.98780487804878048</v>
      </c>
    </row>
    <row r="146" spans="1:13" x14ac:dyDescent="0.3">
      <c r="A146" s="22">
        <v>27</v>
      </c>
      <c r="B146" s="22">
        <v>26</v>
      </c>
      <c r="C146" s="23">
        <v>0.96299999999999997</v>
      </c>
      <c r="D146" s="22">
        <v>1</v>
      </c>
      <c r="E146" s="24">
        <v>1.273148148148148E-4</v>
      </c>
      <c r="F146" s="24">
        <v>1.4351851851851852E-3</v>
      </c>
      <c r="G146" s="24">
        <v>8.9120370370370373E-4</v>
      </c>
      <c r="H146" s="24">
        <v>0.81479999999999997</v>
      </c>
      <c r="I146" s="18">
        <f t="shared" si="11"/>
        <v>9.6299999999999997E-3</v>
      </c>
      <c r="J146" s="18">
        <f t="shared" si="15"/>
        <v>8.147999999999999E-3</v>
      </c>
      <c r="K146" s="19">
        <f t="shared" si="12"/>
        <v>1</v>
      </c>
      <c r="L146" s="18">
        <f t="shared" si="13"/>
        <v>3.7037037037037035E-2</v>
      </c>
      <c r="M146" s="18">
        <f t="shared" si="14"/>
        <v>0.96296296296296291</v>
      </c>
    </row>
    <row r="147" spans="1:13" x14ac:dyDescent="0.3">
      <c r="A147" s="22">
        <v>177</v>
      </c>
      <c r="B147" s="22">
        <v>175</v>
      </c>
      <c r="C147" s="23">
        <v>0.98870000000000002</v>
      </c>
      <c r="D147" s="22">
        <v>2</v>
      </c>
      <c r="E147" s="24">
        <v>1.273148148148148E-4</v>
      </c>
      <c r="F147" s="24">
        <v>1.6087962962962963E-3</v>
      </c>
      <c r="G147" s="24">
        <v>1.0995370370370371E-3</v>
      </c>
      <c r="H147" s="24">
        <v>0.90859999999999996</v>
      </c>
      <c r="I147" s="18">
        <f t="shared" si="11"/>
        <v>9.887E-3</v>
      </c>
      <c r="J147" s="18">
        <f t="shared" si="15"/>
        <v>9.0860000000000003E-3</v>
      </c>
      <c r="K147" s="19">
        <f t="shared" si="12"/>
        <v>2</v>
      </c>
      <c r="L147" s="18">
        <f t="shared" si="13"/>
        <v>1.1299435028248588E-2</v>
      </c>
      <c r="M147" s="18">
        <f t="shared" si="14"/>
        <v>0.98870056497175141</v>
      </c>
    </row>
    <row r="148" spans="1:13" x14ac:dyDescent="0.3">
      <c r="A148" s="22">
        <v>134</v>
      </c>
      <c r="B148" s="22">
        <v>131</v>
      </c>
      <c r="C148" s="23">
        <v>0.97760000000000002</v>
      </c>
      <c r="D148" s="22">
        <v>3</v>
      </c>
      <c r="E148" s="24">
        <v>1.6203703703703703E-4</v>
      </c>
      <c r="F148" s="24">
        <v>1.6550925925925926E-3</v>
      </c>
      <c r="G148" s="24">
        <v>1.1458333333333333E-3</v>
      </c>
      <c r="H148" s="24">
        <v>0.81340000000000001</v>
      </c>
      <c r="I148" s="18">
        <f t="shared" si="11"/>
        <v>9.776E-3</v>
      </c>
      <c r="J148" s="18">
        <f t="shared" si="15"/>
        <v>8.1340000000000006E-3</v>
      </c>
      <c r="K148" s="19">
        <f t="shared" si="12"/>
        <v>3</v>
      </c>
      <c r="L148" s="18">
        <f t="shared" si="13"/>
        <v>2.2388059701492536E-2</v>
      </c>
      <c r="M148" s="18">
        <f t="shared" si="14"/>
        <v>0.97761194029850751</v>
      </c>
    </row>
    <row r="149" spans="1:13" x14ac:dyDescent="0.3">
      <c r="A149" s="22">
        <v>125</v>
      </c>
      <c r="B149" s="22">
        <v>120</v>
      </c>
      <c r="C149" s="23">
        <v>0.96</v>
      </c>
      <c r="D149" s="22">
        <v>5</v>
      </c>
      <c r="E149" s="24">
        <v>1.6203703703703703E-4</v>
      </c>
      <c r="F149" s="24">
        <v>1.6203703703703703E-3</v>
      </c>
      <c r="G149" s="24">
        <v>1.9907407407407408E-3</v>
      </c>
      <c r="H149" s="24">
        <v>0.84550000000000003</v>
      </c>
      <c r="I149" s="18">
        <f t="shared" si="11"/>
        <v>9.5999999999999992E-3</v>
      </c>
      <c r="J149" s="18">
        <f t="shared" si="15"/>
        <v>8.4550000000000007E-3</v>
      </c>
      <c r="K149" s="19">
        <f t="shared" si="12"/>
        <v>5</v>
      </c>
      <c r="L149" s="18">
        <f t="shared" si="13"/>
        <v>0.04</v>
      </c>
      <c r="M149" s="18">
        <f t="shared" si="14"/>
        <v>0.96</v>
      </c>
    </row>
    <row r="150" spans="1:13" x14ac:dyDescent="0.3">
      <c r="A150" s="22">
        <v>167</v>
      </c>
      <c r="B150" s="22">
        <v>163</v>
      </c>
      <c r="C150" s="23">
        <v>0.97599999999999998</v>
      </c>
      <c r="D150" s="22">
        <v>4</v>
      </c>
      <c r="E150" s="24">
        <v>1.8518518518518518E-4</v>
      </c>
      <c r="F150" s="24">
        <v>1.6666666666666668E-3</v>
      </c>
      <c r="G150" s="24">
        <v>8.3333333333333339E-4</v>
      </c>
      <c r="H150" s="24">
        <v>0.81210000000000004</v>
      </c>
      <c r="I150" s="18">
        <f t="shared" si="11"/>
        <v>9.7599999999999996E-3</v>
      </c>
      <c r="J150" s="18">
        <f t="shared" si="15"/>
        <v>8.1209999999999997E-3</v>
      </c>
      <c r="K150" s="19">
        <f t="shared" si="12"/>
        <v>4</v>
      </c>
      <c r="L150" s="18">
        <f t="shared" si="13"/>
        <v>2.3952095808383235E-2</v>
      </c>
      <c r="M150" s="18">
        <f t="shared" si="14"/>
        <v>0.9760479041916168</v>
      </c>
    </row>
    <row r="151" spans="1:13" x14ac:dyDescent="0.3">
      <c r="A151" s="22">
        <v>169</v>
      </c>
      <c r="B151" s="22">
        <v>167</v>
      </c>
      <c r="C151" s="23">
        <v>0.98819999999999997</v>
      </c>
      <c r="D151" s="22">
        <v>2</v>
      </c>
      <c r="E151" s="24">
        <v>1.0416666666666667E-4</v>
      </c>
      <c r="F151" s="24">
        <v>1.5509259259259259E-3</v>
      </c>
      <c r="G151" s="24">
        <v>1.2037037037037038E-3</v>
      </c>
      <c r="H151" s="24">
        <v>0.89939999999999998</v>
      </c>
      <c r="I151" s="18">
        <f t="shared" si="11"/>
        <v>9.8820000000000002E-3</v>
      </c>
      <c r="J151" s="18">
        <f t="shared" si="15"/>
        <v>8.9940000000000003E-3</v>
      </c>
      <c r="K151" s="19">
        <f t="shared" si="12"/>
        <v>2</v>
      </c>
      <c r="L151" s="18">
        <f t="shared" si="13"/>
        <v>1.1834319526627219E-2</v>
      </c>
      <c r="M151" s="18">
        <f t="shared" si="14"/>
        <v>0.98816568047337283</v>
      </c>
    </row>
    <row r="152" spans="1:13" x14ac:dyDescent="0.3">
      <c r="A152" s="22">
        <v>162</v>
      </c>
      <c r="B152" s="22">
        <v>160</v>
      </c>
      <c r="C152" s="23">
        <v>0.98770000000000002</v>
      </c>
      <c r="D152" s="22">
        <v>2</v>
      </c>
      <c r="E152" s="24">
        <v>1.8518518518518518E-4</v>
      </c>
      <c r="F152" s="24">
        <v>1.5625000000000001E-3</v>
      </c>
      <c r="G152" s="24">
        <v>1.0532407407407407E-3</v>
      </c>
      <c r="H152" s="24">
        <v>0.83130000000000004</v>
      </c>
      <c r="I152" s="18">
        <f t="shared" si="11"/>
        <v>9.8770000000000004E-3</v>
      </c>
      <c r="J152" s="18">
        <f t="shared" si="15"/>
        <v>8.3130000000000009E-3</v>
      </c>
      <c r="K152" s="19">
        <f t="shared" si="12"/>
        <v>2</v>
      </c>
      <c r="L152" s="18">
        <f t="shared" si="13"/>
        <v>1.2345679012345678E-2</v>
      </c>
      <c r="M152" s="18">
        <f t="shared" si="14"/>
        <v>0.98765432098765427</v>
      </c>
    </row>
    <row r="153" spans="1:13" x14ac:dyDescent="0.3">
      <c r="A153" s="22">
        <v>25</v>
      </c>
      <c r="B153" s="22">
        <v>25</v>
      </c>
      <c r="C153" s="23">
        <v>1</v>
      </c>
      <c r="D153" s="22">
        <v>0</v>
      </c>
      <c r="E153" s="24">
        <v>1.8518518518518518E-4</v>
      </c>
      <c r="F153" s="24">
        <v>1.7939814814814815E-3</v>
      </c>
      <c r="G153" s="24">
        <v>6.7129629629629625E-4</v>
      </c>
      <c r="H153" s="24">
        <v>0.76</v>
      </c>
      <c r="I153" s="18">
        <f t="shared" si="11"/>
        <v>0.01</v>
      </c>
      <c r="J153" s="18">
        <f t="shared" si="15"/>
        <v>7.6E-3</v>
      </c>
      <c r="K153" s="19">
        <f t="shared" si="12"/>
        <v>0</v>
      </c>
      <c r="L153" s="18">
        <f t="shared" si="13"/>
        <v>0</v>
      </c>
      <c r="M153" s="18">
        <f t="shared" si="14"/>
        <v>1</v>
      </c>
    </row>
    <row r="154" spans="1:13" x14ac:dyDescent="0.3">
      <c r="A154" s="22">
        <v>157</v>
      </c>
      <c r="B154" s="22">
        <v>146</v>
      </c>
      <c r="C154" s="23">
        <v>0.92989999999999995</v>
      </c>
      <c r="D154" s="22">
        <v>11</v>
      </c>
      <c r="E154" s="24">
        <v>1.9675925925925926E-4</v>
      </c>
      <c r="F154" s="24">
        <v>1.5856481481481481E-3</v>
      </c>
      <c r="G154" s="24">
        <v>1.2847222222222223E-3</v>
      </c>
      <c r="H154" s="24">
        <v>0.7974</v>
      </c>
      <c r="I154" s="18">
        <f t="shared" si="11"/>
        <v>9.299E-3</v>
      </c>
      <c r="J154" s="18">
        <f t="shared" si="15"/>
        <v>7.9740000000000002E-3</v>
      </c>
      <c r="K154" s="19">
        <f t="shared" si="12"/>
        <v>11</v>
      </c>
      <c r="L154" s="18">
        <f t="shared" si="13"/>
        <v>7.0063694267515922E-2</v>
      </c>
      <c r="M154" s="18">
        <f t="shared" si="14"/>
        <v>0.92993630573248409</v>
      </c>
    </row>
    <row r="155" spans="1:13" x14ac:dyDescent="0.3">
      <c r="A155" s="22">
        <v>166</v>
      </c>
      <c r="B155" s="22">
        <v>154</v>
      </c>
      <c r="C155" s="23">
        <v>0.92769999999999997</v>
      </c>
      <c r="D155" s="22">
        <v>12</v>
      </c>
      <c r="E155" s="24">
        <v>2.8935185185185184E-4</v>
      </c>
      <c r="F155" s="24">
        <v>1.5972222222222223E-3</v>
      </c>
      <c r="G155" s="24">
        <v>2.5347222222222221E-3</v>
      </c>
      <c r="H155" s="24">
        <v>0.66259999999999997</v>
      </c>
      <c r="I155" s="18">
        <f t="shared" si="11"/>
        <v>9.2770000000000005E-3</v>
      </c>
      <c r="J155" s="18">
        <f t="shared" si="15"/>
        <v>6.6259999999999999E-3</v>
      </c>
      <c r="K155" s="19">
        <f t="shared" si="12"/>
        <v>12</v>
      </c>
      <c r="L155" s="18">
        <f t="shared" si="13"/>
        <v>7.2289156626506021E-2</v>
      </c>
      <c r="M155" s="18">
        <f t="shared" si="14"/>
        <v>0.92771084337349397</v>
      </c>
    </row>
    <row r="156" spans="1:13" x14ac:dyDescent="0.3">
      <c r="A156" s="22">
        <v>58</v>
      </c>
      <c r="B156" s="22">
        <v>55</v>
      </c>
      <c r="C156" s="23">
        <v>0.94830000000000003</v>
      </c>
      <c r="D156" s="22">
        <v>3</v>
      </c>
      <c r="E156" s="24">
        <v>1.8518518518518518E-4</v>
      </c>
      <c r="F156" s="24">
        <v>1.5162037037037036E-3</v>
      </c>
      <c r="G156" s="24">
        <v>1.9097222222222222E-3</v>
      </c>
      <c r="H156" s="24">
        <v>0.74139999999999995</v>
      </c>
      <c r="I156" s="18">
        <f t="shared" si="11"/>
        <v>9.4830000000000001E-3</v>
      </c>
      <c r="J156" s="18">
        <f t="shared" si="15"/>
        <v>7.4139999999999996E-3</v>
      </c>
      <c r="K156" s="19">
        <f t="shared" si="12"/>
        <v>3</v>
      </c>
      <c r="L156" s="18">
        <f t="shared" si="13"/>
        <v>5.1724137931034482E-2</v>
      </c>
      <c r="M156" s="18">
        <f t="shared" si="14"/>
        <v>0.94827586206896552</v>
      </c>
    </row>
    <row r="157" spans="1:13" x14ac:dyDescent="0.3">
      <c r="A157" s="22">
        <v>75</v>
      </c>
      <c r="B157" s="22">
        <v>74</v>
      </c>
      <c r="C157" s="23">
        <v>0.98670000000000002</v>
      </c>
      <c r="D157" s="22">
        <v>1</v>
      </c>
      <c r="E157" s="24">
        <v>1.7361111111111112E-4</v>
      </c>
      <c r="F157" s="24">
        <v>1.5393518518518519E-3</v>
      </c>
      <c r="G157" s="24">
        <v>2.2916666666666667E-3</v>
      </c>
      <c r="H157" s="24">
        <v>0.84</v>
      </c>
      <c r="I157" s="18">
        <f t="shared" si="11"/>
        <v>9.8670000000000008E-3</v>
      </c>
      <c r="J157" s="18">
        <f t="shared" si="15"/>
        <v>8.3999999999999995E-3</v>
      </c>
      <c r="K157" s="19">
        <f t="shared" si="12"/>
        <v>1</v>
      </c>
      <c r="L157" s="18">
        <f t="shared" si="13"/>
        <v>1.3333333333333334E-2</v>
      </c>
      <c r="M157" s="18">
        <f t="shared" si="14"/>
        <v>0.98666666666666669</v>
      </c>
    </row>
    <row r="158" spans="1:13" x14ac:dyDescent="0.3">
      <c r="A158" s="22">
        <v>28</v>
      </c>
      <c r="B158" s="22">
        <v>28</v>
      </c>
      <c r="C158" s="23">
        <v>1</v>
      </c>
      <c r="D158" s="22">
        <v>0</v>
      </c>
      <c r="E158" s="24">
        <v>8.1018518518518516E-5</v>
      </c>
      <c r="F158" s="24">
        <v>1.712962962962963E-3</v>
      </c>
      <c r="G158" s="24">
        <v>5.9027777777777778E-4</v>
      </c>
      <c r="H158" s="24">
        <v>0.96430000000000005</v>
      </c>
      <c r="I158" s="18">
        <f t="shared" si="11"/>
        <v>0.01</v>
      </c>
      <c r="J158" s="18">
        <f t="shared" si="15"/>
        <v>9.6430000000000005E-3</v>
      </c>
      <c r="K158" s="19">
        <f t="shared" si="12"/>
        <v>0</v>
      </c>
      <c r="L158" s="18">
        <f t="shared" si="13"/>
        <v>0</v>
      </c>
      <c r="M158" s="18">
        <f t="shared" si="14"/>
        <v>1</v>
      </c>
    </row>
    <row r="159" spans="1:13" x14ac:dyDescent="0.3">
      <c r="A159" s="22">
        <v>108</v>
      </c>
      <c r="B159" s="22">
        <v>107</v>
      </c>
      <c r="C159" s="23">
        <v>0.99070000000000003</v>
      </c>
      <c r="D159" s="22">
        <v>1</v>
      </c>
      <c r="E159" s="24">
        <v>1.0416666666666667E-4</v>
      </c>
      <c r="F159" s="24">
        <v>1.5162037037037036E-3</v>
      </c>
      <c r="G159" s="24">
        <v>6.8287037037037036E-4</v>
      </c>
      <c r="H159" s="24">
        <v>0.94440000000000002</v>
      </c>
      <c r="I159" s="18">
        <f t="shared" si="11"/>
        <v>9.9070000000000009E-3</v>
      </c>
      <c r="J159" s="18">
        <f t="shared" si="15"/>
        <v>9.444000000000001E-3</v>
      </c>
      <c r="K159" s="19">
        <f t="shared" si="12"/>
        <v>1</v>
      </c>
      <c r="L159" s="18">
        <f t="shared" si="13"/>
        <v>9.2592592592592587E-3</v>
      </c>
      <c r="M159" s="18">
        <f t="shared" si="14"/>
        <v>0.9907407407407407</v>
      </c>
    </row>
    <row r="160" spans="1:13" x14ac:dyDescent="0.3">
      <c r="A160" s="22">
        <v>21</v>
      </c>
      <c r="B160" s="22">
        <v>21</v>
      </c>
      <c r="C160" s="23">
        <v>1</v>
      </c>
      <c r="D160" s="22">
        <v>0</v>
      </c>
      <c r="E160" s="24">
        <v>8.1018518518518516E-5</v>
      </c>
      <c r="F160" s="24">
        <v>2.0601851851851853E-3</v>
      </c>
      <c r="G160" s="24">
        <v>6.7129629629629625E-4</v>
      </c>
      <c r="H160" s="24">
        <v>0.95240000000000002</v>
      </c>
      <c r="I160" s="18">
        <f t="shared" si="11"/>
        <v>0.01</v>
      </c>
      <c r="J160" s="18">
        <f t="shared" si="15"/>
        <v>9.5239999999999995E-3</v>
      </c>
      <c r="K160" s="19">
        <f t="shared" si="12"/>
        <v>0</v>
      </c>
      <c r="L160" s="18">
        <f t="shared" si="13"/>
        <v>0</v>
      </c>
      <c r="M160" s="18">
        <f t="shared" si="14"/>
        <v>1</v>
      </c>
    </row>
    <row r="161" spans="1:13" x14ac:dyDescent="0.3">
      <c r="A161" s="22">
        <v>189</v>
      </c>
      <c r="B161" s="22">
        <v>182</v>
      </c>
      <c r="C161" s="23">
        <v>0.96299999999999997</v>
      </c>
      <c r="D161" s="22">
        <v>7</v>
      </c>
      <c r="E161" s="24">
        <v>2.4305555555555555E-4</v>
      </c>
      <c r="F161" s="24">
        <v>1.5046296296296296E-3</v>
      </c>
      <c r="G161" s="24">
        <v>3.3101851851851851E-3</v>
      </c>
      <c r="H161" s="24">
        <v>0.76339999999999997</v>
      </c>
      <c r="I161" s="18">
        <f t="shared" si="11"/>
        <v>9.6299999999999997E-3</v>
      </c>
      <c r="J161" s="18">
        <f t="shared" si="15"/>
        <v>7.6339999999999993E-3</v>
      </c>
      <c r="K161" s="19">
        <f t="shared" si="12"/>
        <v>7</v>
      </c>
      <c r="L161" s="18">
        <f t="shared" si="13"/>
        <v>3.7037037037037035E-2</v>
      </c>
      <c r="M161" s="18">
        <f t="shared" si="14"/>
        <v>0.96296296296296291</v>
      </c>
    </row>
    <row r="162" spans="1:13" x14ac:dyDescent="0.3">
      <c r="A162" s="22">
        <v>161</v>
      </c>
      <c r="B162" s="22">
        <v>155</v>
      </c>
      <c r="C162" s="23">
        <v>0.9627</v>
      </c>
      <c r="D162" s="22">
        <v>6</v>
      </c>
      <c r="E162" s="24">
        <v>2.199074074074074E-4</v>
      </c>
      <c r="F162" s="24">
        <v>1.7013888888888888E-3</v>
      </c>
      <c r="G162" s="24">
        <v>1.2731481481481483E-3</v>
      </c>
      <c r="H162" s="24">
        <v>0.71879999999999999</v>
      </c>
      <c r="I162" s="18">
        <f t="shared" si="11"/>
        <v>9.6270000000000001E-3</v>
      </c>
      <c r="J162" s="18">
        <f t="shared" si="15"/>
        <v>7.1879999999999999E-3</v>
      </c>
      <c r="K162" s="19">
        <f t="shared" si="12"/>
        <v>6</v>
      </c>
      <c r="L162" s="18">
        <f t="shared" si="13"/>
        <v>3.7267080745341616E-2</v>
      </c>
      <c r="M162" s="18">
        <f t="shared" si="14"/>
        <v>0.96273291925465843</v>
      </c>
    </row>
    <row r="163" spans="1:13" x14ac:dyDescent="0.3">
      <c r="A163" s="22">
        <v>155</v>
      </c>
      <c r="B163" s="22">
        <v>151</v>
      </c>
      <c r="C163" s="23">
        <v>0.97419999999999995</v>
      </c>
      <c r="D163" s="22">
        <v>4</v>
      </c>
      <c r="E163" s="24">
        <v>1.9675925925925926E-4</v>
      </c>
      <c r="F163" s="24">
        <v>1.6203703703703703E-3</v>
      </c>
      <c r="G163" s="24">
        <v>1.261574074074074E-3</v>
      </c>
      <c r="H163" s="24">
        <v>0.80520000000000003</v>
      </c>
      <c r="I163" s="18">
        <f t="shared" si="11"/>
        <v>9.7419999999999989E-3</v>
      </c>
      <c r="J163" s="18">
        <f t="shared" si="15"/>
        <v>8.0520000000000001E-3</v>
      </c>
      <c r="K163" s="19">
        <f t="shared" si="12"/>
        <v>4</v>
      </c>
      <c r="L163" s="18">
        <f t="shared" si="13"/>
        <v>2.5806451612903226E-2</v>
      </c>
      <c r="M163" s="18">
        <f t="shared" si="14"/>
        <v>0.97419354838709682</v>
      </c>
    </row>
    <row r="164" spans="1:13" x14ac:dyDescent="0.3">
      <c r="A164" s="22">
        <v>161</v>
      </c>
      <c r="B164" s="22">
        <v>150</v>
      </c>
      <c r="C164" s="23">
        <v>0.93169999999999997</v>
      </c>
      <c r="D164" s="22">
        <v>11</v>
      </c>
      <c r="E164" s="24">
        <v>1.9675925925925926E-4</v>
      </c>
      <c r="F164" s="24">
        <v>1.6435185185185185E-3</v>
      </c>
      <c r="G164" s="24">
        <v>1.9097222222222222E-3</v>
      </c>
      <c r="H164" s="24">
        <v>0.75319999999999998</v>
      </c>
      <c r="I164" s="18">
        <f t="shared" si="11"/>
        <v>9.3169999999999989E-3</v>
      </c>
      <c r="J164" s="18">
        <f t="shared" si="15"/>
        <v>7.5319999999999996E-3</v>
      </c>
      <c r="K164" s="19">
        <f t="shared" si="12"/>
        <v>11</v>
      </c>
      <c r="L164" s="18">
        <f t="shared" si="13"/>
        <v>6.8322981366459631E-2</v>
      </c>
      <c r="M164" s="18">
        <f t="shared" si="14"/>
        <v>0.93167701863354035</v>
      </c>
    </row>
    <row r="165" spans="1:13" x14ac:dyDescent="0.3">
      <c r="A165" s="22">
        <v>132</v>
      </c>
      <c r="B165" s="22">
        <v>129</v>
      </c>
      <c r="C165" s="23">
        <v>0.97729999999999995</v>
      </c>
      <c r="D165" s="22">
        <v>3</v>
      </c>
      <c r="E165" s="24">
        <v>3.1250000000000001E-4</v>
      </c>
      <c r="F165" s="24">
        <v>1.6435185185185185E-3</v>
      </c>
      <c r="G165" s="24">
        <v>1.7824074074074075E-3</v>
      </c>
      <c r="H165" s="24">
        <v>0.65149999999999997</v>
      </c>
      <c r="I165" s="18">
        <f t="shared" si="11"/>
        <v>9.7729999999999987E-3</v>
      </c>
      <c r="J165" s="18">
        <f t="shared" si="15"/>
        <v>6.515E-3</v>
      </c>
      <c r="K165" s="19">
        <f t="shared" si="12"/>
        <v>3</v>
      </c>
      <c r="L165" s="18">
        <f t="shared" si="13"/>
        <v>2.2727272727272728E-2</v>
      </c>
      <c r="M165" s="18">
        <f t="shared" si="14"/>
        <v>0.97727272727272729</v>
      </c>
    </row>
    <row r="166" spans="1:13" x14ac:dyDescent="0.3">
      <c r="A166" s="22">
        <v>122</v>
      </c>
      <c r="B166" s="22">
        <v>119</v>
      </c>
      <c r="C166" s="23">
        <v>0.97540000000000004</v>
      </c>
      <c r="D166" s="22">
        <v>3</v>
      </c>
      <c r="E166" s="24">
        <v>1.8518518518518518E-4</v>
      </c>
      <c r="F166" s="24">
        <v>1.6666666666666668E-3</v>
      </c>
      <c r="G166" s="24">
        <v>1.2731481481481483E-3</v>
      </c>
      <c r="H166" s="24">
        <v>0.8</v>
      </c>
      <c r="I166" s="18">
        <f t="shared" si="11"/>
        <v>9.7540000000000005E-3</v>
      </c>
      <c r="J166" s="18">
        <f t="shared" si="15"/>
        <v>8.0000000000000002E-3</v>
      </c>
      <c r="K166" s="19">
        <f t="shared" si="12"/>
        <v>3</v>
      </c>
      <c r="L166" s="18">
        <f t="shared" si="13"/>
        <v>2.4590163934426229E-2</v>
      </c>
      <c r="M166" s="18">
        <f t="shared" si="14"/>
        <v>0.97540983606557374</v>
      </c>
    </row>
    <row r="167" spans="1:13" x14ac:dyDescent="0.3">
      <c r="A167" s="22">
        <v>17</v>
      </c>
      <c r="B167" s="22">
        <v>17</v>
      </c>
      <c r="C167" s="23">
        <v>1</v>
      </c>
      <c r="D167" s="22">
        <v>0</v>
      </c>
      <c r="E167" s="24">
        <v>2.4305555555555555E-4</v>
      </c>
      <c r="F167" s="24">
        <v>1.8518518518518519E-3</v>
      </c>
      <c r="G167" s="24">
        <v>6.7129629629629625E-4</v>
      </c>
      <c r="H167" s="24">
        <v>0.76470000000000005</v>
      </c>
      <c r="I167" s="18">
        <f t="shared" si="11"/>
        <v>0.01</v>
      </c>
      <c r="J167" s="18">
        <f t="shared" si="15"/>
        <v>7.6470000000000002E-3</v>
      </c>
      <c r="K167" s="19">
        <f t="shared" si="12"/>
        <v>0</v>
      </c>
      <c r="L167" s="18">
        <f t="shared" si="13"/>
        <v>0</v>
      </c>
      <c r="M167" s="18">
        <f t="shared" si="14"/>
        <v>1</v>
      </c>
    </row>
    <row r="168" spans="1:13" x14ac:dyDescent="0.3">
      <c r="A168" s="22">
        <v>45</v>
      </c>
      <c r="B168" s="22">
        <v>45</v>
      </c>
      <c r="C168" s="23">
        <v>1</v>
      </c>
      <c r="D168" s="22">
        <v>0</v>
      </c>
      <c r="E168" s="24">
        <v>6.9444444444444444E-5</v>
      </c>
      <c r="F168" s="24">
        <v>1.4583333333333334E-3</v>
      </c>
      <c r="G168" s="24">
        <v>6.5972222222222224E-4</v>
      </c>
      <c r="H168" s="24">
        <v>0.9556</v>
      </c>
      <c r="I168" s="18">
        <f t="shared" si="11"/>
        <v>0.01</v>
      </c>
      <c r="J168" s="18">
        <f t="shared" si="15"/>
        <v>9.5560000000000003E-3</v>
      </c>
      <c r="K168" s="19">
        <f t="shared" si="12"/>
        <v>0</v>
      </c>
      <c r="L168" s="18">
        <f t="shared" si="13"/>
        <v>0</v>
      </c>
      <c r="M168" s="18">
        <f t="shared" si="14"/>
        <v>1</v>
      </c>
    </row>
    <row r="169" spans="1:13" x14ac:dyDescent="0.3">
      <c r="A169" s="22">
        <v>177</v>
      </c>
      <c r="B169" s="22">
        <v>172</v>
      </c>
      <c r="C169" s="23">
        <v>0.9718</v>
      </c>
      <c r="D169" s="22">
        <v>5</v>
      </c>
      <c r="E169" s="24">
        <v>2.3148148148148149E-4</v>
      </c>
      <c r="F169" s="24">
        <v>1.6550925925925926E-3</v>
      </c>
      <c r="G169" s="24">
        <v>1.9791666666666668E-3</v>
      </c>
      <c r="H169" s="24">
        <v>0.76</v>
      </c>
      <c r="I169" s="18">
        <f t="shared" si="11"/>
        <v>9.7179999999999992E-3</v>
      </c>
      <c r="J169" s="18">
        <f t="shared" si="15"/>
        <v>7.6E-3</v>
      </c>
      <c r="K169" s="19">
        <f t="shared" si="12"/>
        <v>5</v>
      </c>
      <c r="L169" s="18">
        <f t="shared" si="13"/>
        <v>2.8248587570621469E-2</v>
      </c>
      <c r="M169" s="18">
        <f t="shared" si="14"/>
        <v>0.97175141242937857</v>
      </c>
    </row>
    <row r="170" spans="1:13" x14ac:dyDescent="0.3">
      <c r="A170" s="22">
        <v>133</v>
      </c>
      <c r="B170" s="22">
        <v>132</v>
      </c>
      <c r="C170" s="23">
        <v>0.99250000000000005</v>
      </c>
      <c r="D170" s="22">
        <v>1</v>
      </c>
      <c r="E170" s="24">
        <v>1.1574074074074075E-4</v>
      </c>
      <c r="F170" s="24">
        <v>1.6782407407407408E-3</v>
      </c>
      <c r="G170" s="24">
        <v>6.8287037037037036E-4</v>
      </c>
      <c r="H170" s="24">
        <v>0.93230000000000002</v>
      </c>
      <c r="I170" s="18">
        <f t="shared" si="11"/>
        <v>9.9249999999999998E-3</v>
      </c>
      <c r="J170" s="18">
        <f t="shared" si="15"/>
        <v>9.3229999999999997E-3</v>
      </c>
      <c r="K170" s="19">
        <f t="shared" si="12"/>
        <v>1</v>
      </c>
      <c r="L170" s="18">
        <f t="shared" si="13"/>
        <v>7.5187969924812026E-3</v>
      </c>
      <c r="M170" s="18">
        <f t="shared" si="14"/>
        <v>0.99248120300751874</v>
      </c>
    </row>
    <row r="171" spans="1:13" x14ac:dyDescent="0.3">
      <c r="A171" s="22">
        <v>177</v>
      </c>
      <c r="B171" s="22">
        <v>167</v>
      </c>
      <c r="C171" s="23">
        <v>0.94350000000000001</v>
      </c>
      <c r="D171" s="22">
        <v>10</v>
      </c>
      <c r="E171" s="24">
        <v>1.7361111111111112E-4</v>
      </c>
      <c r="F171" s="24">
        <v>1.6435185185185185E-3</v>
      </c>
      <c r="G171" s="24">
        <v>3.1828703703703702E-3</v>
      </c>
      <c r="H171" s="24">
        <v>0.83240000000000003</v>
      </c>
      <c r="I171" s="18">
        <f t="shared" si="11"/>
        <v>9.4350000000000007E-3</v>
      </c>
      <c r="J171" s="18">
        <f t="shared" si="15"/>
        <v>8.3239999999999998E-3</v>
      </c>
      <c r="K171" s="19">
        <f t="shared" si="12"/>
        <v>10</v>
      </c>
      <c r="L171" s="18">
        <f t="shared" si="13"/>
        <v>5.6497175141242938E-2</v>
      </c>
      <c r="M171" s="18">
        <f t="shared" si="14"/>
        <v>0.94350282485875703</v>
      </c>
    </row>
    <row r="172" spans="1:13" x14ac:dyDescent="0.3">
      <c r="A172" s="22">
        <v>127</v>
      </c>
      <c r="B172" s="22">
        <v>124</v>
      </c>
      <c r="C172" s="23">
        <v>0.97640000000000005</v>
      </c>
      <c r="D172" s="22">
        <v>3</v>
      </c>
      <c r="E172" s="24">
        <v>1.8518518518518518E-4</v>
      </c>
      <c r="F172" s="24">
        <v>1.6435185185185185E-3</v>
      </c>
      <c r="G172" s="24">
        <v>1.2152777777777778E-3</v>
      </c>
      <c r="H172" s="24">
        <v>0.81889999999999996</v>
      </c>
      <c r="I172" s="18">
        <f t="shared" si="11"/>
        <v>9.7640000000000001E-3</v>
      </c>
      <c r="J172" s="18">
        <f t="shared" si="15"/>
        <v>8.1890000000000001E-3</v>
      </c>
      <c r="K172" s="19">
        <f t="shared" si="12"/>
        <v>3</v>
      </c>
      <c r="L172" s="18">
        <f t="shared" si="13"/>
        <v>2.3622047244094488E-2</v>
      </c>
      <c r="M172" s="18">
        <f t="shared" si="14"/>
        <v>0.97637795275590555</v>
      </c>
    </row>
    <row r="173" spans="1:13" x14ac:dyDescent="0.3">
      <c r="A173" s="22">
        <v>148</v>
      </c>
      <c r="B173" s="22">
        <v>147</v>
      </c>
      <c r="C173" s="23">
        <v>0.99319999999999997</v>
      </c>
      <c r="D173" s="22">
        <v>1</v>
      </c>
      <c r="E173" s="24">
        <v>1.8518518518518518E-4</v>
      </c>
      <c r="F173" s="24">
        <v>1.5162037037037036E-3</v>
      </c>
      <c r="G173" s="24">
        <v>2.2106481481481482E-3</v>
      </c>
      <c r="H173" s="24">
        <v>0.83109999999999995</v>
      </c>
      <c r="I173" s="18">
        <f t="shared" si="11"/>
        <v>9.9319999999999999E-3</v>
      </c>
      <c r="J173" s="18">
        <f t="shared" si="15"/>
        <v>8.3109999999999989E-3</v>
      </c>
      <c r="K173" s="19">
        <f t="shared" si="12"/>
        <v>1</v>
      </c>
      <c r="L173" s="18">
        <f t="shared" si="13"/>
        <v>6.7567567567567571E-3</v>
      </c>
      <c r="M173" s="18">
        <f t="shared" si="14"/>
        <v>0.9932432432432432</v>
      </c>
    </row>
    <row r="174" spans="1:13" x14ac:dyDescent="0.3">
      <c r="A174" s="22">
        <v>23</v>
      </c>
      <c r="B174" s="22">
        <v>23</v>
      </c>
      <c r="C174" s="23">
        <v>1</v>
      </c>
      <c r="D174" s="22">
        <v>0</v>
      </c>
      <c r="E174" s="24">
        <v>3.7037037037037035E-4</v>
      </c>
      <c r="F174" s="24">
        <v>1.4120370370370369E-3</v>
      </c>
      <c r="G174" s="24">
        <v>1.8865740740740742E-3</v>
      </c>
      <c r="H174" s="24">
        <v>0.6522</v>
      </c>
      <c r="I174" s="18">
        <f t="shared" si="11"/>
        <v>0.01</v>
      </c>
      <c r="J174" s="18">
        <f t="shared" si="15"/>
        <v>6.522E-3</v>
      </c>
      <c r="K174" s="19">
        <f t="shared" si="12"/>
        <v>0</v>
      </c>
      <c r="L174" s="18">
        <f t="shared" si="13"/>
        <v>0</v>
      </c>
      <c r="M174" s="18">
        <f t="shared" si="14"/>
        <v>1</v>
      </c>
    </row>
    <row r="175" spans="1:13" x14ac:dyDescent="0.3">
      <c r="A175" s="22">
        <v>141</v>
      </c>
      <c r="B175" s="22">
        <v>134</v>
      </c>
      <c r="C175" s="23">
        <v>0.95040000000000002</v>
      </c>
      <c r="D175" s="22">
        <v>7</v>
      </c>
      <c r="E175" s="24">
        <v>2.7777777777777778E-4</v>
      </c>
      <c r="F175" s="24">
        <v>1.8287037037037037E-3</v>
      </c>
      <c r="G175" s="24">
        <v>1.724537037037037E-3</v>
      </c>
      <c r="H175" s="24">
        <v>0.72140000000000004</v>
      </c>
      <c r="I175" s="18">
        <f t="shared" si="11"/>
        <v>9.5040000000000003E-3</v>
      </c>
      <c r="J175" s="18">
        <f t="shared" si="15"/>
        <v>7.2140000000000008E-3</v>
      </c>
      <c r="K175" s="19">
        <f t="shared" si="12"/>
        <v>7</v>
      </c>
      <c r="L175" s="18">
        <f t="shared" si="13"/>
        <v>4.9645390070921988E-2</v>
      </c>
      <c r="M175" s="18">
        <f t="shared" si="14"/>
        <v>0.95035460992907805</v>
      </c>
    </row>
    <row r="176" spans="1:13" x14ac:dyDescent="0.3">
      <c r="A176" s="22">
        <v>124</v>
      </c>
      <c r="B176" s="22">
        <v>120</v>
      </c>
      <c r="C176" s="23">
        <v>0.9677</v>
      </c>
      <c r="D176" s="22">
        <v>4</v>
      </c>
      <c r="E176" s="24">
        <v>2.3148148148148149E-4</v>
      </c>
      <c r="F176" s="24">
        <v>1.7708333333333332E-3</v>
      </c>
      <c r="G176" s="24">
        <v>2.0601851851851853E-3</v>
      </c>
      <c r="H176" s="24">
        <v>0.8226</v>
      </c>
      <c r="I176" s="18">
        <f t="shared" si="11"/>
        <v>9.6769999999999998E-3</v>
      </c>
      <c r="J176" s="18">
        <f t="shared" si="15"/>
        <v>8.2260000000000007E-3</v>
      </c>
      <c r="K176" s="19">
        <f t="shared" si="12"/>
        <v>4</v>
      </c>
      <c r="L176" s="18">
        <f t="shared" si="13"/>
        <v>3.2258064516129031E-2</v>
      </c>
      <c r="M176" s="18">
        <f t="shared" si="14"/>
        <v>0.967741935483871</v>
      </c>
    </row>
    <row r="177" spans="1:13" x14ac:dyDescent="0.3">
      <c r="A177" s="22">
        <v>165</v>
      </c>
      <c r="B177" s="22">
        <v>156</v>
      </c>
      <c r="C177" s="23">
        <v>0.94550000000000001</v>
      </c>
      <c r="D177" s="22">
        <v>9</v>
      </c>
      <c r="E177" s="24">
        <v>2.8935185185185184E-4</v>
      </c>
      <c r="F177" s="24">
        <v>1.6319444444444445E-3</v>
      </c>
      <c r="G177" s="24">
        <v>1.8287037037037037E-3</v>
      </c>
      <c r="H177" s="24">
        <v>0.70550000000000002</v>
      </c>
      <c r="I177" s="18">
        <f t="shared" si="11"/>
        <v>9.4549999999999999E-3</v>
      </c>
      <c r="J177" s="18">
        <f t="shared" si="15"/>
        <v>7.0550000000000005E-3</v>
      </c>
      <c r="K177" s="19">
        <f t="shared" si="12"/>
        <v>9</v>
      </c>
      <c r="L177" s="18">
        <f t="shared" si="13"/>
        <v>5.4545454545454543E-2</v>
      </c>
      <c r="M177" s="18">
        <f t="shared" si="14"/>
        <v>0.94545454545454544</v>
      </c>
    </row>
    <row r="178" spans="1:13" x14ac:dyDescent="0.3">
      <c r="A178" s="22">
        <v>168</v>
      </c>
      <c r="B178" s="22">
        <v>166</v>
      </c>
      <c r="C178" s="23">
        <v>0.98809999999999998</v>
      </c>
      <c r="D178" s="22">
        <v>2</v>
      </c>
      <c r="E178" s="24">
        <v>2.4305555555555555E-4</v>
      </c>
      <c r="F178" s="24">
        <v>1.7708333333333332E-3</v>
      </c>
      <c r="G178" s="24">
        <v>2.5810185185185185E-3</v>
      </c>
      <c r="H178" s="24">
        <v>0.80120000000000002</v>
      </c>
      <c r="I178" s="18">
        <f t="shared" si="11"/>
        <v>9.8809999999999992E-3</v>
      </c>
      <c r="J178" s="18">
        <f t="shared" si="15"/>
        <v>8.012E-3</v>
      </c>
      <c r="K178" s="19">
        <f t="shared" si="12"/>
        <v>2</v>
      </c>
      <c r="L178" s="18">
        <f t="shared" si="13"/>
        <v>1.1904761904761904E-2</v>
      </c>
      <c r="M178" s="18">
        <f t="shared" si="14"/>
        <v>0.98809523809523814</v>
      </c>
    </row>
    <row r="179" spans="1:13" x14ac:dyDescent="0.3">
      <c r="A179" s="22">
        <v>198</v>
      </c>
      <c r="B179" s="22">
        <v>188</v>
      </c>
      <c r="C179" s="23">
        <v>0.94950000000000001</v>
      </c>
      <c r="D179" s="22">
        <v>10</v>
      </c>
      <c r="E179" s="24">
        <v>2.5462962962962961E-4</v>
      </c>
      <c r="F179" s="24">
        <v>1.7592592592592592E-3</v>
      </c>
      <c r="G179" s="24">
        <v>1.9097222222222222E-3</v>
      </c>
      <c r="H179" s="24">
        <v>0.70920000000000005</v>
      </c>
      <c r="I179" s="18">
        <f t="shared" si="11"/>
        <v>9.495E-3</v>
      </c>
      <c r="J179" s="18">
        <f t="shared" si="15"/>
        <v>7.0920000000000002E-3</v>
      </c>
      <c r="K179" s="19">
        <f t="shared" si="12"/>
        <v>10</v>
      </c>
      <c r="L179" s="18">
        <f t="shared" si="13"/>
        <v>5.0505050505050504E-2</v>
      </c>
      <c r="M179" s="18">
        <f t="shared" si="14"/>
        <v>0.9494949494949495</v>
      </c>
    </row>
    <row r="180" spans="1:13" x14ac:dyDescent="0.3">
      <c r="A180" s="22">
        <v>139</v>
      </c>
      <c r="B180" s="22">
        <v>133</v>
      </c>
      <c r="C180" s="23">
        <v>0.95679999999999998</v>
      </c>
      <c r="D180" s="22">
        <v>6</v>
      </c>
      <c r="E180" s="24">
        <v>1.9675925925925926E-4</v>
      </c>
      <c r="F180" s="24">
        <v>1.8518518518518519E-3</v>
      </c>
      <c r="G180" s="24">
        <v>2.1180555555555558E-3</v>
      </c>
      <c r="H180" s="24">
        <v>0.80149999999999999</v>
      </c>
      <c r="I180" s="18">
        <f t="shared" si="11"/>
        <v>9.5680000000000001E-3</v>
      </c>
      <c r="J180" s="18">
        <f t="shared" si="15"/>
        <v>8.0149999999999996E-3</v>
      </c>
      <c r="K180" s="19">
        <f t="shared" si="12"/>
        <v>6</v>
      </c>
      <c r="L180" s="18">
        <f t="shared" si="13"/>
        <v>4.3165467625899283E-2</v>
      </c>
      <c r="M180" s="18">
        <f t="shared" si="14"/>
        <v>0.95683453237410077</v>
      </c>
    </row>
    <row r="181" spans="1:13" x14ac:dyDescent="0.3">
      <c r="A181" s="22">
        <v>46</v>
      </c>
      <c r="B181" s="22">
        <v>45</v>
      </c>
      <c r="C181" s="23">
        <v>0.97829999999999995</v>
      </c>
      <c r="D181" s="22">
        <v>1</v>
      </c>
      <c r="E181" s="24">
        <v>1.1574074074074075E-4</v>
      </c>
      <c r="F181" s="24">
        <v>1.5509259259259259E-3</v>
      </c>
      <c r="G181" s="24">
        <v>8.7962962962962962E-4</v>
      </c>
      <c r="H181" s="24">
        <v>0.88890000000000002</v>
      </c>
      <c r="I181" s="18">
        <f t="shared" si="11"/>
        <v>9.783E-3</v>
      </c>
      <c r="J181" s="18">
        <f t="shared" si="15"/>
        <v>8.8890000000000011E-3</v>
      </c>
      <c r="K181" s="19">
        <f t="shared" si="12"/>
        <v>1</v>
      </c>
      <c r="L181" s="18">
        <f t="shared" si="13"/>
        <v>2.1739130434782608E-2</v>
      </c>
      <c r="M181" s="18">
        <f t="shared" si="14"/>
        <v>0.97826086956521741</v>
      </c>
    </row>
    <row r="182" spans="1:13" x14ac:dyDescent="0.3">
      <c r="A182" s="22">
        <v>184</v>
      </c>
      <c r="B182" s="22">
        <v>174</v>
      </c>
      <c r="C182" s="23">
        <v>0.94569999999999999</v>
      </c>
      <c r="D182" s="22">
        <v>10</v>
      </c>
      <c r="E182" s="24">
        <v>2.6620370370370372E-4</v>
      </c>
      <c r="F182" s="24">
        <v>1.8171296296296297E-3</v>
      </c>
      <c r="G182" s="24">
        <v>3.1828703703703702E-3</v>
      </c>
      <c r="H182" s="24">
        <v>0.76539999999999997</v>
      </c>
      <c r="I182" s="18">
        <f t="shared" si="11"/>
        <v>9.4570000000000001E-3</v>
      </c>
      <c r="J182" s="18">
        <f t="shared" si="15"/>
        <v>7.6539999999999993E-3</v>
      </c>
      <c r="K182" s="19">
        <f t="shared" si="12"/>
        <v>10</v>
      </c>
      <c r="L182" s="18">
        <f t="shared" si="13"/>
        <v>5.434782608695652E-2</v>
      </c>
      <c r="M182" s="18">
        <f t="shared" si="14"/>
        <v>0.94565217391304346</v>
      </c>
    </row>
    <row r="183" spans="1:13" x14ac:dyDescent="0.3">
      <c r="A183" s="22">
        <v>207</v>
      </c>
      <c r="B183" s="22">
        <v>190</v>
      </c>
      <c r="C183" s="23">
        <v>0.91790000000000005</v>
      </c>
      <c r="D183" s="22">
        <v>17</v>
      </c>
      <c r="E183" s="24">
        <v>2.4305555555555555E-4</v>
      </c>
      <c r="F183" s="24">
        <v>1.6550925925925926E-3</v>
      </c>
      <c r="G183" s="24">
        <v>2.8472222222222223E-3</v>
      </c>
      <c r="H183" s="24">
        <v>0.71360000000000001</v>
      </c>
      <c r="I183" s="18">
        <f t="shared" si="11"/>
        <v>9.1789999999999997E-3</v>
      </c>
      <c r="J183" s="18">
        <f t="shared" si="15"/>
        <v>7.136E-3</v>
      </c>
      <c r="K183" s="19">
        <f t="shared" si="12"/>
        <v>17</v>
      </c>
      <c r="L183" s="18">
        <f t="shared" si="13"/>
        <v>8.2125603864734303E-2</v>
      </c>
      <c r="M183" s="18">
        <f t="shared" si="14"/>
        <v>0.91787439613526567</v>
      </c>
    </row>
    <row r="184" spans="1:13" x14ac:dyDescent="0.3">
      <c r="A184" s="22">
        <v>191</v>
      </c>
      <c r="B184" s="22">
        <v>180</v>
      </c>
      <c r="C184" s="23">
        <v>0.94240000000000002</v>
      </c>
      <c r="D184" s="22">
        <v>11</v>
      </c>
      <c r="E184" s="24">
        <v>2.4305555555555555E-4</v>
      </c>
      <c r="F184" s="24">
        <v>1.7592592592592592E-3</v>
      </c>
      <c r="G184" s="24">
        <v>1.3078703703703703E-3</v>
      </c>
      <c r="H184" s="24">
        <v>0.76500000000000001</v>
      </c>
      <c r="I184" s="18">
        <f t="shared" si="11"/>
        <v>9.4240000000000001E-3</v>
      </c>
      <c r="J184" s="18">
        <f t="shared" si="15"/>
        <v>7.6500000000000005E-3</v>
      </c>
      <c r="K184" s="19">
        <f t="shared" si="12"/>
        <v>11</v>
      </c>
      <c r="L184" s="18">
        <f t="shared" si="13"/>
        <v>5.7591623036649213E-2</v>
      </c>
      <c r="M184" s="18">
        <f t="shared" si="14"/>
        <v>0.94240837696335078</v>
      </c>
    </row>
    <row r="185" spans="1:13" x14ac:dyDescent="0.3">
      <c r="A185" s="22">
        <v>213</v>
      </c>
      <c r="B185" s="22">
        <v>204</v>
      </c>
      <c r="C185" s="23">
        <v>0.9577</v>
      </c>
      <c r="D185" s="22">
        <v>9</v>
      </c>
      <c r="E185" s="24">
        <v>2.7777777777777778E-4</v>
      </c>
      <c r="F185" s="24">
        <v>1.6898148148148148E-3</v>
      </c>
      <c r="G185" s="24">
        <v>1.9212962962962964E-3</v>
      </c>
      <c r="H185" s="24">
        <v>0.69669999999999999</v>
      </c>
      <c r="I185" s="18">
        <f t="shared" si="11"/>
        <v>9.5770000000000004E-3</v>
      </c>
      <c r="J185" s="18">
        <f t="shared" si="15"/>
        <v>6.9670000000000001E-3</v>
      </c>
      <c r="K185" s="19">
        <f t="shared" si="12"/>
        <v>9</v>
      </c>
      <c r="L185" s="18">
        <f t="shared" si="13"/>
        <v>4.2253521126760563E-2</v>
      </c>
      <c r="M185" s="18">
        <f t="shared" si="14"/>
        <v>0.95774647887323938</v>
      </c>
    </row>
    <row r="186" spans="1:13" x14ac:dyDescent="0.3">
      <c r="A186" s="22">
        <v>483</v>
      </c>
      <c r="B186" s="22">
        <v>451</v>
      </c>
      <c r="C186" s="23">
        <v>0.93369999999999997</v>
      </c>
      <c r="D186" s="22">
        <v>32</v>
      </c>
      <c r="E186" s="24">
        <v>1.8518518518518518E-4</v>
      </c>
      <c r="F186" s="24">
        <v>6.5972222222222224E-4</v>
      </c>
      <c r="G186" s="24">
        <v>6.076388888888889E-3</v>
      </c>
      <c r="H186" s="24">
        <v>0.79200000000000004</v>
      </c>
      <c r="I186" s="18">
        <f t="shared" si="11"/>
        <v>9.3369999999999998E-3</v>
      </c>
      <c r="J186" s="18">
        <f t="shared" si="15"/>
        <v>7.92E-3</v>
      </c>
      <c r="K186" s="19">
        <f t="shared" si="12"/>
        <v>32</v>
      </c>
      <c r="L186" s="18">
        <f t="shared" si="13"/>
        <v>6.6252587991718431E-2</v>
      </c>
      <c r="M186" s="18">
        <f t="shared" si="14"/>
        <v>0.9337474120082816</v>
      </c>
    </row>
    <row r="187" spans="1:13" x14ac:dyDescent="0.3">
      <c r="A187" s="22">
        <v>547</v>
      </c>
      <c r="B187" s="22">
        <v>526</v>
      </c>
      <c r="C187" s="23">
        <v>0.96160000000000001</v>
      </c>
      <c r="D187" s="22">
        <v>21</v>
      </c>
      <c r="E187" s="24">
        <v>2.199074074074074E-4</v>
      </c>
      <c r="F187" s="24">
        <v>9.3749999999999997E-4</v>
      </c>
      <c r="G187" s="24">
        <v>2.7083333333333334E-3</v>
      </c>
      <c r="H187" s="24">
        <v>0.81579999999999997</v>
      </c>
      <c r="I187" s="18">
        <f t="shared" si="11"/>
        <v>9.6159999999999995E-3</v>
      </c>
      <c r="J187" s="18">
        <f t="shared" si="15"/>
        <v>8.1580000000000003E-3</v>
      </c>
      <c r="K187" s="19">
        <f t="shared" si="12"/>
        <v>21</v>
      </c>
      <c r="L187" s="18">
        <f t="shared" si="13"/>
        <v>3.8391224862888484E-2</v>
      </c>
      <c r="M187" s="18">
        <f t="shared" si="14"/>
        <v>0.96160877513711152</v>
      </c>
    </row>
    <row r="188" spans="1:13" x14ac:dyDescent="0.3">
      <c r="A188" s="22">
        <v>54</v>
      </c>
      <c r="B188" s="22">
        <v>53</v>
      </c>
      <c r="C188" s="23">
        <v>0.98150000000000004</v>
      </c>
      <c r="D188" s="22">
        <v>1</v>
      </c>
      <c r="E188" s="24">
        <v>2.8935185185185184E-4</v>
      </c>
      <c r="F188" s="24">
        <v>1.8055555555555555E-3</v>
      </c>
      <c r="G188" s="24">
        <v>9.0277777777777774E-4</v>
      </c>
      <c r="H188" s="24">
        <v>0.70369999999999999</v>
      </c>
      <c r="I188" s="18">
        <f t="shared" si="11"/>
        <v>9.8150000000000008E-3</v>
      </c>
      <c r="J188" s="18">
        <f t="shared" si="15"/>
        <v>7.0369999999999999E-3</v>
      </c>
      <c r="K188" s="19">
        <f t="shared" si="12"/>
        <v>1</v>
      </c>
      <c r="L188" s="18">
        <f t="shared" si="13"/>
        <v>1.8518518518518517E-2</v>
      </c>
      <c r="M188" s="18">
        <f t="shared" si="14"/>
        <v>0.98148148148148151</v>
      </c>
    </row>
    <row r="189" spans="1:13" x14ac:dyDescent="0.3">
      <c r="A189" s="22">
        <v>275</v>
      </c>
      <c r="B189" s="22">
        <v>261</v>
      </c>
      <c r="C189" s="23">
        <v>0.94910000000000005</v>
      </c>
      <c r="D189" s="22">
        <v>14</v>
      </c>
      <c r="E189" s="24">
        <v>2.5462962962962961E-4</v>
      </c>
      <c r="F189" s="24">
        <v>1.5393518518518519E-3</v>
      </c>
      <c r="G189" s="24">
        <v>1.5277777777777779E-3</v>
      </c>
      <c r="H189" s="24">
        <v>0.74439999999999995</v>
      </c>
      <c r="I189" s="18">
        <f t="shared" si="11"/>
        <v>9.4910000000000012E-3</v>
      </c>
      <c r="J189" s="18">
        <f t="shared" si="15"/>
        <v>7.4439999999999992E-3</v>
      </c>
      <c r="K189" s="19">
        <f t="shared" si="12"/>
        <v>14</v>
      </c>
      <c r="L189" s="18">
        <f t="shared" si="13"/>
        <v>5.0909090909090911E-2</v>
      </c>
      <c r="M189" s="18">
        <f t="shared" si="14"/>
        <v>0.9490909090909091</v>
      </c>
    </row>
    <row r="190" spans="1:13" x14ac:dyDescent="0.3">
      <c r="A190" s="22">
        <v>205</v>
      </c>
      <c r="B190" s="22">
        <v>195</v>
      </c>
      <c r="C190" s="23">
        <v>0.95120000000000005</v>
      </c>
      <c r="D190" s="22">
        <v>10</v>
      </c>
      <c r="E190" s="24">
        <v>2.7777777777777778E-4</v>
      </c>
      <c r="F190" s="24">
        <v>1.7824074074074075E-3</v>
      </c>
      <c r="G190" s="24">
        <v>2.0833333333333333E-3</v>
      </c>
      <c r="H190" s="24">
        <v>0.70789999999999997</v>
      </c>
      <c r="I190" s="18">
        <f t="shared" si="11"/>
        <v>9.5119999999999996E-3</v>
      </c>
      <c r="J190" s="18">
        <f t="shared" si="15"/>
        <v>7.0789999999999994E-3</v>
      </c>
      <c r="K190" s="19">
        <f t="shared" si="12"/>
        <v>10</v>
      </c>
      <c r="L190" s="18">
        <f t="shared" si="13"/>
        <v>4.878048780487805E-2</v>
      </c>
      <c r="M190" s="18">
        <f t="shared" si="14"/>
        <v>0.95121951219512191</v>
      </c>
    </row>
    <row r="191" spans="1:13" x14ac:dyDescent="0.3">
      <c r="A191" s="22">
        <v>80</v>
      </c>
      <c r="B191" s="22">
        <v>77</v>
      </c>
      <c r="C191" s="23">
        <v>0.96250000000000002</v>
      </c>
      <c r="D191" s="22">
        <v>3</v>
      </c>
      <c r="E191" s="24">
        <v>1.1574074074074075E-4</v>
      </c>
      <c r="F191" s="24">
        <v>1.5162037037037036E-3</v>
      </c>
      <c r="G191" s="24">
        <v>1.0763888888888889E-3</v>
      </c>
      <c r="H191" s="24">
        <v>0.89610000000000001</v>
      </c>
      <c r="I191" s="18">
        <f t="shared" si="11"/>
        <v>9.6249999999999999E-3</v>
      </c>
      <c r="J191" s="18">
        <f t="shared" si="15"/>
        <v>8.9610000000000002E-3</v>
      </c>
      <c r="K191" s="19">
        <f t="shared" si="12"/>
        <v>3</v>
      </c>
      <c r="L191" s="18">
        <f t="shared" si="13"/>
        <v>3.7499999999999999E-2</v>
      </c>
      <c r="M191" s="18">
        <f t="shared" si="14"/>
        <v>0.96250000000000002</v>
      </c>
    </row>
    <row r="192" spans="1:13" x14ac:dyDescent="0.3">
      <c r="A192" s="22">
        <v>200</v>
      </c>
      <c r="B192" s="22">
        <v>195</v>
      </c>
      <c r="C192" s="23">
        <v>0.97499999999999998</v>
      </c>
      <c r="D192" s="22">
        <v>5</v>
      </c>
      <c r="E192" s="24">
        <v>2.4305555555555555E-4</v>
      </c>
      <c r="F192" s="24">
        <v>1.736111111111111E-3</v>
      </c>
      <c r="G192" s="24">
        <v>1.9444444444444444E-3</v>
      </c>
      <c r="H192" s="24">
        <v>0.75249999999999995</v>
      </c>
      <c r="I192" s="18">
        <f t="shared" si="11"/>
        <v>9.75E-3</v>
      </c>
      <c r="J192" s="18">
        <f t="shared" si="15"/>
        <v>7.5249999999999996E-3</v>
      </c>
      <c r="K192" s="19">
        <f t="shared" si="12"/>
        <v>5</v>
      </c>
      <c r="L192" s="18">
        <f t="shared" si="13"/>
        <v>2.5000000000000001E-2</v>
      </c>
      <c r="M192" s="18">
        <f t="shared" si="14"/>
        <v>0.97499999999999998</v>
      </c>
    </row>
    <row r="193" spans="1:13" x14ac:dyDescent="0.3">
      <c r="A193" s="22">
        <v>154</v>
      </c>
      <c r="B193" s="22">
        <v>150</v>
      </c>
      <c r="C193" s="23">
        <v>0.97399999999999998</v>
      </c>
      <c r="D193" s="22">
        <v>4</v>
      </c>
      <c r="E193" s="24">
        <v>2.4305555555555555E-4</v>
      </c>
      <c r="F193" s="24">
        <v>1.724537037037037E-3</v>
      </c>
      <c r="G193" s="24">
        <v>1.9097222222222222E-3</v>
      </c>
      <c r="H193" s="24">
        <v>0.74339999999999995</v>
      </c>
      <c r="I193" s="18">
        <f t="shared" si="11"/>
        <v>9.7400000000000004E-3</v>
      </c>
      <c r="J193" s="18">
        <f t="shared" si="15"/>
        <v>7.4339999999999996E-3</v>
      </c>
      <c r="K193" s="19">
        <f t="shared" si="12"/>
        <v>4</v>
      </c>
      <c r="L193" s="18">
        <f t="shared" si="13"/>
        <v>2.5974025974025976E-2</v>
      </c>
      <c r="M193" s="18">
        <f t="shared" si="14"/>
        <v>0.97402597402597402</v>
      </c>
    </row>
    <row r="194" spans="1:13" x14ac:dyDescent="0.3">
      <c r="A194" s="22">
        <v>163</v>
      </c>
      <c r="B194" s="22">
        <v>155</v>
      </c>
      <c r="C194" s="23">
        <v>0.95089999999999997</v>
      </c>
      <c r="D194" s="22">
        <v>8</v>
      </c>
      <c r="E194" s="24">
        <v>2.6620370370370372E-4</v>
      </c>
      <c r="F194" s="24">
        <v>1.5972222222222223E-3</v>
      </c>
      <c r="G194" s="24">
        <v>1.6898148148148148E-3</v>
      </c>
      <c r="H194" s="24">
        <v>0.74519999999999997</v>
      </c>
      <c r="I194" s="18">
        <f t="shared" si="11"/>
        <v>9.5090000000000001E-3</v>
      </c>
      <c r="J194" s="18">
        <f t="shared" si="15"/>
        <v>7.4519999999999994E-3</v>
      </c>
      <c r="K194" s="19">
        <f t="shared" si="12"/>
        <v>8</v>
      </c>
      <c r="L194" s="18">
        <f t="shared" si="13"/>
        <v>4.9079754601226995E-2</v>
      </c>
      <c r="M194" s="18">
        <f t="shared" si="14"/>
        <v>0.95092024539877296</v>
      </c>
    </row>
    <row r="195" spans="1:13" x14ac:dyDescent="0.3">
      <c r="A195" s="22">
        <v>12</v>
      </c>
      <c r="B195" s="22">
        <v>12</v>
      </c>
      <c r="C195" s="23">
        <v>1</v>
      </c>
      <c r="D195" s="22">
        <v>0</v>
      </c>
      <c r="E195" s="24">
        <v>2.8935185185185184E-4</v>
      </c>
      <c r="F195" s="24">
        <v>2.5115740740740741E-3</v>
      </c>
      <c r="G195" s="24">
        <v>1.0185185185185184E-3</v>
      </c>
      <c r="H195" s="24">
        <v>0.66669999999999996</v>
      </c>
      <c r="I195" s="18">
        <f t="shared" ref="I195:I258" si="16">VALUE(SUBSTITUTE(C195,"%",""))/100</f>
        <v>0.01</v>
      </c>
      <c r="J195" s="18">
        <f t="shared" si="15"/>
        <v>6.6669999999999993E-3</v>
      </c>
      <c r="K195" s="19">
        <f t="shared" ref="K195:K258" si="17">A195-B195</f>
        <v>0</v>
      </c>
      <c r="L195" s="18">
        <f t="shared" ref="L195:L258" si="18">D195/A195</f>
        <v>0</v>
      </c>
      <c r="M195" s="18">
        <f t="shared" ref="M195:M258" si="19">B195/A195</f>
        <v>1</v>
      </c>
    </row>
    <row r="196" spans="1:13" x14ac:dyDescent="0.3">
      <c r="A196" s="22">
        <v>218</v>
      </c>
      <c r="B196" s="22">
        <v>212</v>
      </c>
      <c r="C196" s="23">
        <v>0.97250000000000003</v>
      </c>
      <c r="D196" s="22">
        <v>6</v>
      </c>
      <c r="E196" s="24">
        <v>2.3148148148148149E-4</v>
      </c>
      <c r="F196" s="24">
        <v>1.3425925925925925E-3</v>
      </c>
      <c r="G196" s="24">
        <v>2.9050925925925928E-3</v>
      </c>
      <c r="H196" s="24">
        <v>0.75929999999999997</v>
      </c>
      <c r="I196" s="18">
        <f t="shared" si="16"/>
        <v>9.725000000000001E-3</v>
      </c>
      <c r="J196" s="18">
        <f t="shared" si="15"/>
        <v>7.5929999999999999E-3</v>
      </c>
      <c r="K196" s="19">
        <f t="shared" si="17"/>
        <v>6</v>
      </c>
      <c r="L196" s="18">
        <f t="shared" si="18"/>
        <v>2.7522935779816515E-2</v>
      </c>
      <c r="M196" s="18">
        <f t="shared" si="19"/>
        <v>0.97247706422018354</v>
      </c>
    </row>
    <row r="197" spans="1:13" x14ac:dyDescent="0.3">
      <c r="A197" s="22">
        <v>172</v>
      </c>
      <c r="B197" s="22">
        <v>163</v>
      </c>
      <c r="C197" s="23">
        <v>0.94769999999999999</v>
      </c>
      <c r="D197" s="22">
        <v>9</v>
      </c>
      <c r="E197" s="24">
        <v>2.0833333333333335E-4</v>
      </c>
      <c r="F197" s="24">
        <v>1.4930555555555556E-3</v>
      </c>
      <c r="G197" s="24">
        <v>1.3078703703703703E-3</v>
      </c>
      <c r="H197" s="24">
        <v>0.81930000000000003</v>
      </c>
      <c r="I197" s="18">
        <f t="shared" si="16"/>
        <v>9.4769999999999993E-3</v>
      </c>
      <c r="J197" s="18">
        <f t="shared" si="15"/>
        <v>8.1930000000000006E-3</v>
      </c>
      <c r="K197" s="19">
        <f t="shared" si="17"/>
        <v>9</v>
      </c>
      <c r="L197" s="18">
        <f t="shared" si="18"/>
        <v>5.232558139534884E-2</v>
      </c>
      <c r="M197" s="18">
        <f t="shared" si="19"/>
        <v>0.94767441860465118</v>
      </c>
    </row>
    <row r="198" spans="1:13" x14ac:dyDescent="0.3">
      <c r="A198" s="22">
        <v>205</v>
      </c>
      <c r="B198" s="22">
        <v>194</v>
      </c>
      <c r="C198" s="23">
        <v>0.94630000000000003</v>
      </c>
      <c r="D198" s="22">
        <v>11</v>
      </c>
      <c r="E198" s="24">
        <v>2.0833333333333335E-4</v>
      </c>
      <c r="F198" s="24">
        <v>1.6666666666666668E-3</v>
      </c>
      <c r="G198" s="24">
        <v>1.1689814814814816E-3</v>
      </c>
      <c r="H198" s="24">
        <v>0.80600000000000005</v>
      </c>
      <c r="I198" s="18">
        <f t="shared" si="16"/>
        <v>9.4630000000000009E-3</v>
      </c>
      <c r="J198" s="18">
        <f t="shared" ref="J198:J261" si="20">VALUE(SUBSTITUTE(H198,"%",""))/100</f>
        <v>8.0600000000000012E-3</v>
      </c>
      <c r="K198" s="19">
        <f t="shared" si="17"/>
        <v>11</v>
      </c>
      <c r="L198" s="18">
        <f t="shared" si="18"/>
        <v>5.3658536585365853E-2</v>
      </c>
      <c r="M198" s="18">
        <f t="shared" si="19"/>
        <v>0.9463414634146341</v>
      </c>
    </row>
    <row r="199" spans="1:13" x14ac:dyDescent="0.3">
      <c r="A199" s="22">
        <v>178</v>
      </c>
      <c r="B199" s="22">
        <v>168</v>
      </c>
      <c r="C199" s="23">
        <v>0.94379999999999997</v>
      </c>
      <c r="D199" s="22">
        <v>10</v>
      </c>
      <c r="E199" s="24">
        <v>2.6620370370370372E-4</v>
      </c>
      <c r="F199" s="24">
        <v>1.712962962962963E-3</v>
      </c>
      <c r="G199" s="24">
        <v>1.9675925925925924E-3</v>
      </c>
      <c r="H199" s="24">
        <v>0.68969999999999998</v>
      </c>
      <c r="I199" s="18">
        <f t="shared" si="16"/>
        <v>9.4380000000000002E-3</v>
      </c>
      <c r="J199" s="18">
        <f t="shared" si="20"/>
        <v>6.8969999999999995E-3</v>
      </c>
      <c r="K199" s="19">
        <f t="shared" si="17"/>
        <v>10</v>
      </c>
      <c r="L199" s="18">
        <f t="shared" si="18"/>
        <v>5.6179775280898875E-2</v>
      </c>
      <c r="M199" s="18">
        <f t="shared" si="19"/>
        <v>0.9438202247191011</v>
      </c>
    </row>
    <row r="200" spans="1:13" x14ac:dyDescent="0.3">
      <c r="A200" s="22">
        <v>214</v>
      </c>
      <c r="B200" s="22">
        <v>201</v>
      </c>
      <c r="C200" s="23">
        <v>0.93930000000000002</v>
      </c>
      <c r="D200" s="22">
        <v>13</v>
      </c>
      <c r="E200" s="24">
        <v>2.6620370370370372E-4</v>
      </c>
      <c r="F200" s="24">
        <v>1.5162037037037036E-3</v>
      </c>
      <c r="G200" s="24">
        <v>1.6666666666666668E-3</v>
      </c>
      <c r="H200" s="24">
        <v>0.6603</v>
      </c>
      <c r="I200" s="18">
        <f t="shared" si="16"/>
        <v>9.3930000000000003E-3</v>
      </c>
      <c r="J200" s="18">
        <f t="shared" si="20"/>
        <v>6.6030000000000004E-3</v>
      </c>
      <c r="K200" s="19">
        <f t="shared" si="17"/>
        <v>13</v>
      </c>
      <c r="L200" s="18">
        <f t="shared" si="18"/>
        <v>6.0747663551401869E-2</v>
      </c>
      <c r="M200" s="18">
        <f t="shared" si="19"/>
        <v>0.93925233644859818</v>
      </c>
    </row>
    <row r="201" spans="1:13" x14ac:dyDescent="0.3">
      <c r="A201" s="22">
        <v>169</v>
      </c>
      <c r="B201" s="22">
        <v>161</v>
      </c>
      <c r="C201" s="23">
        <v>0.95269999999999999</v>
      </c>
      <c r="D201" s="22">
        <v>8</v>
      </c>
      <c r="E201" s="24">
        <v>2.6620370370370372E-4</v>
      </c>
      <c r="F201" s="24">
        <v>1.5856481481481481E-3</v>
      </c>
      <c r="G201" s="24">
        <v>3.1828703703703702E-3</v>
      </c>
      <c r="H201" s="24">
        <v>0.71689999999999998</v>
      </c>
      <c r="I201" s="18">
        <f t="shared" si="16"/>
        <v>9.5270000000000007E-3</v>
      </c>
      <c r="J201" s="18">
        <f t="shared" si="20"/>
        <v>7.169E-3</v>
      </c>
      <c r="K201" s="19">
        <f t="shared" si="17"/>
        <v>8</v>
      </c>
      <c r="L201" s="18">
        <f t="shared" si="18"/>
        <v>4.7337278106508875E-2</v>
      </c>
      <c r="M201" s="18">
        <f t="shared" si="19"/>
        <v>0.9526627218934911</v>
      </c>
    </row>
    <row r="202" spans="1:13" x14ac:dyDescent="0.3">
      <c r="A202" s="22">
        <v>46</v>
      </c>
      <c r="B202" s="22">
        <v>46</v>
      </c>
      <c r="C202" s="23">
        <v>1</v>
      </c>
      <c r="D202" s="22">
        <v>0</v>
      </c>
      <c r="E202" s="24">
        <v>2.8935185185185184E-4</v>
      </c>
      <c r="F202" s="24">
        <v>1.6666666666666668E-3</v>
      </c>
      <c r="G202" s="24">
        <v>1.0995370370370371E-3</v>
      </c>
      <c r="H202" s="24">
        <v>0.71740000000000004</v>
      </c>
      <c r="I202" s="18">
        <f t="shared" si="16"/>
        <v>0.01</v>
      </c>
      <c r="J202" s="18">
        <f t="shared" si="20"/>
        <v>7.1740000000000007E-3</v>
      </c>
      <c r="K202" s="19">
        <f t="shared" si="17"/>
        <v>0</v>
      </c>
      <c r="L202" s="18">
        <f t="shared" si="18"/>
        <v>0</v>
      </c>
      <c r="M202" s="18">
        <f t="shared" si="19"/>
        <v>1</v>
      </c>
    </row>
    <row r="203" spans="1:13" x14ac:dyDescent="0.3">
      <c r="A203" s="22">
        <v>183</v>
      </c>
      <c r="B203" s="22">
        <v>177</v>
      </c>
      <c r="C203" s="23">
        <v>0.96719999999999995</v>
      </c>
      <c r="D203" s="22">
        <v>6</v>
      </c>
      <c r="E203" s="24">
        <v>2.0833333333333335E-4</v>
      </c>
      <c r="F203" s="24">
        <v>1.736111111111111E-3</v>
      </c>
      <c r="G203" s="24">
        <v>7.7546296296296293E-4</v>
      </c>
      <c r="H203" s="24">
        <v>0.81110000000000004</v>
      </c>
      <c r="I203" s="18">
        <f t="shared" si="16"/>
        <v>9.672E-3</v>
      </c>
      <c r="J203" s="18">
        <f t="shared" si="20"/>
        <v>8.1110000000000002E-3</v>
      </c>
      <c r="K203" s="19">
        <f t="shared" si="17"/>
        <v>6</v>
      </c>
      <c r="L203" s="18">
        <f t="shared" si="18"/>
        <v>3.2786885245901641E-2</v>
      </c>
      <c r="M203" s="18">
        <f t="shared" si="19"/>
        <v>0.96721311475409832</v>
      </c>
    </row>
    <row r="204" spans="1:13" x14ac:dyDescent="0.3">
      <c r="A204" s="22">
        <v>208</v>
      </c>
      <c r="B204" s="22">
        <v>190</v>
      </c>
      <c r="C204" s="23">
        <v>0.91349999999999998</v>
      </c>
      <c r="D204" s="22">
        <v>18</v>
      </c>
      <c r="E204" s="24">
        <v>2.4305555555555555E-4</v>
      </c>
      <c r="F204" s="24">
        <v>1.6782407407407408E-3</v>
      </c>
      <c r="G204" s="24">
        <v>1.2731481481481483E-3</v>
      </c>
      <c r="H204" s="24">
        <v>0.74109999999999998</v>
      </c>
      <c r="I204" s="18">
        <f t="shared" si="16"/>
        <v>9.134999999999999E-3</v>
      </c>
      <c r="J204" s="18">
        <f t="shared" si="20"/>
        <v>7.4110000000000001E-3</v>
      </c>
      <c r="K204" s="19">
        <f t="shared" si="17"/>
        <v>18</v>
      </c>
      <c r="L204" s="18">
        <f t="shared" si="18"/>
        <v>8.6538461538461536E-2</v>
      </c>
      <c r="M204" s="18">
        <f t="shared" si="19"/>
        <v>0.91346153846153844</v>
      </c>
    </row>
    <row r="205" spans="1:13" x14ac:dyDescent="0.3">
      <c r="A205" s="22">
        <v>234</v>
      </c>
      <c r="B205" s="22">
        <v>224</v>
      </c>
      <c r="C205" s="23">
        <v>0.95730000000000004</v>
      </c>
      <c r="D205" s="22">
        <v>10</v>
      </c>
      <c r="E205" s="24">
        <v>2.5462962962962961E-4</v>
      </c>
      <c r="F205" s="24">
        <v>1.5625000000000001E-3</v>
      </c>
      <c r="G205" s="24">
        <v>2.3148148148148147E-3</v>
      </c>
      <c r="H205" s="24">
        <v>0.74139999999999995</v>
      </c>
      <c r="I205" s="18">
        <f t="shared" si="16"/>
        <v>9.5729999999999999E-3</v>
      </c>
      <c r="J205" s="18">
        <f t="shared" si="20"/>
        <v>7.4139999999999996E-3</v>
      </c>
      <c r="K205" s="19">
        <f t="shared" si="17"/>
        <v>10</v>
      </c>
      <c r="L205" s="18">
        <f t="shared" si="18"/>
        <v>4.2735042735042736E-2</v>
      </c>
      <c r="M205" s="18">
        <f t="shared" si="19"/>
        <v>0.95726495726495731</v>
      </c>
    </row>
    <row r="206" spans="1:13" x14ac:dyDescent="0.3">
      <c r="A206" s="22">
        <v>204</v>
      </c>
      <c r="B206" s="22">
        <v>194</v>
      </c>
      <c r="C206" s="23">
        <v>0.95099999999999996</v>
      </c>
      <c r="D206" s="22">
        <v>10</v>
      </c>
      <c r="E206" s="24">
        <v>2.0833333333333335E-4</v>
      </c>
      <c r="F206" s="24">
        <v>1.5856481481481481E-3</v>
      </c>
      <c r="G206" s="24">
        <v>1.2731481481481483E-3</v>
      </c>
      <c r="H206" s="24">
        <v>0.78710000000000002</v>
      </c>
      <c r="I206" s="18">
        <f t="shared" si="16"/>
        <v>9.5099999999999994E-3</v>
      </c>
      <c r="J206" s="18">
        <f t="shared" si="20"/>
        <v>7.8709999999999995E-3</v>
      </c>
      <c r="K206" s="19">
        <f t="shared" si="17"/>
        <v>10</v>
      </c>
      <c r="L206" s="18">
        <f t="shared" si="18"/>
        <v>4.9019607843137254E-2</v>
      </c>
      <c r="M206" s="18">
        <f t="shared" si="19"/>
        <v>0.9509803921568627</v>
      </c>
    </row>
    <row r="207" spans="1:13" x14ac:dyDescent="0.3">
      <c r="A207" s="22">
        <v>204</v>
      </c>
      <c r="B207" s="22">
        <v>189</v>
      </c>
      <c r="C207" s="23">
        <v>0.92649999999999999</v>
      </c>
      <c r="D207" s="22">
        <v>15</v>
      </c>
      <c r="E207" s="24">
        <v>2.4305555555555555E-4</v>
      </c>
      <c r="F207" s="24">
        <v>1.5625000000000001E-3</v>
      </c>
      <c r="G207" s="24">
        <v>2.7314814814814814E-3</v>
      </c>
      <c r="H207" s="24">
        <v>0.70789999999999997</v>
      </c>
      <c r="I207" s="18">
        <f t="shared" si="16"/>
        <v>9.2650000000000007E-3</v>
      </c>
      <c r="J207" s="18">
        <f t="shared" si="20"/>
        <v>7.0789999999999994E-3</v>
      </c>
      <c r="K207" s="19">
        <f t="shared" si="17"/>
        <v>15</v>
      </c>
      <c r="L207" s="18">
        <f t="shared" si="18"/>
        <v>7.3529411764705885E-2</v>
      </c>
      <c r="M207" s="18">
        <f t="shared" si="19"/>
        <v>0.92647058823529416</v>
      </c>
    </row>
    <row r="208" spans="1:13" x14ac:dyDescent="0.3">
      <c r="A208" s="22">
        <v>99</v>
      </c>
      <c r="B208" s="22">
        <v>99</v>
      </c>
      <c r="C208" s="23">
        <v>1</v>
      </c>
      <c r="D208" s="22">
        <v>0</v>
      </c>
      <c r="E208" s="24">
        <v>1.8518518518518518E-4</v>
      </c>
      <c r="F208" s="24">
        <v>1.6782407407407408E-3</v>
      </c>
      <c r="G208" s="24">
        <v>7.1759259259259259E-4</v>
      </c>
      <c r="H208" s="24">
        <v>0.82830000000000004</v>
      </c>
      <c r="I208" s="18">
        <f t="shared" si="16"/>
        <v>0.01</v>
      </c>
      <c r="J208" s="18">
        <f t="shared" si="20"/>
        <v>8.2830000000000004E-3</v>
      </c>
      <c r="K208" s="19">
        <f t="shared" si="17"/>
        <v>0</v>
      </c>
      <c r="L208" s="18">
        <f t="shared" si="18"/>
        <v>0</v>
      </c>
      <c r="M208" s="18">
        <f t="shared" si="19"/>
        <v>1</v>
      </c>
    </row>
    <row r="209" spans="1:13" x14ac:dyDescent="0.3">
      <c r="A209" s="22">
        <v>29</v>
      </c>
      <c r="B209" s="22">
        <v>27</v>
      </c>
      <c r="C209" s="23">
        <v>0.93100000000000005</v>
      </c>
      <c r="D209" s="22">
        <v>2</v>
      </c>
      <c r="E209" s="24">
        <v>2.199074074074074E-4</v>
      </c>
      <c r="F209" s="24">
        <v>1.9328703703703704E-3</v>
      </c>
      <c r="G209" s="24">
        <v>1.6435185185185185E-3</v>
      </c>
      <c r="H209" s="24">
        <v>0.78569999999999995</v>
      </c>
      <c r="I209" s="18">
        <f t="shared" si="16"/>
        <v>9.3100000000000006E-3</v>
      </c>
      <c r="J209" s="18">
        <f t="shared" si="20"/>
        <v>7.8569999999999994E-3</v>
      </c>
      <c r="K209" s="19">
        <f t="shared" si="17"/>
        <v>2</v>
      </c>
      <c r="L209" s="18">
        <f t="shared" si="18"/>
        <v>6.8965517241379309E-2</v>
      </c>
      <c r="M209" s="18">
        <f t="shared" si="19"/>
        <v>0.93103448275862066</v>
      </c>
    </row>
    <row r="210" spans="1:13" x14ac:dyDescent="0.3">
      <c r="A210" s="22">
        <v>167</v>
      </c>
      <c r="B210" s="22">
        <v>159</v>
      </c>
      <c r="C210" s="23">
        <v>0.95209999999999995</v>
      </c>
      <c r="D210" s="22">
        <v>8</v>
      </c>
      <c r="E210" s="24">
        <v>2.6620370370370372E-4</v>
      </c>
      <c r="F210" s="24">
        <v>1.712962962962963E-3</v>
      </c>
      <c r="G210" s="24">
        <v>3.1828703703703702E-3</v>
      </c>
      <c r="H210" s="24">
        <v>0.70479999999999998</v>
      </c>
      <c r="I210" s="18">
        <f t="shared" si="16"/>
        <v>9.5209999999999999E-3</v>
      </c>
      <c r="J210" s="18">
        <f t="shared" si="20"/>
        <v>7.0479999999999996E-3</v>
      </c>
      <c r="K210" s="19">
        <f t="shared" si="17"/>
        <v>8</v>
      </c>
      <c r="L210" s="18">
        <f t="shared" si="18"/>
        <v>4.790419161676647E-2</v>
      </c>
      <c r="M210" s="18">
        <f t="shared" si="19"/>
        <v>0.95209580838323349</v>
      </c>
    </row>
    <row r="211" spans="1:13" x14ac:dyDescent="0.3">
      <c r="A211" s="22">
        <v>164</v>
      </c>
      <c r="B211" s="22">
        <v>161</v>
      </c>
      <c r="C211" s="23">
        <v>0.98170000000000002</v>
      </c>
      <c r="D211" s="22">
        <v>3</v>
      </c>
      <c r="E211" s="24">
        <v>1.9675925925925926E-4</v>
      </c>
      <c r="F211" s="24">
        <v>1.7939814814814815E-3</v>
      </c>
      <c r="G211" s="24">
        <v>1.1226851851851851E-3</v>
      </c>
      <c r="H211" s="24">
        <v>0.81710000000000005</v>
      </c>
      <c r="I211" s="18">
        <f t="shared" si="16"/>
        <v>9.8169999999999993E-3</v>
      </c>
      <c r="J211" s="18">
        <f t="shared" si="20"/>
        <v>8.1710000000000012E-3</v>
      </c>
      <c r="K211" s="19">
        <f t="shared" si="17"/>
        <v>3</v>
      </c>
      <c r="L211" s="18">
        <f t="shared" si="18"/>
        <v>1.8292682926829267E-2</v>
      </c>
      <c r="M211" s="18">
        <f t="shared" si="19"/>
        <v>0.98170731707317072</v>
      </c>
    </row>
    <row r="212" spans="1:13" x14ac:dyDescent="0.3">
      <c r="A212" s="22">
        <v>158</v>
      </c>
      <c r="B212" s="22">
        <v>147</v>
      </c>
      <c r="C212" s="23">
        <v>0.9304</v>
      </c>
      <c r="D212" s="22">
        <v>11</v>
      </c>
      <c r="E212" s="24">
        <v>2.4305555555555555E-4</v>
      </c>
      <c r="F212" s="24">
        <v>1.7824074074074075E-3</v>
      </c>
      <c r="G212" s="24">
        <v>1.4236111111111112E-3</v>
      </c>
      <c r="H212" s="24">
        <v>0.72440000000000004</v>
      </c>
      <c r="I212" s="18">
        <f t="shared" si="16"/>
        <v>9.3039999999999998E-3</v>
      </c>
      <c r="J212" s="18">
        <f t="shared" si="20"/>
        <v>7.2440000000000004E-3</v>
      </c>
      <c r="K212" s="19">
        <f t="shared" si="17"/>
        <v>11</v>
      </c>
      <c r="L212" s="18">
        <f t="shared" si="18"/>
        <v>6.9620253164556958E-2</v>
      </c>
      <c r="M212" s="18">
        <f t="shared" si="19"/>
        <v>0.930379746835443</v>
      </c>
    </row>
    <row r="213" spans="1:13" x14ac:dyDescent="0.3">
      <c r="A213" s="22">
        <v>165</v>
      </c>
      <c r="B213" s="22">
        <v>161</v>
      </c>
      <c r="C213" s="23">
        <v>0.9758</v>
      </c>
      <c r="D213" s="22">
        <v>4</v>
      </c>
      <c r="E213" s="24">
        <v>1.9675925925925926E-4</v>
      </c>
      <c r="F213" s="24">
        <v>1.6898148148148148E-3</v>
      </c>
      <c r="G213" s="24">
        <v>7.6388888888888893E-4</v>
      </c>
      <c r="H213" s="24">
        <v>0.77910000000000001</v>
      </c>
      <c r="I213" s="18">
        <f t="shared" si="16"/>
        <v>9.7579999999999993E-3</v>
      </c>
      <c r="J213" s="18">
        <f t="shared" si="20"/>
        <v>7.7910000000000002E-3</v>
      </c>
      <c r="K213" s="19">
        <f t="shared" si="17"/>
        <v>4</v>
      </c>
      <c r="L213" s="18">
        <f t="shared" si="18"/>
        <v>2.4242424242424242E-2</v>
      </c>
      <c r="M213" s="18">
        <f t="shared" si="19"/>
        <v>0.97575757575757571</v>
      </c>
    </row>
    <row r="214" spans="1:13" x14ac:dyDescent="0.3">
      <c r="A214" s="22">
        <v>129</v>
      </c>
      <c r="B214" s="22">
        <v>124</v>
      </c>
      <c r="C214" s="23">
        <v>0.96120000000000005</v>
      </c>
      <c r="D214" s="22">
        <v>5</v>
      </c>
      <c r="E214" s="24">
        <v>2.6620370370370372E-4</v>
      </c>
      <c r="F214" s="24">
        <v>1.712962962962963E-3</v>
      </c>
      <c r="G214" s="24">
        <v>1.2731481481481483E-3</v>
      </c>
      <c r="H214" s="24">
        <v>0.7087</v>
      </c>
      <c r="I214" s="18">
        <f t="shared" si="16"/>
        <v>9.6120000000000008E-3</v>
      </c>
      <c r="J214" s="18">
        <f t="shared" si="20"/>
        <v>7.0869999999999995E-3</v>
      </c>
      <c r="K214" s="19">
        <f t="shared" si="17"/>
        <v>5</v>
      </c>
      <c r="L214" s="18">
        <f t="shared" si="18"/>
        <v>3.875968992248062E-2</v>
      </c>
      <c r="M214" s="18">
        <f t="shared" si="19"/>
        <v>0.96124031007751942</v>
      </c>
    </row>
    <row r="215" spans="1:13" x14ac:dyDescent="0.3">
      <c r="A215" s="22">
        <v>155</v>
      </c>
      <c r="B215" s="22">
        <v>149</v>
      </c>
      <c r="C215" s="23">
        <v>0.96130000000000004</v>
      </c>
      <c r="D215" s="22">
        <v>6</v>
      </c>
      <c r="E215" s="24">
        <v>2.6620370370370372E-4</v>
      </c>
      <c r="F215" s="24">
        <v>1.6898148148148148E-3</v>
      </c>
      <c r="G215" s="24">
        <v>2.9976851851851853E-3</v>
      </c>
      <c r="H215" s="24">
        <v>0.74509999999999998</v>
      </c>
      <c r="I215" s="18">
        <f t="shared" si="16"/>
        <v>9.613E-3</v>
      </c>
      <c r="J215" s="18">
        <f t="shared" si="20"/>
        <v>7.4510000000000002E-3</v>
      </c>
      <c r="K215" s="19">
        <f t="shared" si="17"/>
        <v>6</v>
      </c>
      <c r="L215" s="18">
        <f t="shared" si="18"/>
        <v>3.870967741935484E-2</v>
      </c>
      <c r="M215" s="18">
        <f t="shared" si="19"/>
        <v>0.96129032258064517</v>
      </c>
    </row>
    <row r="216" spans="1:13" x14ac:dyDescent="0.3">
      <c r="A216" s="22">
        <v>24</v>
      </c>
      <c r="B216" s="22">
        <v>22</v>
      </c>
      <c r="C216" s="23">
        <v>0.91669999999999996</v>
      </c>
      <c r="D216" s="22">
        <v>2</v>
      </c>
      <c r="E216" s="24">
        <v>3.2407407407407406E-4</v>
      </c>
      <c r="F216" s="24">
        <v>1.6666666666666668E-3</v>
      </c>
      <c r="G216" s="24">
        <v>9.3749999999999997E-4</v>
      </c>
      <c r="H216" s="24">
        <v>0.54169999999999996</v>
      </c>
      <c r="I216" s="18">
        <f t="shared" si="16"/>
        <v>9.1669999999999998E-3</v>
      </c>
      <c r="J216" s="18">
        <f t="shared" si="20"/>
        <v>5.4169999999999999E-3</v>
      </c>
      <c r="K216" s="19">
        <f t="shared" si="17"/>
        <v>2</v>
      </c>
      <c r="L216" s="18">
        <f t="shared" si="18"/>
        <v>8.3333333333333329E-2</v>
      </c>
      <c r="M216" s="18">
        <f t="shared" si="19"/>
        <v>0.91666666666666663</v>
      </c>
    </row>
    <row r="217" spans="1:13" x14ac:dyDescent="0.3">
      <c r="A217" s="22">
        <v>209</v>
      </c>
      <c r="B217" s="22">
        <v>200</v>
      </c>
      <c r="C217" s="23">
        <v>0.95689999999999997</v>
      </c>
      <c r="D217" s="22">
        <v>9</v>
      </c>
      <c r="E217" s="24">
        <v>2.6620370370370372E-4</v>
      </c>
      <c r="F217" s="24">
        <v>1.6666666666666668E-3</v>
      </c>
      <c r="G217" s="24">
        <v>1.5162037037037036E-3</v>
      </c>
      <c r="H217" s="24">
        <v>0.66669999999999996</v>
      </c>
      <c r="I217" s="18">
        <f t="shared" si="16"/>
        <v>9.5689999999999994E-3</v>
      </c>
      <c r="J217" s="18">
        <f t="shared" si="20"/>
        <v>6.6669999999999993E-3</v>
      </c>
      <c r="K217" s="19">
        <f t="shared" si="17"/>
        <v>9</v>
      </c>
      <c r="L217" s="18">
        <f t="shared" si="18"/>
        <v>4.3062200956937802E-2</v>
      </c>
      <c r="M217" s="18">
        <f t="shared" si="19"/>
        <v>0.9569377990430622</v>
      </c>
    </row>
    <row r="218" spans="1:13" x14ac:dyDescent="0.3">
      <c r="A218" s="22">
        <v>239</v>
      </c>
      <c r="B218" s="22">
        <v>226</v>
      </c>
      <c r="C218" s="23">
        <v>0.9456</v>
      </c>
      <c r="D218" s="22">
        <v>13</v>
      </c>
      <c r="E218" s="24">
        <v>3.0092592592592595E-4</v>
      </c>
      <c r="F218" s="24">
        <v>1.6087962962962963E-3</v>
      </c>
      <c r="G218" s="24">
        <v>1.9675925925925924E-3</v>
      </c>
      <c r="H218" s="24">
        <v>0.67230000000000001</v>
      </c>
      <c r="I218" s="18">
        <f t="shared" si="16"/>
        <v>9.4559999999999991E-3</v>
      </c>
      <c r="J218" s="18">
        <f t="shared" si="20"/>
        <v>6.7229999999999998E-3</v>
      </c>
      <c r="K218" s="19">
        <f t="shared" si="17"/>
        <v>13</v>
      </c>
      <c r="L218" s="18">
        <f t="shared" si="18"/>
        <v>5.4393305439330547E-2</v>
      </c>
      <c r="M218" s="18">
        <f t="shared" si="19"/>
        <v>0.94560669456066948</v>
      </c>
    </row>
    <row r="219" spans="1:13" x14ac:dyDescent="0.3">
      <c r="A219" s="22">
        <v>229</v>
      </c>
      <c r="B219" s="22">
        <v>210</v>
      </c>
      <c r="C219" s="23">
        <v>0.91700000000000004</v>
      </c>
      <c r="D219" s="22">
        <v>19</v>
      </c>
      <c r="E219" s="24">
        <v>3.3564814814814812E-4</v>
      </c>
      <c r="F219" s="24">
        <v>1.6550925925925926E-3</v>
      </c>
      <c r="G219" s="24">
        <v>5.7407407407407407E-3</v>
      </c>
      <c r="H219" s="24">
        <v>0.64159999999999995</v>
      </c>
      <c r="I219" s="18">
        <f t="shared" si="16"/>
        <v>9.1700000000000011E-3</v>
      </c>
      <c r="J219" s="18">
        <f t="shared" si="20"/>
        <v>6.4159999999999998E-3</v>
      </c>
      <c r="K219" s="19">
        <f t="shared" si="17"/>
        <v>19</v>
      </c>
      <c r="L219" s="18">
        <f t="shared" si="18"/>
        <v>8.296943231441048E-2</v>
      </c>
      <c r="M219" s="18">
        <f t="shared" si="19"/>
        <v>0.91703056768558955</v>
      </c>
    </row>
    <row r="220" spans="1:13" x14ac:dyDescent="0.3">
      <c r="A220" s="22">
        <v>194</v>
      </c>
      <c r="B220" s="22">
        <v>172</v>
      </c>
      <c r="C220" s="23">
        <v>0.88660000000000005</v>
      </c>
      <c r="D220" s="22">
        <v>22</v>
      </c>
      <c r="E220" s="24">
        <v>2.6620370370370372E-4</v>
      </c>
      <c r="F220" s="24">
        <v>1.6203703703703703E-3</v>
      </c>
      <c r="G220" s="24">
        <v>4.3518518518518515E-3</v>
      </c>
      <c r="H220" s="24">
        <v>0.66139999999999999</v>
      </c>
      <c r="I220" s="18">
        <f t="shared" si="16"/>
        <v>8.8660000000000006E-3</v>
      </c>
      <c r="J220" s="18">
        <f t="shared" si="20"/>
        <v>6.6140000000000001E-3</v>
      </c>
      <c r="K220" s="19">
        <f t="shared" si="17"/>
        <v>22</v>
      </c>
      <c r="L220" s="18">
        <f t="shared" si="18"/>
        <v>0.1134020618556701</v>
      </c>
      <c r="M220" s="18">
        <f t="shared" si="19"/>
        <v>0.88659793814432986</v>
      </c>
    </row>
    <row r="221" spans="1:13" x14ac:dyDescent="0.3">
      <c r="A221" s="22">
        <v>202</v>
      </c>
      <c r="B221" s="22">
        <v>179</v>
      </c>
      <c r="C221" s="23">
        <v>0.8861</v>
      </c>
      <c r="D221" s="22">
        <v>23</v>
      </c>
      <c r="E221" s="24">
        <v>2.7777777777777778E-4</v>
      </c>
      <c r="F221" s="24">
        <v>1.5740740740740741E-3</v>
      </c>
      <c r="G221" s="24">
        <v>1.9675925925925924E-3</v>
      </c>
      <c r="H221" s="24">
        <v>0.64429999999999998</v>
      </c>
      <c r="I221" s="18">
        <f t="shared" si="16"/>
        <v>8.8610000000000008E-3</v>
      </c>
      <c r="J221" s="18">
        <f t="shared" si="20"/>
        <v>6.4429999999999999E-3</v>
      </c>
      <c r="K221" s="19">
        <f t="shared" si="17"/>
        <v>23</v>
      </c>
      <c r="L221" s="18">
        <f t="shared" si="18"/>
        <v>0.11386138613861387</v>
      </c>
      <c r="M221" s="18">
        <f t="shared" si="19"/>
        <v>0.88613861386138615</v>
      </c>
    </row>
    <row r="222" spans="1:13" x14ac:dyDescent="0.3">
      <c r="A222" s="22">
        <v>268</v>
      </c>
      <c r="B222" s="22">
        <v>254</v>
      </c>
      <c r="C222" s="23">
        <v>0.94779999999999998</v>
      </c>
      <c r="D222" s="22">
        <v>14</v>
      </c>
      <c r="E222" s="24">
        <v>1.7361111111111112E-4</v>
      </c>
      <c r="F222" s="24">
        <v>1.2847222222222223E-3</v>
      </c>
      <c r="G222" s="24">
        <v>1.8518518518518519E-3</v>
      </c>
      <c r="H222" s="24">
        <v>0.81130000000000002</v>
      </c>
      <c r="I222" s="18">
        <f t="shared" si="16"/>
        <v>9.4780000000000003E-3</v>
      </c>
      <c r="J222" s="18">
        <f t="shared" si="20"/>
        <v>8.1130000000000004E-3</v>
      </c>
      <c r="K222" s="19">
        <f t="shared" si="17"/>
        <v>14</v>
      </c>
      <c r="L222" s="18">
        <f t="shared" si="18"/>
        <v>5.2238805970149252E-2</v>
      </c>
      <c r="M222" s="18">
        <f t="shared" si="19"/>
        <v>0.94776119402985071</v>
      </c>
    </row>
    <row r="223" spans="1:13" x14ac:dyDescent="0.3">
      <c r="A223" s="22">
        <v>52</v>
      </c>
      <c r="B223" s="22">
        <v>49</v>
      </c>
      <c r="C223" s="23">
        <v>0.94230000000000003</v>
      </c>
      <c r="D223" s="22">
        <v>3</v>
      </c>
      <c r="E223" s="24">
        <v>2.0833333333333335E-4</v>
      </c>
      <c r="F223" s="24">
        <v>1.5972222222222223E-3</v>
      </c>
      <c r="G223" s="24">
        <v>1.5856481481481481E-3</v>
      </c>
      <c r="H223" s="24">
        <v>0.76470000000000005</v>
      </c>
      <c r="I223" s="18">
        <f t="shared" si="16"/>
        <v>9.4230000000000008E-3</v>
      </c>
      <c r="J223" s="18">
        <f t="shared" si="20"/>
        <v>7.6470000000000002E-3</v>
      </c>
      <c r="K223" s="19">
        <f t="shared" si="17"/>
        <v>3</v>
      </c>
      <c r="L223" s="18">
        <f t="shared" si="18"/>
        <v>5.7692307692307696E-2</v>
      </c>
      <c r="M223" s="18">
        <f t="shared" si="19"/>
        <v>0.94230769230769229</v>
      </c>
    </row>
    <row r="224" spans="1:13" x14ac:dyDescent="0.3">
      <c r="A224" s="22">
        <v>414</v>
      </c>
      <c r="B224" s="22">
        <v>397</v>
      </c>
      <c r="C224" s="23">
        <v>0.95889999999999997</v>
      </c>
      <c r="D224" s="22">
        <v>17</v>
      </c>
      <c r="E224" s="24">
        <v>2.6620370370370372E-4</v>
      </c>
      <c r="F224" s="24">
        <v>1.3657407407407407E-3</v>
      </c>
      <c r="G224" s="24">
        <v>3.8425925925925928E-3</v>
      </c>
      <c r="H224" s="24">
        <v>0.70730000000000004</v>
      </c>
      <c r="I224" s="18">
        <f t="shared" si="16"/>
        <v>9.5890000000000003E-3</v>
      </c>
      <c r="J224" s="18">
        <f t="shared" si="20"/>
        <v>7.0730000000000003E-3</v>
      </c>
      <c r="K224" s="19">
        <f t="shared" si="17"/>
        <v>17</v>
      </c>
      <c r="L224" s="18">
        <f t="shared" si="18"/>
        <v>4.1062801932367152E-2</v>
      </c>
      <c r="M224" s="18">
        <f t="shared" si="19"/>
        <v>0.95893719806763289</v>
      </c>
    </row>
    <row r="225" spans="1:13" x14ac:dyDescent="0.3">
      <c r="A225" s="22">
        <v>346</v>
      </c>
      <c r="B225" s="22">
        <v>325</v>
      </c>
      <c r="C225" s="23">
        <v>0.93930000000000002</v>
      </c>
      <c r="D225" s="22">
        <v>21</v>
      </c>
      <c r="E225" s="24">
        <v>3.1250000000000001E-4</v>
      </c>
      <c r="F225" s="24">
        <v>1.6435185185185185E-3</v>
      </c>
      <c r="G225" s="24">
        <v>1.9097222222222222E-3</v>
      </c>
      <c r="H225" s="24">
        <v>0.65690000000000004</v>
      </c>
      <c r="I225" s="18">
        <f t="shared" si="16"/>
        <v>9.3930000000000003E-3</v>
      </c>
      <c r="J225" s="18">
        <f t="shared" si="20"/>
        <v>6.5690000000000002E-3</v>
      </c>
      <c r="K225" s="19">
        <f t="shared" si="17"/>
        <v>21</v>
      </c>
      <c r="L225" s="18">
        <f t="shared" si="18"/>
        <v>6.0693641618497107E-2</v>
      </c>
      <c r="M225" s="18">
        <f t="shared" si="19"/>
        <v>0.93930635838150289</v>
      </c>
    </row>
    <row r="226" spans="1:13" x14ac:dyDescent="0.3">
      <c r="A226" s="22">
        <v>187</v>
      </c>
      <c r="B226" s="22">
        <v>179</v>
      </c>
      <c r="C226" s="23">
        <v>0.95720000000000005</v>
      </c>
      <c r="D226" s="22">
        <v>8</v>
      </c>
      <c r="E226" s="24">
        <v>2.8935185185185184E-4</v>
      </c>
      <c r="F226" s="24">
        <v>1.5509259259259259E-3</v>
      </c>
      <c r="G226" s="24">
        <v>2.0717592592592593E-3</v>
      </c>
      <c r="H226" s="24">
        <v>0.67030000000000001</v>
      </c>
      <c r="I226" s="18">
        <f t="shared" si="16"/>
        <v>9.5720000000000006E-3</v>
      </c>
      <c r="J226" s="18">
        <f t="shared" si="20"/>
        <v>6.7029999999999998E-3</v>
      </c>
      <c r="K226" s="19">
        <f t="shared" si="17"/>
        <v>8</v>
      </c>
      <c r="L226" s="18">
        <f t="shared" si="18"/>
        <v>4.2780748663101602E-2</v>
      </c>
      <c r="M226" s="18">
        <f t="shared" si="19"/>
        <v>0.95721925133689845</v>
      </c>
    </row>
    <row r="227" spans="1:13" x14ac:dyDescent="0.3">
      <c r="A227" s="22">
        <v>203</v>
      </c>
      <c r="B227" s="22">
        <v>186</v>
      </c>
      <c r="C227" s="23">
        <v>0.9163</v>
      </c>
      <c r="D227" s="22">
        <v>17</v>
      </c>
      <c r="E227" s="24">
        <v>2.7777777777777778E-4</v>
      </c>
      <c r="F227" s="24">
        <v>1.8287037037037037E-3</v>
      </c>
      <c r="G227" s="24">
        <v>3.1828703703703702E-3</v>
      </c>
      <c r="H227" s="24">
        <v>0.69589999999999996</v>
      </c>
      <c r="I227" s="18">
        <f t="shared" si="16"/>
        <v>9.1629999999999993E-3</v>
      </c>
      <c r="J227" s="18">
        <f t="shared" si="20"/>
        <v>6.9589999999999999E-3</v>
      </c>
      <c r="K227" s="19">
        <f t="shared" si="17"/>
        <v>17</v>
      </c>
      <c r="L227" s="18">
        <f t="shared" si="18"/>
        <v>8.3743842364532015E-2</v>
      </c>
      <c r="M227" s="18">
        <f t="shared" si="19"/>
        <v>0.91625615763546797</v>
      </c>
    </row>
    <row r="228" spans="1:13" x14ac:dyDescent="0.3">
      <c r="A228" s="22">
        <v>204</v>
      </c>
      <c r="B228" s="22">
        <v>194</v>
      </c>
      <c r="C228" s="23">
        <v>0.95099999999999996</v>
      </c>
      <c r="D228" s="22">
        <v>10</v>
      </c>
      <c r="E228" s="24">
        <v>2.0833333333333335E-4</v>
      </c>
      <c r="F228" s="24">
        <v>1.7708333333333332E-3</v>
      </c>
      <c r="G228" s="24">
        <v>1.4120370370370369E-3</v>
      </c>
      <c r="H228" s="24">
        <v>0.82410000000000005</v>
      </c>
      <c r="I228" s="18">
        <f t="shared" si="16"/>
        <v>9.5099999999999994E-3</v>
      </c>
      <c r="J228" s="18">
        <f t="shared" si="20"/>
        <v>8.2410000000000001E-3</v>
      </c>
      <c r="K228" s="19">
        <f t="shared" si="17"/>
        <v>10</v>
      </c>
      <c r="L228" s="18">
        <f t="shared" si="18"/>
        <v>4.9019607843137254E-2</v>
      </c>
      <c r="M228" s="18">
        <f t="shared" si="19"/>
        <v>0.9509803921568627</v>
      </c>
    </row>
    <row r="229" spans="1:13" x14ac:dyDescent="0.3">
      <c r="A229" s="22">
        <v>126</v>
      </c>
      <c r="B229" s="22">
        <v>121</v>
      </c>
      <c r="C229" s="23">
        <v>0.96030000000000004</v>
      </c>
      <c r="D229" s="22">
        <v>5</v>
      </c>
      <c r="E229" s="24">
        <v>2.4305555555555555E-4</v>
      </c>
      <c r="F229" s="24">
        <v>1.7592592592592592E-3</v>
      </c>
      <c r="G229" s="24">
        <v>1.2847222222222223E-3</v>
      </c>
      <c r="H229" s="24">
        <v>0.70630000000000004</v>
      </c>
      <c r="I229" s="18">
        <f t="shared" si="16"/>
        <v>9.6030000000000004E-3</v>
      </c>
      <c r="J229" s="18">
        <f t="shared" si="20"/>
        <v>7.0630000000000007E-3</v>
      </c>
      <c r="K229" s="19">
        <f t="shared" si="17"/>
        <v>5</v>
      </c>
      <c r="L229" s="18">
        <f t="shared" si="18"/>
        <v>3.968253968253968E-2</v>
      </c>
      <c r="M229" s="18">
        <f t="shared" si="19"/>
        <v>0.96031746031746035</v>
      </c>
    </row>
    <row r="230" spans="1:13" x14ac:dyDescent="0.3">
      <c r="A230" s="22">
        <v>36</v>
      </c>
      <c r="B230" s="22">
        <v>36</v>
      </c>
      <c r="C230" s="23">
        <v>1</v>
      </c>
      <c r="D230" s="22">
        <v>0</v>
      </c>
      <c r="E230" s="24">
        <v>1.9675925925925926E-4</v>
      </c>
      <c r="F230" s="24">
        <v>1.4699074074074074E-3</v>
      </c>
      <c r="G230" s="24">
        <v>1.0532407407407407E-3</v>
      </c>
      <c r="H230" s="24">
        <v>0.77780000000000005</v>
      </c>
      <c r="I230" s="18">
        <f t="shared" si="16"/>
        <v>0.01</v>
      </c>
      <c r="J230" s="18">
        <f t="shared" si="20"/>
        <v>7.7780000000000002E-3</v>
      </c>
      <c r="K230" s="19">
        <f t="shared" si="17"/>
        <v>0</v>
      </c>
      <c r="L230" s="18">
        <f t="shared" si="18"/>
        <v>0</v>
      </c>
      <c r="M230" s="18">
        <f t="shared" si="19"/>
        <v>1</v>
      </c>
    </row>
    <row r="231" spans="1:13" x14ac:dyDescent="0.3">
      <c r="A231" s="22">
        <v>180</v>
      </c>
      <c r="B231" s="22">
        <v>165</v>
      </c>
      <c r="C231" s="23">
        <v>0.91669999999999996</v>
      </c>
      <c r="D231" s="22">
        <v>15</v>
      </c>
      <c r="E231" s="24">
        <v>3.1250000000000001E-4</v>
      </c>
      <c r="F231" s="24">
        <v>1.736111111111111E-3</v>
      </c>
      <c r="G231" s="24">
        <v>1.6087962962962963E-3</v>
      </c>
      <c r="H231" s="24">
        <v>0.66090000000000004</v>
      </c>
      <c r="I231" s="18">
        <f t="shared" si="16"/>
        <v>9.1669999999999998E-3</v>
      </c>
      <c r="J231" s="18">
        <f t="shared" si="20"/>
        <v>6.6090000000000003E-3</v>
      </c>
      <c r="K231" s="19">
        <f t="shared" si="17"/>
        <v>15</v>
      </c>
      <c r="L231" s="18">
        <f t="shared" si="18"/>
        <v>8.3333333333333329E-2</v>
      </c>
      <c r="M231" s="18">
        <f t="shared" si="19"/>
        <v>0.91666666666666663</v>
      </c>
    </row>
    <row r="232" spans="1:13" x14ac:dyDescent="0.3">
      <c r="A232" s="22">
        <v>169</v>
      </c>
      <c r="B232" s="22">
        <v>162</v>
      </c>
      <c r="C232" s="23">
        <v>0.95860000000000001</v>
      </c>
      <c r="D232" s="22">
        <v>7</v>
      </c>
      <c r="E232" s="24">
        <v>2.3148148148148149E-4</v>
      </c>
      <c r="F232" s="24">
        <v>1.6782407407407408E-3</v>
      </c>
      <c r="G232" s="24">
        <v>1.3078703703703703E-3</v>
      </c>
      <c r="H232" s="24">
        <v>0.74560000000000004</v>
      </c>
      <c r="I232" s="18">
        <f t="shared" si="16"/>
        <v>9.5860000000000008E-3</v>
      </c>
      <c r="J232" s="18">
        <f t="shared" si="20"/>
        <v>7.4560000000000008E-3</v>
      </c>
      <c r="K232" s="19">
        <f t="shared" si="17"/>
        <v>7</v>
      </c>
      <c r="L232" s="18">
        <f t="shared" si="18"/>
        <v>4.142011834319527E-2</v>
      </c>
      <c r="M232" s="18">
        <f t="shared" si="19"/>
        <v>0.95857988165680474</v>
      </c>
    </row>
    <row r="233" spans="1:13" x14ac:dyDescent="0.3">
      <c r="A233" s="22">
        <v>155</v>
      </c>
      <c r="B233" s="22">
        <v>151</v>
      </c>
      <c r="C233" s="23">
        <v>0.97419999999999995</v>
      </c>
      <c r="D233" s="22">
        <v>4</v>
      </c>
      <c r="E233" s="24">
        <v>2.4305555555555555E-4</v>
      </c>
      <c r="F233" s="24">
        <v>1.6203703703703703E-3</v>
      </c>
      <c r="G233" s="24">
        <v>1.9097222222222222E-3</v>
      </c>
      <c r="H233" s="24">
        <v>0.7097</v>
      </c>
      <c r="I233" s="18">
        <f t="shared" si="16"/>
        <v>9.7419999999999989E-3</v>
      </c>
      <c r="J233" s="18">
        <f t="shared" si="20"/>
        <v>7.097E-3</v>
      </c>
      <c r="K233" s="19">
        <f t="shared" si="17"/>
        <v>4</v>
      </c>
      <c r="L233" s="18">
        <f t="shared" si="18"/>
        <v>2.5806451612903226E-2</v>
      </c>
      <c r="M233" s="18">
        <f t="shared" si="19"/>
        <v>0.97419354838709682</v>
      </c>
    </row>
    <row r="234" spans="1:13" x14ac:dyDescent="0.3">
      <c r="A234" s="22">
        <v>169</v>
      </c>
      <c r="B234" s="22">
        <v>137</v>
      </c>
      <c r="C234" s="23">
        <v>0.81069999999999998</v>
      </c>
      <c r="D234" s="22">
        <v>32</v>
      </c>
      <c r="E234" s="24">
        <v>4.3981481481481481E-4</v>
      </c>
      <c r="F234" s="24">
        <v>1.6666666666666668E-3</v>
      </c>
      <c r="G234" s="24">
        <v>3.8194444444444443E-3</v>
      </c>
      <c r="H234" s="24">
        <v>0.40360000000000001</v>
      </c>
      <c r="I234" s="18">
        <f t="shared" si="16"/>
        <v>8.1069999999999996E-3</v>
      </c>
      <c r="J234" s="18">
        <f t="shared" si="20"/>
        <v>4.0360000000000005E-3</v>
      </c>
      <c r="K234" s="19">
        <f t="shared" si="17"/>
        <v>32</v>
      </c>
      <c r="L234" s="18">
        <f t="shared" si="18"/>
        <v>0.1893491124260355</v>
      </c>
      <c r="M234" s="18">
        <f t="shared" si="19"/>
        <v>0.81065088757396453</v>
      </c>
    </row>
    <row r="235" spans="1:13" x14ac:dyDescent="0.3">
      <c r="A235" s="22">
        <v>61</v>
      </c>
      <c r="B235" s="22">
        <v>45</v>
      </c>
      <c r="C235" s="23">
        <v>0.73770000000000002</v>
      </c>
      <c r="D235" s="22">
        <v>16</v>
      </c>
      <c r="E235" s="24">
        <v>3.7037037037037035E-4</v>
      </c>
      <c r="F235" s="24">
        <v>1.9560185185185184E-3</v>
      </c>
      <c r="G235" s="24">
        <v>3.8194444444444443E-3</v>
      </c>
      <c r="H235" s="24">
        <v>0.4098</v>
      </c>
      <c r="I235" s="18">
        <f t="shared" si="16"/>
        <v>7.3769999999999999E-3</v>
      </c>
      <c r="J235" s="18">
        <f t="shared" si="20"/>
        <v>4.0980000000000001E-3</v>
      </c>
      <c r="K235" s="19">
        <f t="shared" si="17"/>
        <v>16</v>
      </c>
      <c r="L235" s="18">
        <f t="shared" si="18"/>
        <v>0.26229508196721313</v>
      </c>
      <c r="M235" s="18">
        <f t="shared" si="19"/>
        <v>0.73770491803278693</v>
      </c>
    </row>
    <row r="236" spans="1:13" x14ac:dyDescent="0.3">
      <c r="A236" s="22">
        <v>167</v>
      </c>
      <c r="B236" s="22">
        <v>136</v>
      </c>
      <c r="C236" s="23">
        <v>0.81440000000000001</v>
      </c>
      <c r="D236" s="22">
        <v>31</v>
      </c>
      <c r="E236" s="24">
        <v>4.861111111111111E-4</v>
      </c>
      <c r="F236" s="24">
        <v>1.8055555555555555E-3</v>
      </c>
      <c r="G236" s="24">
        <v>3.7962962962962963E-3</v>
      </c>
      <c r="H236" s="24">
        <v>0.35980000000000001</v>
      </c>
      <c r="I236" s="18">
        <f t="shared" si="16"/>
        <v>8.1440000000000002E-3</v>
      </c>
      <c r="J236" s="18">
        <f t="shared" si="20"/>
        <v>3.5980000000000001E-3</v>
      </c>
      <c r="K236" s="19">
        <f t="shared" si="17"/>
        <v>31</v>
      </c>
      <c r="L236" s="18">
        <f t="shared" si="18"/>
        <v>0.18562874251497005</v>
      </c>
      <c r="M236" s="18">
        <f t="shared" si="19"/>
        <v>0.81437125748502992</v>
      </c>
    </row>
    <row r="237" spans="1:13" x14ac:dyDescent="0.3">
      <c r="A237" s="22">
        <v>32</v>
      </c>
      <c r="B237" s="22">
        <v>27</v>
      </c>
      <c r="C237" s="23">
        <v>0.84379999999999999</v>
      </c>
      <c r="D237" s="22">
        <v>5</v>
      </c>
      <c r="E237" s="24">
        <v>4.0509259259259258E-4</v>
      </c>
      <c r="F237" s="24">
        <v>1.6435185185185185E-3</v>
      </c>
      <c r="G237" s="24">
        <v>2.1990740740740742E-3</v>
      </c>
      <c r="H237" s="24">
        <v>0.53129999999999999</v>
      </c>
      <c r="I237" s="18">
        <f t="shared" si="16"/>
        <v>8.4379999999999993E-3</v>
      </c>
      <c r="J237" s="18">
        <f t="shared" si="20"/>
        <v>5.313E-3</v>
      </c>
      <c r="K237" s="19">
        <f t="shared" si="17"/>
        <v>5</v>
      </c>
      <c r="L237" s="18">
        <f t="shared" si="18"/>
        <v>0.15625</v>
      </c>
      <c r="M237" s="18">
        <f t="shared" si="19"/>
        <v>0.84375</v>
      </c>
    </row>
    <row r="238" spans="1:13" x14ac:dyDescent="0.3">
      <c r="A238" s="22">
        <v>229</v>
      </c>
      <c r="B238" s="22">
        <v>148</v>
      </c>
      <c r="C238" s="23">
        <v>0.64629999999999999</v>
      </c>
      <c r="D238" s="22">
        <v>81</v>
      </c>
      <c r="E238" s="24">
        <v>4.1666666666666669E-4</v>
      </c>
      <c r="F238" s="24">
        <v>1.9444444444444444E-3</v>
      </c>
      <c r="G238" s="24">
        <v>7.3958333333333333E-3</v>
      </c>
      <c r="H238" s="24">
        <v>0.43180000000000002</v>
      </c>
      <c r="I238" s="18">
        <f t="shared" si="16"/>
        <v>6.463E-3</v>
      </c>
      <c r="J238" s="18">
        <f t="shared" si="20"/>
        <v>4.3179999999999998E-3</v>
      </c>
      <c r="K238" s="19">
        <f t="shared" si="17"/>
        <v>81</v>
      </c>
      <c r="L238" s="18">
        <f t="shared" si="18"/>
        <v>0.35371179039301309</v>
      </c>
      <c r="M238" s="18">
        <f t="shared" si="19"/>
        <v>0.64628820960698685</v>
      </c>
    </row>
    <row r="239" spans="1:13" x14ac:dyDescent="0.3">
      <c r="A239" s="22">
        <v>208</v>
      </c>
      <c r="B239" s="22">
        <v>204</v>
      </c>
      <c r="C239" s="23">
        <v>0.98080000000000001</v>
      </c>
      <c r="D239" s="22">
        <v>4</v>
      </c>
      <c r="E239" s="24">
        <v>2.199074074074074E-4</v>
      </c>
      <c r="F239" s="24">
        <v>2.1527777777777778E-3</v>
      </c>
      <c r="G239" s="24">
        <v>3.6342592592592594E-3</v>
      </c>
      <c r="H239" s="24">
        <v>0.77669999999999995</v>
      </c>
      <c r="I239" s="18">
        <f t="shared" si="16"/>
        <v>9.8080000000000007E-3</v>
      </c>
      <c r="J239" s="18">
        <f t="shared" si="20"/>
        <v>7.7669999999999996E-3</v>
      </c>
      <c r="K239" s="19">
        <f t="shared" si="17"/>
        <v>4</v>
      </c>
      <c r="L239" s="18">
        <f t="shared" si="18"/>
        <v>1.9230769230769232E-2</v>
      </c>
      <c r="M239" s="18">
        <f t="shared" si="19"/>
        <v>0.98076923076923073</v>
      </c>
    </row>
    <row r="240" spans="1:13" x14ac:dyDescent="0.3">
      <c r="A240" s="22">
        <v>175</v>
      </c>
      <c r="B240" s="22">
        <v>168</v>
      </c>
      <c r="C240" s="23">
        <v>0.96</v>
      </c>
      <c r="D240" s="22">
        <v>7</v>
      </c>
      <c r="E240" s="24">
        <v>2.8935185185185184E-4</v>
      </c>
      <c r="F240" s="24">
        <v>1.9791666666666668E-3</v>
      </c>
      <c r="G240" s="24">
        <v>2.5925925925925925E-3</v>
      </c>
      <c r="H240" s="24">
        <v>0.6512</v>
      </c>
      <c r="I240" s="18">
        <f t="shared" si="16"/>
        <v>9.5999999999999992E-3</v>
      </c>
      <c r="J240" s="18">
        <f t="shared" si="20"/>
        <v>6.5120000000000004E-3</v>
      </c>
      <c r="K240" s="19">
        <f t="shared" si="17"/>
        <v>7</v>
      </c>
      <c r="L240" s="18">
        <f t="shared" si="18"/>
        <v>0.04</v>
      </c>
      <c r="M240" s="18">
        <f t="shared" si="19"/>
        <v>0.96</v>
      </c>
    </row>
    <row r="241" spans="1:13" x14ac:dyDescent="0.3">
      <c r="A241" s="22">
        <v>177</v>
      </c>
      <c r="B241" s="22">
        <v>167</v>
      </c>
      <c r="C241" s="23">
        <v>0.94350000000000001</v>
      </c>
      <c r="D241" s="22">
        <v>10</v>
      </c>
      <c r="E241" s="24">
        <v>2.5462962962962961E-4</v>
      </c>
      <c r="F241" s="24">
        <v>1.8634259259259259E-3</v>
      </c>
      <c r="G241" s="24">
        <v>3.0555555555555557E-3</v>
      </c>
      <c r="H241" s="24">
        <v>0.68389999999999995</v>
      </c>
      <c r="I241" s="18">
        <f t="shared" si="16"/>
        <v>9.4350000000000007E-3</v>
      </c>
      <c r="J241" s="18">
        <f t="shared" si="20"/>
        <v>6.8389999999999996E-3</v>
      </c>
      <c r="K241" s="19">
        <f t="shared" si="17"/>
        <v>10</v>
      </c>
      <c r="L241" s="18">
        <f t="shared" si="18"/>
        <v>5.6497175141242938E-2</v>
      </c>
      <c r="M241" s="18">
        <f t="shared" si="19"/>
        <v>0.94350282485875703</v>
      </c>
    </row>
    <row r="242" spans="1:13" x14ac:dyDescent="0.3">
      <c r="A242" s="22">
        <v>822</v>
      </c>
      <c r="B242" s="22">
        <v>767</v>
      </c>
      <c r="C242" s="23">
        <v>0.93310000000000004</v>
      </c>
      <c r="D242" s="22">
        <v>55</v>
      </c>
      <c r="E242" s="24">
        <v>2.7777777777777778E-4</v>
      </c>
      <c r="F242" s="24">
        <v>9.837962962962962E-4</v>
      </c>
      <c r="G242" s="24">
        <v>3.1828703703703702E-3</v>
      </c>
      <c r="H242" s="24">
        <v>0.64400000000000002</v>
      </c>
      <c r="I242" s="18">
        <f t="shared" si="16"/>
        <v>9.3310000000000008E-3</v>
      </c>
      <c r="J242" s="18">
        <f t="shared" si="20"/>
        <v>6.4400000000000004E-3</v>
      </c>
      <c r="K242" s="19">
        <f t="shared" si="17"/>
        <v>55</v>
      </c>
      <c r="L242" s="18">
        <f t="shared" si="18"/>
        <v>6.6909975669099758E-2</v>
      </c>
      <c r="M242" s="18">
        <f t="shared" si="19"/>
        <v>0.93309002433090027</v>
      </c>
    </row>
    <row r="243" spans="1:13" x14ac:dyDescent="0.3">
      <c r="A243" s="22">
        <v>87</v>
      </c>
      <c r="B243" s="22">
        <v>85</v>
      </c>
      <c r="C243" s="23">
        <v>0.97699999999999998</v>
      </c>
      <c r="D243" s="22">
        <v>2</v>
      </c>
      <c r="E243" s="24">
        <v>2.6620370370370372E-4</v>
      </c>
      <c r="F243" s="24">
        <v>1.6782407407407408E-3</v>
      </c>
      <c r="G243" s="24">
        <v>1.5856481481481481E-3</v>
      </c>
      <c r="H243" s="24">
        <v>0.67820000000000003</v>
      </c>
      <c r="I243" s="18">
        <f t="shared" si="16"/>
        <v>9.7699999999999992E-3</v>
      </c>
      <c r="J243" s="18">
        <f t="shared" si="20"/>
        <v>6.7819999999999998E-3</v>
      </c>
      <c r="K243" s="19">
        <f t="shared" si="17"/>
        <v>2</v>
      </c>
      <c r="L243" s="18">
        <f t="shared" si="18"/>
        <v>2.2988505747126436E-2</v>
      </c>
      <c r="M243" s="18">
        <f t="shared" si="19"/>
        <v>0.97701149425287359</v>
      </c>
    </row>
    <row r="244" spans="1:13" x14ac:dyDescent="0.3">
      <c r="A244" s="22">
        <v>41</v>
      </c>
      <c r="B244" s="22">
        <v>39</v>
      </c>
      <c r="C244" s="23">
        <v>0.95120000000000005</v>
      </c>
      <c r="D244" s="22">
        <v>2</v>
      </c>
      <c r="E244" s="24">
        <v>1.7361111111111112E-4</v>
      </c>
      <c r="F244" s="24">
        <v>1.8749999999999999E-3</v>
      </c>
      <c r="G244" s="24">
        <v>9.0277777777777774E-4</v>
      </c>
      <c r="H244" s="24">
        <v>0.82499999999999996</v>
      </c>
      <c r="I244" s="18">
        <f t="shared" si="16"/>
        <v>9.5119999999999996E-3</v>
      </c>
      <c r="J244" s="18">
        <f t="shared" si="20"/>
        <v>8.2500000000000004E-3</v>
      </c>
      <c r="K244" s="19">
        <f t="shared" si="17"/>
        <v>2</v>
      </c>
      <c r="L244" s="18">
        <f t="shared" si="18"/>
        <v>4.878048780487805E-2</v>
      </c>
      <c r="M244" s="18">
        <f t="shared" si="19"/>
        <v>0.95121951219512191</v>
      </c>
    </row>
    <row r="245" spans="1:13" x14ac:dyDescent="0.3">
      <c r="A245" s="22">
        <v>280</v>
      </c>
      <c r="B245" s="22">
        <v>257</v>
      </c>
      <c r="C245" s="23">
        <v>0.91790000000000005</v>
      </c>
      <c r="D245" s="22">
        <v>23</v>
      </c>
      <c r="E245" s="24">
        <v>3.5879629629629629E-4</v>
      </c>
      <c r="F245" s="24">
        <v>1.7708333333333332E-3</v>
      </c>
      <c r="G245" s="24">
        <v>5.4976851851851853E-3</v>
      </c>
      <c r="H245" s="24">
        <v>0.63870000000000005</v>
      </c>
      <c r="I245" s="18">
        <f t="shared" si="16"/>
        <v>9.1789999999999997E-3</v>
      </c>
      <c r="J245" s="18">
        <f t="shared" si="20"/>
        <v>6.3870000000000003E-3</v>
      </c>
      <c r="K245" s="19">
        <f t="shared" si="17"/>
        <v>23</v>
      </c>
      <c r="L245" s="18">
        <f t="shared" si="18"/>
        <v>8.2142857142857142E-2</v>
      </c>
      <c r="M245" s="18">
        <f t="shared" si="19"/>
        <v>0.91785714285714282</v>
      </c>
    </row>
    <row r="246" spans="1:13" x14ac:dyDescent="0.3">
      <c r="A246" s="22">
        <v>199</v>
      </c>
      <c r="B246" s="22">
        <v>192</v>
      </c>
      <c r="C246" s="23">
        <v>0.96479999999999999</v>
      </c>
      <c r="D246" s="22">
        <v>7</v>
      </c>
      <c r="E246" s="24">
        <v>2.5462962962962961E-4</v>
      </c>
      <c r="F246" s="24">
        <v>1.9212962962962964E-3</v>
      </c>
      <c r="G246" s="24">
        <v>1.9444444444444444E-3</v>
      </c>
      <c r="H246" s="24">
        <v>0.73870000000000002</v>
      </c>
      <c r="I246" s="18">
        <f t="shared" si="16"/>
        <v>9.6480000000000003E-3</v>
      </c>
      <c r="J246" s="18">
        <f t="shared" si="20"/>
        <v>7.3870000000000003E-3</v>
      </c>
      <c r="K246" s="19">
        <f t="shared" si="17"/>
        <v>7</v>
      </c>
      <c r="L246" s="18">
        <f t="shared" si="18"/>
        <v>3.5175879396984924E-2</v>
      </c>
      <c r="M246" s="18">
        <f t="shared" si="19"/>
        <v>0.96482412060301503</v>
      </c>
    </row>
    <row r="247" spans="1:13" x14ac:dyDescent="0.3">
      <c r="A247" s="22">
        <v>252</v>
      </c>
      <c r="B247" s="22">
        <v>239</v>
      </c>
      <c r="C247" s="23">
        <v>0.94840000000000002</v>
      </c>
      <c r="D247" s="22">
        <v>13</v>
      </c>
      <c r="E247" s="24">
        <v>3.3564814814814812E-4</v>
      </c>
      <c r="F247" s="24">
        <v>1.724537037037037E-3</v>
      </c>
      <c r="G247" s="24">
        <v>2.5000000000000001E-3</v>
      </c>
      <c r="H247" s="24">
        <v>0.6492</v>
      </c>
      <c r="I247" s="18">
        <f t="shared" si="16"/>
        <v>9.4839999999999994E-3</v>
      </c>
      <c r="J247" s="18">
        <f t="shared" si="20"/>
        <v>6.4920000000000004E-3</v>
      </c>
      <c r="K247" s="19">
        <f t="shared" si="17"/>
        <v>13</v>
      </c>
      <c r="L247" s="18">
        <f t="shared" si="18"/>
        <v>5.1587301587301584E-2</v>
      </c>
      <c r="M247" s="18">
        <f t="shared" si="19"/>
        <v>0.94841269841269837</v>
      </c>
    </row>
    <row r="248" spans="1:13" x14ac:dyDescent="0.3">
      <c r="A248" s="22">
        <v>220</v>
      </c>
      <c r="B248" s="22">
        <v>208</v>
      </c>
      <c r="C248" s="23">
        <v>0.94550000000000001</v>
      </c>
      <c r="D248" s="22">
        <v>12</v>
      </c>
      <c r="E248" s="24">
        <v>2.3148148148148149E-4</v>
      </c>
      <c r="F248" s="24">
        <v>1.8055555555555555E-3</v>
      </c>
      <c r="G248" s="24">
        <v>1.9097222222222222E-3</v>
      </c>
      <c r="H248" s="24">
        <v>0.75590000000000002</v>
      </c>
      <c r="I248" s="18">
        <f t="shared" si="16"/>
        <v>9.4549999999999999E-3</v>
      </c>
      <c r="J248" s="18">
        <f t="shared" si="20"/>
        <v>7.5589999999999997E-3</v>
      </c>
      <c r="K248" s="19">
        <f t="shared" si="17"/>
        <v>12</v>
      </c>
      <c r="L248" s="18">
        <f t="shared" si="18"/>
        <v>5.4545454545454543E-2</v>
      </c>
      <c r="M248" s="18">
        <f t="shared" si="19"/>
        <v>0.94545454545454544</v>
      </c>
    </row>
    <row r="249" spans="1:13" x14ac:dyDescent="0.3">
      <c r="A249" s="22">
        <v>206</v>
      </c>
      <c r="B249" s="22">
        <v>193</v>
      </c>
      <c r="C249" s="23">
        <v>0.93689999999999996</v>
      </c>
      <c r="D249" s="22">
        <v>13</v>
      </c>
      <c r="E249" s="24">
        <v>2.7777777777777778E-4</v>
      </c>
      <c r="F249" s="24">
        <v>1.7013888888888888E-3</v>
      </c>
      <c r="G249" s="24">
        <v>2.5115740740740741E-3</v>
      </c>
      <c r="H249" s="24">
        <v>0.75490000000000002</v>
      </c>
      <c r="I249" s="18">
        <f t="shared" si="16"/>
        <v>9.3689999999999989E-3</v>
      </c>
      <c r="J249" s="18">
        <f t="shared" si="20"/>
        <v>7.5490000000000002E-3</v>
      </c>
      <c r="K249" s="19">
        <f t="shared" si="17"/>
        <v>13</v>
      </c>
      <c r="L249" s="18">
        <f t="shared" si="18"/>
        <v>6.3106796116504854E-2</v>
      </c>
      <c r="M249" s="18">
        <f t="shared" si="19"/>
        <v>0.93689320388349517</v>
      </c>
    </row>
    <row r="250" spans="1:13" x14ac:dyDescent="0.3">
      <c r="A250" s="22">
        <v>217</v>
      </c>
      <c r="B250" s="22">
        <v>206</v>
      </c>
      <c r="C250" s="23">
        <v>0.94930000000000003</v>
      </c>
      <c r="D250" s="22">
        <v>11</v>
      </c>
      <c r="E250" s="24">
        <v>2.5462962962962961E-4</v>
      </c>
      <c r="F250" s="24">
        <v>1.6898148148148148E-3</v>
      </c>
      <c r="G250" s="24">
        <v>1.4120370370370369E-3</v>
      </c>
      <c r="H250" s="24">
        <v>0.71030000000000004</v>
      </c>
      <c r="I250" s="18">
        <f t="shared" si="16"/>
        <v>9.4929999999999997E-3</v>
      </c>
      <c r="J250" s="18">
        <f t="shared" si="20"/>
        <v>7.1030000000000008E-3</v>
      </c>
      <c r="K250" s="19">
        <f t="shared" si="17"/>
        <v>11</v>
      </c>
      <c r="L250" s="18">
        <f t="shared" si="18"/>
        <v>5.0691244239631339E-2</v>
      </c>
      <c r="M250" s="18">
        <f t="shared" si="19"/>
        <v>0.94930875576036866</v>
      </c>
    </row>
    <row r="251" spans="1:13" x14ac:dyDescent="0.3">
      <c r="A251" s="22">
        <v>24</v>
      </c>
      <c r="B251" s="22">
        <v>24</v>
      </c>
      <c r="C251" s="23">
        <v>1</v>
      </c>
      <c r="D251" s="22">
        <v>0</v>
      </c>
      <c r="E251" s="24">
        <v>2.199074074074074E-4</v>
      </c>
      <c r="F251" s="24">
        <v>1.9675925925925924E-3</v>
      </c>
      <c r="G251" s="24">
        <v>7.7546296296296293E-4</v>
      </c>
      <c r="H251" s="24">
        <v>0.79169999999999996</v>
      </c>
      <c r="I251" s="18">
        <f t="shared" si="16"/>
        <v>0.01</v>
      </c>
      <c r="J251" s="18">
        <f t="shared" si="20"/>
        <v>7.9170000000000004E-3</v>
      </c>
      <c r="K251" s="19">
        <f t="shared" si="17"/>
        <v>0</v>
      </c>
      <c r="L251" s="18">
        <f t="shared" si="18"/>
        <v>0</v>
      </c>
      <c r="M251" s="18">
        <f t="shared" si="19"/>
        <v>1</v>
      </c>
    </row>
    <row r="252" spans="1:13" x14ac:dyDescent="0.3">
      <c r="A252" s="22">
        <v>248</v>
      </c>
      <c r="B252" s="22">
        <v>238</v>
      </c>
      <c r="C252" s="23">
        <v>0.9597</v>
      </c>
      <c r="D252" s="22">
        <v>10</v>
      </c>
      <c r="E252" s="24">
        <v>1.5046296296296297E-4</v>
      </c>
      <c r="F252" s="24">
        <v>1.7013888888888888E-3</v>
      </c>
      <c r="G252" s="24">
        <v>1.2731481481481483E-3</v>
      </c>
      <c r="H252" s="24">
        <v>0.85250000000000004</v>
      </c>
      <c r="I252" s="18">
        <f t="shared" si="16"/>
        <v>9.5969999999999996E-3</v>
      </c>
      <c r="J252" s="18">
        <f t="shared" si="20"/>
        <v>8.5249999999999996E-3</v>
      </c>
      <c r="K252" s="19">
        <f t="shared" si="17"/>
        <v>10</v>
      </c>
      <c r="L252" s="18">
        <f t="shared" si="18"/>
        <v>4.0322580645161289E-2</v>
      </c>
      <c r="M252" s="18">
        <f t="shared" si="19"/>
        <v>0.95967741935483875</v>
      </c>
    </row>
    <row r="253" spans="1:13" x14ac:dyDescent="0.3">
      <c r="A253" s="22">
        <v>222</v>
      </c>
      <c r="B253" s="22">
        <v>212</v>
      </c>
      <c r="C253" s="23">
        <v>0.95499999999999996</v>
      </c>
      <c r="D253" s="22">
        <v>10</v>
      </c>
      <c r="E253" s="24">
        <v>2.3148148148148149E-4</v>
      </c>
      <c r="F253" s="24">
        <v>1.6782407407407408E-3</v>
      </c>
      <c r="G253" s="24">
        <v>2.5578703703703705E-3</v>
      </c>
      <c r="H253" s="24">
        <v>0.77729999999999999</v>
      </c>
      <c r="I253" s="18">
        <f t="shared" si="16"/>
        <v>9.5499999999999995E-3</v>
      </c>
      <c r="J253" s="18">
        <f t="shared" si="20"/>
        <v>7.7729999999999995E-3</v>
      </c>
      <c r="K253" s="19">
        <f t="shared" si="17"/>
        <v>10</v>
      </c>
      <c r="L253" s="18">
        <f t="shared" si="18"/>
        <v>4.5045045045045043E-2</v>
      </c>
      <c r="M253" s="18">
        <f t="shared" si="19"/>
        <v>0.95495495495495497</v>
      </c>
    </row>
    <row r="254" spans="1:13" x14ac:dyDescent="0.3">
      <c r="A254" s="22">
        <v>190</v>
      </c>
      <c r="B254" s="22">
        <v>178</v>
      </c>
      <c r="C254" s="23">
        <v>0.93679999999999997</v>
      </c>
      <c r="D254" s="22">
        <v>12</v>
      </c>
      <c r="E254" s="24">
        <v>3.7037037037037035E-4</v>
      </c>
      <c r="F254" s="24">
        <v>1.7013888888888888E-3</v>
      </c>
      <c r="G254" s="24">
        <v>1.9097222222222222E-3</v>
      </c>
      <c r="H254" s="24">
        <v>0.55079999999999996</v>
      </c>
      <c r="I254" s="18">
        <f t="shared" si="16"/>
        <v>9.3679999999999996E-3</v>
      </c>
      <c r="J254" s="18">
        <f t="shared" si="20"/>
        <v>5.5079999999999999E-3</v>
      </c>
      <c r="K254" s="19">
        <f t="shared" si="17"/>
        <v>12</v>
      </c>
      <c r="L254" s="18">
        <f t="shared" si="18"/>
        <v>6.3157894736842107E-2</v>
      </c>
      <c r="M254" s="18">
        <f t="shared" si="19"/>
        <v>0.93684210526315792</v>
      </c>
    </row>
    <row r="255" spans="1:13" x14ac:dyDescent="0.3">
      <c r="A255" s="22">
        <v>238</v>
      </c>
      <c r="B255" s="22">
        <v>231</v>
      </c>
      <c r="C255" s="23">
        <v>0.97060000000000002</v>
      </c>
      <c r="D255" s="22">
        <v>7</v>
      </c>
      <c r="E255" s="24">
        <v>2.3148148148148149E-4</v>
      </c>
      <c r="F255" s="24">
        <v>1.7013888888888888E-3</v>
      </c>
      <c r="G255" s="24">
        <v>1.4236111111111112E-3</v>
      </c>
      <c r="H255" s="24">
        <v>0.79659999999999997</v>
      </c>
      <c r="I255" s="18">
        <f t="shared" si="16"/>
        <v>9.7059999999999994E-3</v>
      </c>
      <c r="J255" s="18">
        <f t="shared" si="20"/>
        <v>7.9659999999999991E-3</v>
      </c>
      <c r="K255" s="19">
        <f t="shared" si="17"/>
        <v>7</v>
      </c>
      <c r="L255" s="18">
        <f t="shared" si="18"/>
        <v>2.9411764705882353E-2</v>
      </c>
      <c r="M255" s="18">
        <f t="shared" si="19"/>
        <v>0.97058823529411764</v>
      </c>
    </row>
    <row r="256" spans="1:13" x14ac:dyDescent="0.3">
      <c r="A256" s="22">
        <v>214</v>
      </c>
      <c r="B256" s="22">
        <v>205</v>
      </c>
      <c r="C256" s="23">
        <v>0.95789999999999997</v>
      </c>
      <c r="D256" s="22">
        <v>9</v>
      </c>
      <c r="E256" s="24">
        <v>2.3148148148148149E-4</v>
      </c>
      <c r="F256" s="24">
        <v>1.7824074074074075E-3</v>
      </c>
      <c r="G256" s="24">
        <v>1.7824074074074075E-3</v>
      </c>
      <c r="H256" s="24">
        <v>0.79049999999999998</v>
      </c>
      <c r="I256" s="18">
        <f t="shared" si="16"/>
        <v>9.578999999999999E-3</v>
      </c>
      <c r="J256" s="18">
        <f t="shared" si="20"/>
        <v>7.9050000000000006E-3</v>
      </c>
      <c r="K256" s="19">
        <f t="shared" si="17"/>
        <v>9</v>
      </c>
      <c r="L256" s="18">
        <f t="shared" si="18"/>
        <v>4.2056074766355138E-2</v>
      </c>
      <c r="M256" s="18">
        <f t="shared" si="19"/>
        <v>0.95794392523364491</v>
      </c>
    </row>
    <row r="257" spans="1:13" x14ac:dyDescent="0.3">
      <c r="A257" s="22">
        <v>186</v>
      </c>
      <c r="B257" s="22">
        <v>176</v>
      </c>
      <c r="C257" s="23">
        <v>0.94620000000000004</v>
      </c>
      <c r="D257" s="22">
        <v>10</v>
      </c>
      <c r="E257" s="24">
        <v>2.6620370370370372E-4</v>
      </c>
      <c r="F257" s="24">
        <v>1.5625000000000001E-3</v>
      </c>
      <c r="G257" s="24">
        <v>3.5069444444444445E-3</v>
      </c>
      <c r="H257" s="24">
        <v>0.70879999999999999</v>
      </c>
      <c r="I257" s="18">
        <f t="shared" si="16"/>
        <v>9.4619999999999999E-3</v>
      </c>
      <c r="J257" s="18">
        <f t="shared" si="20"/>
        <v>7.0879999999999997E-3</v>
      </c>
      <c r="K257" s="19">
        <f t="shared" si="17"/>
        <v>10</v>
      </c>
      <c r="L257" s="18">
        <f t="shared" si="18"/>
        <v>5.3763440860215055E-2</v>
      </c>
      <c r="M257" s="18">
        <f t="shared" si="19"/>
        <v>0.94623655913978499</v>
      </c>
    </row>
    <row r="258" spans="1:13" x14ac:dyDescent="0.3">
      <c r="A258" s="22">
        <v>21</v>
      </c>
      <c r="B258" s="22">
        <v>20</v>
      </c>
      <c r="C258" s="23">
        <v>0.95240000000000002</v>
      </c>
      <c r="D258" s="22">
        <v>1</v>
      </c>
      <c r="E258" s="24">
        <v>1.6203703703703703E-4</v>
      </c>
      <c r="F258" s="24">
        <v>1.6782407407407408E-3</v>
      </c>
      <c r="G258" s="24">
        <v>6.2500000000000001E-4</v>
      </c>
      <c r="H258" s="24">
        <v>0.85</v>
      </c>
      <c r="I258" s="18">
        <f t="shared" si="16"/>
        <v>9.5239999999999995E-3</v>
      </c>
      <c r="J258" s="18">
        <f t="shared" si="20"/>
        <v>8.5000000000000006E-3</v>
      </c>
      <c r="K258" s="19">
        <f t="shared" si="17"/>
        <v>1</v>
      </c>
      <c r="L258" s="18">
        <f t="shared" si="18"/>
        <v>4.7619047619047616E-2</v>
      </c>
      <c r="M258" s="18">
        <f t="shared" si="19"/>
        <v>0.95238095238095233</v>
      </c>
    </row>
    <row r="259" spans="1:13" x14ac:dyDescent="0.3">
      <c r="A259" s="22">
        <v>169</v>
      </c>
      <c r="B259" s="22">
        <v>157</v>
      </c>
      <c r="C259" s="23">
        <v>0.92900000000000005</v>
      </c>
      <c r="D259" s="22">
        <v>12</v>
      </c>
      <c r="E259" s="24">
        <v>2.4305555555555555E-4</v>
      </c>
      <c r="F259" s="24">
        <v>1.724537037037037E-3</v>
      </c>
      <c r="G259" s="24">
        <v>3.1250000000000002E-3</v>
      </c>
      <c r="H259" s="24">
        <v>0.77710000000000001</v>
      </c>
      <c r="I259" s="18">
        <f t="shared" ref="I259:I322" si="21">VALUE(SUBSTITUTE(C259,"%",""))/100</f>
        <v>9.2899999999999996E-3</v>
      </c>
      <c r="J259" s="18">
        <f t="shared" si="20"/>
        <v>7.7710000000000001E-3</v>
      </c>
      <c r="K259" s="19">
        <f t="shared" ref="K259:K322" si="22">A259-B259</f>
        <v>12</v>
      </c>
      <c r="L259" s="18">
        <f t="shared" ref="L259:L322" si="23">D259/A259</f>
        <v>7.1005917159763315E-2</v>
      </c>
      <c r="M259" s="18">
        <f t="shared" ref="M259:M322" si="24">B259/A259</f>
        <v>0.92899408284023666</v>
      </c>
    </row>
    <row r="260" spans="1:13" x14ac:dyDescent="0.3">
      <c r="A260" s="22">
        <v>149</v>
      </c>
      <c r="B260" s="22">
        <v>141</v>
      </c>
      <c r="C260" s="23">
        <v>0.94630000000000003</v>
      </c>
      <c r="D260" s="22">
        <v>8</v>
      </c>
      <c r="E260" s="24">
        <v>1.8518518518518518E-4</v>
      </c>
      <c r="F260" s="24">
        <v>1.8287037037037037E-3</v>
      </c>
      <c r="G260" s="24">
        <v>1.8171296296296297E-3</v>
      </c>
      <c r="H260" s="24">
        <v>0.79049999999999998</v>
      </c>
      <c r="I260" s="18">
        <f t="shared" si="21"/>
        <v>9.4630000000000009E-3</v>
      </c>
      <c r="J260" s="18">
        <f t="shared" si="20"/>
        <v>7.9050000000000006E-3</v>
      </c>
      <c r="K260" s="19">
        <f t="shared" si="22"/>
        <v>8</v>
      </c>
      <c r="L260" s="18">
        <f t="shared" si="23"/>
        <v>5.3691275167785234E-2</v>
      </c>
      <c r="M260" s="18">
        <f t="shared" si="24"/>
        <v>0.94630872483221473</v>
      </c>
    </row>
    <row r="261" spans="1:13" x14ac:dyDescent="0.3">
      <c r="A261" s="22">
        <v>171</v>
      </c>
      <c r="B261" s="22">
        <v>164</v>
      </c>
      <c r="C261" s="23">
        <v>0.95909999999999995</v>
      </c>
      <c r="D261" s="22">
        <v>7</v>
      </c>
      <c r="E261" s="24">
        <v>2.199074074074074E-4</v>
      </c>
      <c r="F261" s="24">
        <v>1.6435185185185185E-3</v>
      </c>
      <c r="G261" s="24">
        <v>2.650462962962963E-3</v>
      </c>
      <c r="H261" s="24">
        <v>0.77190000000000003</v>
      </c>
      <c r="I261" s="18">
        <f t="shared" si="21"/>
        <v>9.5909999999999988E-3</v>
      </c>
      <c r="J261" s="18">
        <f t="shared" si="20"/>
        <v>7.7190000000000002E-3</v>
      </c>
      <c r="K261" s="19">
        <f t="shared" si="22"/>
        <v>7</v>
      </c>
      <c r="L261" s="18">
        <f t="shared" si="23"/>
        <v>4.0935672514619881E-2</v>
      </c>
      <c r="M261" s="18">
        <f t="shared" si="24"/>
        <v>0.95906432748538006</v>
      </c>
    </row>
    <row r="262" spans="1:13" x14ac:dyDescent="0.3">
      <c r="A262" s="22">
        <v>127</v>
      </c>
      <c r="B262" s="22">
        <v>122</v>
      </c>
      <c r="C262" s="23">
        <v>0.96060000000000001</v>
      </c>
      <c r="D262" s="22">
        <v>5</v>
      </c>
      <c r="E262" s="24">
        <v>1.5046296296296297E-4</v>
      </c>
      <c r="F262" s="24">
        <v>1.6435185185185185E-3</v>
      </c>
      <c r="G262" s="24">
        <v>9.837962962962962E-4</v>
      </c>
      <c r="H262" s="24">
        <v>0.878</v>
      </c>
      <c r="I262" s="18">
        <f t="shared" si="21"/>
        <v>9.606E-3</v>
      </c>
      <c r="J262" s="18">
        <f t="shared" ref="J262:J325" si="25">VALUE(SUBSTITUTE(H262,"%",""))/100</f>
        <v>8.7799999999999996E-3</v>
      </c>
      <c r="K262" s="19">
        <f t="shared" si="22"/>
        <v>5</v>
      </c>
      <c r="L262" s="18">
        <f t="shared" si="23"/>
        <v>3.937007874015748E-2</v>
      </c>
      <c r="M262" s="18">
        <f t="shared" si="24"/>
        <v>0.96062992125984248</v>
      </c>
    </row>
    <row r="263" spans="1:13" x14ac:dyDescent="0.3">
      <c r="A263" s="22">
        <v>21</v>
      </c>
      <c r="B263" s="22">
        <v>21</v>
      </c>
      <c r="C263" s="23">
        <v>1</v>
      </c>
      <c r="D263" s="22">
        <v>0</v>
      </c>
      <c r="E263" s="24">
        <v>9.2592592592592588E-5</v>
      </c>
      <c r="F263" s="24">
        <v>2.1180555555555558E-3</v>
      </c>
      <c r="G263" s="24">
        <v>6.7129629629629625E-4</v>
      </c>
      <c r="H263" s="24">
        <v>0.90480000000000005</v>
      </c>
      <c r="I263" s="18">
        <f t="shared" si="21"/>
        <v>0.01</v>
      </c>
      <c r="J263" s="18">
        <f t="shared" si="25"/>
        <v>9.0480000000000005E-3</v>
      </c>
      <c r="K263" s="19">
        <f t="shared" si="22"/>
        <v>0</v>
      </c>
      <c r="L263" s="18">
        <f t="shared" si="23"/>
        <v>0</v>
      </c>
      <c r="M263" s="18">
        <f t="shared" si="24"/>
        <v>1</v>
      </c>
    </row>
    <row r="264" spans="1:13" x14ac:dyDescent="0.3">
      <c r="A264" s="22">
        <v>5</v>
      </c>
      <c r="B264" s="22">
        <v>5</v>
      </c>
      <c r="C264" s="23">
        <v>1</v>
      </c>
      <c r="D264" s="22">
        <v>0</v>
      </c>
      <c r="E264" s="24">
        <v>1.6203703703703703E-4</v>
      </c>
      <c r="F264" s="24">
        <v>1.8171296296296297E-3</v>
      </c>
      <c r="G264" s="24">
        <v>6.8287037037037036E-4</v>
      </c>
      <c r="H264" s="24">
        <v>0.8</v>
      </c>
      <c r="I264" s="18">
        <f t="shared" si="21"/>
        <v>0.01</v>
      </c>
      <c r="J264" s="18">
        <f t="shared" si="25"/>
        <v>8.0000000000000002E-3</v>
      </c>
      <c r="K264" s="19">
        <f t="shared" si="22"/>
        <v>0</v>
      </c>
      <c r="L264" s="18">
        <f t="shared" si="23"/>
        <v>0</v>
      </c>
      <c r="M264" s="18">
        <f t="shared" si="24"/>
        <v>1</v>
      </c>
    </row>
    <row r="265" spans="1:13" x14ac:dyDescent="0.3">
      <c r="A265" s="22">
        <v>33</v>
      </c>
      <c r="B265" s="22">
        <v>32</v>
      </c>
      <c r="C265" s="23">
        <v>0.96970000000000001</v>
      </c>
      <c r="D265" s="22">
        <v>1</v>
      </c>
      <c r="E265" s="24">
        <v>3.0092592592592595E-4</v>
      </c>
      <c r="F265" s="24">
        <v>1.4351851851851852E-3</v>
      </c>
      <c r="G265" s="24">
        <v>1.2152777777777778E-3</v>
      </c>
      <c r="H265" s="24">
        <v>0.66669999999999996</v>
      </c>
      <c r="I265" s="18">
        <f t="shared" si="21"/>
        <v>9.6970000000000008E-3</v>
      </c>
      <c r="J265" s="18">
        <f t="shared" si="25"/>
        <v>6.6669999999999993E-3</v>
      </c>
      <c r="K265" s="19">
        <f t="shared" si="22"/>
        <v>1</v>
      </c>
      <c r="L265" s="18">
        <f t="shared" si="23"/>
        <v>3.0303030303030304E-2</v>
      </c>
      <c r="M265" s="18">
        <f t="shared" si="24"/>
        <v>0.96969696969696972</v>
      </c>
    </row>
    <row r="266" spans="1:13" x14ac:dyDescent="0.3">
      <c r="A266" s="22">
        <v>145</v>
      </c>
      <c r="B266" s="22">
        <v>139</v>
      </c>
      <c r="C266" s="23">
        <v>0.95860000000000001</v>
      </c>
      <c r="D266" s="22">
        <v>6</v>
      </c>
      <c r="E266" s="24">
        <v>2.3148148148148149E-4</v>
      </c>
      <c r="F266" s="24">
        <v>1.712962962962963E-3</v>
      </c>
      <c r="G266" s="24">
        <v>2.5578703703703705E-3</v>
      </c>
      <c r="H266" s="24">
        <v>0.79020000000000001</v>
      </c>
      <c r="I266" s="18">
        <f t="shared" si="21"/>
        <v>9.5860000000000008E-3</v>
      </c>
      <c r="J266" s="18">
        <f t="shared" si="25"/>
        <v>7.9019999999999993E-3</v>
      </c>
      <c r="K266" s="19">
        <f t="shared" si="22"/>
        <v>6</v>
      </c>
      <c r="L266" s="18">
        <f t="shared" si="23"/>
        <v>4.1379310344827586E-2</v>
      </c>
      <c r="M266" s="18">
        <f t="shared" si="24"/>
        <v>0.95862068965517244</v>
      </c>
    </row>
    <row r="267" spans="1:13" x14ac:dyDescent="0.3">
      <c r="A267" s="22">
        <v>129</v>
      </c>
      <c r="B267" s="22">
        <v>127</v>
      </c>
      <c r="C267" s="23">
        <v>0.98450000000000004</v>
      </c>
      <c r="D267" s="22">
        <v>2</v>
      </c>
      <c r="E267" s="24">
        <v>2.199074074074074E-4</v>
      </c>
      <c r="F267" s="24">
        <v>1.5393518518518519E-3</v>
      </c>
      <c r="G267" s="24">
        <v>1.261574074074074E-3</v>
      </c>
      <c r="H267" s="24">
        <v>0.75590000000000002</v>
      </c>
      <c r="I267" s="18">
        <f t="shared" si="21"/>
        <v>9.8449999999999996E-3</v>
      </c>
      <c r="J267" s="18">
        <f t="shared" si="25"/>
        <v>7.5589999999999997E-3</v>
      </c>
      <c r="K267" s="19">
        <f t="shared" si="22"/>
        <v>2</v>
      </c>
      <c r="L267" s="18">
        <f t="shared" si="23"/>
        <v>1.5503875968992248E-2</v>
      </c>
      <c r="M267" s="18">
        <f t="shared" si="24"/>
        <v>0.98449612403100772</v>
      </c>
    </row>
    <row r="268" spans="1:13" x14ac:dyDescent="0.3">
      <c r="A268" s="22">
        <v>194</v>
      </c>
      <c r="B268" s="22">
        <v>178</v>
      </c>
      <c r="C268" s="23">
        <v>0.91749999999999998</v>
      </c>
      <c r="D268" s="22">
        <v>16</v>
      </c>
      <c r="E268" s="24">
        <v>3.0092592592592595E-4</v>
      </c>
      <c r="F268" s="24">
        <v>1.8055555555555555E-3</v>
      </c>
      <c r="G268" s="24">
        <v>3.7037037037037038E-3</v>
      </c>
      <c r="H268" s="24">
        <v>0.67190000000000005</v>
      </c>
      <c r="I268" s="18">
        <f t="shared" si="21"/>
        <v>9.1749999999999991E-3</v>
      </c>
      <c r="J268" s="18">
        <f t="shared" si="25"/>
        <v>6.7190000000000001E-3</v>
      </c>
      <c r="K268" s="19">
        <f t="shared" si="22"/>
        <v>16</v>
      </c>
      <c r="L268" s="18">
        <f t="shared" si="23"/>
        <v>8.247422680412371E-2</v>
      </c>
      <c r="M268" s="18">
        <f t="shared" si="24"/>
        <v>0.91752577319587625</v>
      </c>
    </row>
    <row r="269" spans="1:13" x14ac:dyDescent="0.3">
      <c r="A269" s="22">
        <v>194</v>
      </c>
      <c r="B269" s="22">
        <v>187</v>
      </c>
      <c r="C269" s="23">
        <v>0.96389999999999998</v>
      </c>
      <c r="D269" s="22">
        <v>7</v>
      </c>
      <c r="E269" s="24">
        <v>2.7777777777777778E-4</v>
      </c>
      <c r="F269" s="24">
        <v>1.6782407407407408E-3</v>
      </c>
      <c r="G269" s="24">
        <v>2.5925925925925925E-3</v>
      </c>
      <c r="H269" s="24">
        <v>0.77249999999999996</v>
      </c>
      <c r="I269" s="18">
        <f t="shared" si="21"/>
        <v>9.639E-3</v>
      </c>
      <c r="J269" s="18">
        <f t="shared" si="25"/>
        <v>7.7249999999999992E-3</v>
      </c>
      <c r="K269" s="19">
        <f t="shared" si="22"/>
        <v>7</v>
      </c>
      <c r="L269" s="18">
        <f t="shared" si="23"/>
        <v>3.608247422680412E-2</v>
      </c>
      <c r="M269" s="18">
        <f t="shared" si="24"/>
        <v>0.96391752577319589</v>
      </c>
    </row>
    <row r="270" spans="1:13" x14ac:dyDescent="0.3">
      <c r="A270" s="22">
        <v>202</v>
      </c>
      <c r="B270" s="22">
        <v>195</v>
      </c>
      <c r="C270" s="23">
        <v>0.96530000000000005</v>
      </c>
      <c r="D270" s="22">
        <v>7</v>
      </c>
      <c r="E270" s="24">
        <v>2.4305555555555555E-4</v>
      </c>
      <c r="F270" s="24">
        <v>1.6319444444444445E-3</v>
      </c>
      <c r="G270" s="24">
        <v>2.0717592592592593E-3</v>
      </c>
      <c r="H270" s="24">
        <v>0.74750000000000005</v>
      </c>
      <c r="I270" s="18">
        <f t="shared" si="21"/>
        <v>9.6530000000000001E-3</v>
      </c>
      <c r="J270" s="18">
        <f t="shared" si="25"/>
        <v>7.4750000000000007E-3</v>
      </c>
      <c r="K270" s="19">
        <f t="shared" si="22"/>
        <v>7</v>
      </c>
      <c r="L270" s="18">
        <f t="shared" si="23"/>
        <v>3.4653465346534656E-2</v>
      </c>
      <c r="M270" s="18">
        <f t="shared" si="24"/>
        <v>0.96534653465346532</v>
      </c>
    </row>
    <row r="271" spans="1:13" x14ac:dyDescent="0.3">
      <c r="A271" s="22">
        <v>214</v>
      </c>
      <c r="B271" s="22">
        <v>208</v>
      </c>
      <c r="C271" s="23">
        <v>0.97199999999999998</v>
      </c>
      <c r="D271" s="22">
        <v>6</v>
      </c>
      <c r="E271" s="24">
        <v>1.5046296296296297E-4</v>
      </c>
      <c r="F271" s="24">
        <v>1.6087962962962963E-3</v>
      </c>
      <c r="G271" s="24">
        <v>6.5972222222222224E-4</v>
      </c>
      <c r="H271" s="24">
        <v>0.88149999999999995</v>
      </c>
      <c r="I271" s="18">
        <f t="shared" si="21"/>
        <v>9.7199999999999995E-3</v>
      </c>
      <c r="J271" s="18">
        <f t="shared" si="25"/>
        <v>8.8149999999999999E-3</v>
      </c>
      <c r="K271" s="19">
        <f t="shared" si="22"/>
        <v>6</v>
      </c>
      <c r="L271" s="18">
        <f t="shared" si="23"/>
        <v>2.8037383177570093E-2</v>
      </c>
      <c r="M271" s="18">
        <f t="shared" si="24"/>
        <v>0.9719626168224299</v>
      </c>
    </row>
    <row r="272" spans="1:13" x14ac:dyDescent="0.3">
      <c r="A272" s="22">
        <v>28</v>
      </c>
      <c r="B272" s="22">
        <v>28</v>
      </c>
      <c r="C272" s="23">
        <v>1</v>
      </c>
      <c r="D272" s="22">
        <v>0</v>
      </c>
      <c r="E272" s="24">
        <v>1.5046296296296297E-4</v>
      </c>
      <c r="F272" s="24">
        <v>1.5393518518518519E-3</v>
      </c>
      <c r="G272" s="24">
        <v>9.0277777777777774E-4</v>
      </c>
      <c r="H272" s="24">
        <v>0.89290000000000003</v>
      </c>
      <c r="I272" s="18">
        <f t="shared" si="21"/>
        <v>0.01</v>
      </c>
      <c r="J272" s="18">
        <f t="shared" si="25"/>
        <v>8.9289999999999994E-3</v>
      </c>
      <c r="K272" s="19">
        <f t="shared" si="22"/>
        <v>0</v>
      </c>
      <c r="L272" s="18">
        <f t="shared" si="23"/>
        <v>0</v>
      </c>
      <c r="M272" s="18">
        <f t="shared" si="24"/>
        <v>1</v>
      </c>
    </row>
    <row r="273" spans="1:13" x14ac:dyDescent="0.3">
      <c r="A273" s="22">
        <v>191</v>
      </c>
      <c r="B273" s="22">
        <v>187</v>
      </c>
      <c r="C273" s="23">
        <v>0.97909999999999997</v>
      </c>
      <c r="D273" s="22">
        <v>4</v>
      </c>
      <c r="E273" s="24">
        <v>1.7361111111111112E-4</v>
      </c>
      <c r="F273" s="24">
        <v>1.6550925925925926E-3</v>
      </c>
      <c r="G273" s="24">
        <v>1.1574074074074073E-3</v>
      </c>
      <c r="H273" s="24">
        <v>0.82540000000000002</v>
      </c>
      <c r="I273" s="18">
        <f t="shared" si="21"/>
        <v>9.7909999999999994E-3</v>
      </c>
      <c r="J273" s="18">
        <f t="shared" si="25"/>
        <v>8.2540000000000009E-3</v>
      </c>
      <c r="K273" s="19">
        <f t="shared" si="22"/>
        <v>4</v>
      </c>
      <c r="L273" s="18">
        <f t="shared" si="23"/>
        <v>2.0942408376963352E-2</v>
      </c>
      <c r="M273" s="18">
        <f t="shared" si="24"/>
        <v>0.97905759162303663</v>
      </c>
    </row>
    <row r="274" spans="1:13" x14ac:dyDescent="0.3">
      <c r="A274" s="22">
        <v>205</v>
      </c>
      <c r="B274" s="22">
        <v>197</v>
      </c>
      <c r="C274" s="23">
        <v>0.96099999999999997</v>
      </c>
      <c r="D274" s="22">
        <v>8</v>
      </c>
      <c r="E274" s="24">
        <v>2.4305555555555555E-4</v>
      </c>
      <c r="F274" s="24">
        <v>1.7013888888888888E-3</v>
      </c>
      <c r="G274" s="24">
        <v>1.6550925925925926E-3</v>
      </c>
      <c r="H274" s="24">
        <v>0.74380000000000002</v>
      </c>
      <c r="I274" s="18">
        <f t="shared" si="21"/>
        <v>9.6100000000000005E-3</v>
      </c>
      <c r="J274" s="18">
        <f t="shared" si="25"/>
        <v>7.4380000000000002E-3</v>
      </c>
      <c r="K274" s="19">
        <f t="shared" si="22"/>
        <v>8</v>
      </c>
      <c r="L274" s="18">
        <f t="shared" si="23"/>
        <v>3.9024390243902439E-2</v>
      </c>
      <c r="M274" s="18">
        <f t="shared" si="24"/>
        <v>0.96097560975609753</v>
      </c>
    </row>
    <row r="275" spans="1:13" x14ac:dyDescent="0.3">
      <c r="A275" s="22">
        <v>198</v>
      </c>
      <c r="B275" s="22">
        <v>196</v>
      </c>
      <c r="C275" s="23">
        <v>0.9899</v>
      </c>
      <c r="D275" s="22">
        <v>2</v>
      </c>
      <c r="E275" s="24">
        <v>2.6620370370370372E-4</v>
      </c>
      <c r="F275" s="24">
        <v>1.712962962962963E-3</v>
      </c>
      <c r="G275" s="24">
        <v>1.4236111111111112E-3</v>
      </c>
      <c r="H275" s="24">
        <v>0.73599999999999999</v>
      </c>
      <c r="I275" s="18">
        <f t="shared" si="21"/>
        <v>9.8989999999999998E-3</v>
      </c>
      <c r="J275" s="18">
        <f t="shared" si="25"/>
        <v>7.3600000000000002E-3</v>
      </c>
      <c r="K275" s="19">
        <f t="shared" si="22"/>
        <v>2</v>
      </c>
      <c r="L275" s="18">
        <f t="shared" si="23"/>
        <v>1.0101010101010102E-2</v>
      </c>
      <c r="M275" s="18">
        <f t="shared" si="24"/>
        <v>0.98989898989898994</v>
      </c>
    </row>
    <row r="276" spans="1:13" x14ac:dyDescent="0.3">
      <c r="A276" s="22">
        <v>184</v>
      </c>
      <c r="B276" s="22">
        <v>177</v>
      </c>
      <c r="C276" s="23">
        <v>0.96199999999999997</v>
      </c>
      <c r="D276" s="22">
        <v>7</v>
      </c>
      <c r="E276" s="24">
        <v>2.3148148148148149E-4</v>
      </c>
      <c r="F276" s="24">
        <v>1.8634259259259259E-3</v>
      </c>
      <c r="G276" s="24">
        <v>1.2731481481481483E-3</v>
      </c>
      <c r="H276" s="24">
        <v>0.78569999999999995</v>
      </c>
      <c r="I276" s="18">
        <f t="shared" si="21"/>
        <v>9.6200000000000001E-3</v>
      </c>
      <c r="J276" s="18">
        <f t="shared" si="25"/>
        <v>7.8569999999999994E-3</v>
      </c>
      <c r="K276" s="19">
        <f t="shared" si="22"/>
        <v>7</v>
      </c>
      <c r="L276" s="18">
        <f t="shared" si="23"/>
        <v>3.8043478260869568E-2</v>
      </c>
      <c r="M276" s="18">
        <f t="shared" si="24"/>
        <v>0.96195652173913049</v>
      </c>
    </row>
    <row r="277" spans="1:13" x14ac:dyDescent="0.3">
      <c r="A277" s="22">
        <v>184</v>
      </c>
      <c r="B277" s="22">
        <v>174</v>
      </c>
      <c r="C277" s="23">
        <v>0.94569999999999999</v>
      </c>
      <c r="D277" s="22">
        <v>10</v>
      </c>
      <c r="E277" s="24">
        <v>2.8935185185185184E-4</v>
      </c>
      <c r="F277" s="24">
        <v>1.7013888888888888E-3</v>
      </c>
      <c r="G277" s="24">
        <v>1.9328703703703704E-3</v>
      </c>
      <c r="H277" s="24">
        <v>0.7</v>
      </c>
      <c r="I277" s="18">
        <f t="shared" si="21"/>
        <v>9.4570000000000001E-3</v>
      </c>
      <c r="J277" s="18">
        <f t="shared" si="25"/>
        <v>6.9999999999999993E-3</v>
      </c>
      <c r="K277" s="19">
        <f t="shared" si="22"/>
        <v>10</v>
      </c>
      <c r="L277" s="18">
        <f t="shared" si="23"/>
        <v>5.434782608695652E-2</v>
      </c>
      <c r="M277" s="18">
        <f t="shared" si="24"/>
        <v>0.94565217391304346</v>
      </c>
    </row>
    <row r="278" spans="1:13" x14ac:dyDescent="0.3">
      <c r="A278" s="22">
        <v>168</v>
      </c>
      <c r="B278" s="22">
        <v>160</v>
      </c>
      <c r="C278" s="23">
        <v>0.95240000000000002</v>
      </c>
      <c r="D278" s="22">
        <v>8</v>
      </c>
      <c r="E278" s="24">
        <v>3.0092592592592595E-4</v>
      </c>
      <c r="F278" s="24">
        <v>1.6782407407407408E-3</v>
      </c>
      <c r="G278" s="24">
        <v>1.4351851851851852E-3</v>
      </c>
      <c r="H278" s="24">
        <v>0.68259999999999998</v>
      </c>
      <c r="I278" s="18">
        <f t="shared" si="21"/>
        <v>9.5239999999999995E-3</v>
      </c>
      <c r="J278" s="18">
        <f t="shared" si="25"/>
        <v>6.8259999999999996E-3</v>
      </c>
      <c r="K278" s="19">
        <f t="shared" si="22"/>
        <v>8</v>
      </c>
      <c r="L278" s="18">
        <f t="shared" si="23"/>
        <v>4.7619047619047616E-2</v>
      </c>
      <c r="M278" s="18">
        <f t="shared" si="24"/>
        <v>0.95238095238095233</v>
      </c>
    </row>
    <row r="279" spans="1:13" x14ac:dyDescent="0.3">
      <c r="A279" s="22">
        <v>39</v>
      </c>
      <c r="B279" s="22">
        <v>37</v>
      </c>
      <c r="C279" s="23">
        <v>0.94869999999999999</v>
      </c>
      <c r="D279" s="22">
        <v>2</v>
      </c>
      <c r="E279" s="24">
        <v>1.6203703703703703E-4</v>
      </c>
      <c r="F279" s="24">
        <v>1.4814814814814814E-3</v>
      </c>
      <c r="G279" s="24">
        <v>7.291666666666667E-4</v>
      </c>
      <c r="H279" s="24">
        <v>0.81079999999999997</v>
      </c>
      <c r="I279" s="18">
        <f t="shared" si="21"/>
        <v>9.4870000000000006E-3</v>
      </c>
      <c r="J279" s="18">
        <f t="shared" si="25"/>
        <v>8.1079999999999989E-3</v>
      </c>
      <c r="K279" s="19">
        <f t="shared" si="22"/>
        <v>2</v>
      </c>
      <c r="L279" s="18">
        <f t="shared" si="23"/>
        <v>5.128205128205128E-2</v>
      </c>
      <c r="M279" s="18">
        <f t="shared" si="24"/>
        <v>0.94871794871794868</v>
      </c>
    </row>
    <row r="280" spans="1:13" x14ac:dyDescent="0.3">
      <c r="A280" s="22">
        <v>225</v>
      </c>
      <c r="B280" s="22">
        <v>210</v>
      </c>
      <c r="C280" s="23">
        <v>0.93330000000000002</v>
      </c>
      <c r="D280" s="22">
        <v>15</v>
      </c>
      <c r="E280" s="24">
        <v>3.2407407407407406E-4</v>
      </c>
      <c r="F280" s="24">
        <v>1.5393518518518519E-3</v>
      </c>
      <c r="G280" s="24">
        <v>1.7708333333333332E-3</v>
      </c>
      <c r="H280" s="24">
        <v>0.66969999999999996</v>
      </c>
      <c r="I280" s="18">
        <f t="shared" si="21"/>
        <v>9.333000000000001E-3</v>
      </c>
      <c r="J280" s="18">
        <f t="shared" si="25"/>
        <v>6.6969999999999998E-3</v>
      </c>
      <c r="K280" s="19">
        <f t="shared" si="22"/>
        <v>15</v>
      </c>
      <c r="L280" s="18">
        <f t="shared" si="23"/>
        <v>6.6666666666666666E-2</v>
      </c>
      <c r="M280" s="18">
        <f t="shared" si="24"/>
        <v>0.93333333333333335</v>
      </c>
    </row>
    <row r="281" spans="1:13" x14ac:dyDescent="0.3">
      <c r="A281" s="22">
        <v>182</v>
      </c>
      <c r="B281" s="22">
        <v>174</v>
      </c>
      <c r="C281" s="23">
        <v>0.95599999999999996</v>
      </c>
      <c r="D281" s="22">
        <v>8</v>
      </c>
      <c r="E281" s="24">
        <v>3.7037037037037035E-4</v>
      </c>
      <c r="F281" s="24">
        <v>1.5740740740740741E-3</v>
      </c>
      <c r="G281" s="24">
        <v>2.7314814814814814E-3</v>
      </c>
      <c r="H281" s="24">
        <v>0.60219999999999996</v>
      </c>
      <c r="I281" s="18">
        <f t="shared" si="21"/>
        <v>9.5599999999999991E-3</v>
      </c>
      <c r="J281" s="18">
        <f t="shared" si="25"/>
        <v>6.0219999999999996E-3</v>
      </c>
      <c r="K281" s="19">
        <f t="shared" si="22"/>
        <v>8</v>
      </c>
      <c r="L281" s="18">
        <f t="shared" si="23"/>
        <v>4.3956043956043959E-2</v>
      </c>
      <c r="M281" s="18">
        <f t="shared" si="24"/>
        <v>0.95604395604395609</v>
      </c>
    </row>
    <row r="282" spans="1:13" x14ac:dyDescent="0.3">
      <c r="A282" s="22">
        <v>346</v>
      </c>
      <c r="B282" s="22">
        <v>305</v>
      </c>
      <c r="C282" s="23">
        <v>0.88149999999999995</v>
      </c>
      <c r="D282" s="22">
        <v>41</v>
      </c>
      <c r="E282" s="24">
        <v>5.2083333333333333E-4</v>
      </c>
      <c r="F282" s="24">
        <v>1.3541666666666667E-3</v>
      </c>
      <c r="G282" s="24">
        <v>3.5532407407407409E-3</v>
      </c>
      <c r="H282" s="24">
        <v>0.45029999999999998</v>
      </c>
      <c r="I282" s="18">
        <f t="shared" si="21"/>
        <v>8.8149999999999999E-3</v>
      </c>
      <c r="J282" s="18">
        <f t="shared" si="25"/>
        <v>4.5030000000000001E-3</v>
      </c>
      <c r="K282" s="19">
        <f t="shared" si="22"/>
        <v>41</v>
      </c>
      <c r="L282" s="18">
        <f t="shared" si="23"/>
        <v>0.11849710982658959</v>
      </c>
      <c r="M282" s="18">
        <f t="shared" si="24"/>
        <v>0.88150289017341044</v>
      </c>
    </row>
    <row r="283" spans="1:13" x14ac:dyDescent="0.3">
      <c r="A283" s="22">
        <v>450</v>
      </c>
      <c r="B283" s="22">
        <v>441</v>
      </c>
      <c r="C283" s="23">
        <v>0.98</v>
      </c>
      <c r="D283" s="22">
        <v>9</v>
      </c>
      <c r="E283" s="24">
        <v>2.199074074074074E-4</v>
      </c>
      <c r="F283" s="24">
        <v>1.3078703703703703E-3</v>
      </c>
      <c r="G283" s="24">
        <v>1.7476851851851852E-3</v>
      </c>
      <c r="H283" s="24">
        <v>0.78300000000000003</v>
      </c>
      <c r="I283" s="18">
        <f t="shared" si="21"/>
        <v>9.7999999999999997E-3</v>
      </c>
      <c r="J283" s="18">
        <f t="shared" si="25"/>
        <v>7.8300000000000002E-3</v>
      </c>
      <c r="K283" s="19">
        <f t="shared" si="22"/>
        <v>9</v>
      </c>
      <c r="L283" s="18">
        <f t="shared" si="23"/>
        <v>0.02</v>
      </c>
      <c r="M283" s="18">
        <f t="shared" si="24"/>
        <v>0.98</v>
      </c>
    </row>
    <row r="284" spans="1:13" x14ac:dyDescent="0.3">
      <c r="A284" s="22">
        <v>259</v>
      </c>
      <c r="B284" s="22">
        <v>248</v>
      </c>
      <c r="C284" s="23">
        <v>0.95750000000000002</v>
      </c>
      <c r="D284" s="22">
        <v>11</v>
      </c>
      <c r="E284" s="24">
        <v>2.3148148148148149E-4</v>
      </c>
      <c r="F284" s="24">
        <v>1.4583333333333334E-3</v>
      </c>
      <c r="G284" s="24">
        <v>1.2847222222222223E-3</v>
      </c>
      <c r="H284" s="24">
        <v>0.75390000000000001</v>
      </c>
      <c r="I284" s="18">
        <f t="shared" si="21"/>
        <v>9.5750000000000002E-3</v>
      </c>
      <c r="J284" s="18">
        <f t="shared" si="25"/>
        <v>7.5390000000000006E-3</v>
      </c>
      <c r="K284" s="19">
        <f t="shared" si="22"/>
        <v>11</v>
      </c>
      <c r="L284" s="18">
        <f t="shared" si="23"/>
        <v>4.2471042471042469E-2</v>
      </c>
      <c r="M284" s="18">
        <f t="shared" si="24"/>
        <v>0.9575289575289575</v>
      </c>
    </row>
    <row r="285" spans="1:13" x14ac:dyDescent="0.3">
      <c r="A285" s="22">
        <v>231</v>
      </c>
      <c r="B285" s="22">
        <v>214</v>
      </c>
      <c r="C285" s="23">
        <v>0.9264</v>
      </c>
      <c r="D285" s="22">
        <v>17</v>
      </c>
      <c r="E285" s="24">
        <v>2.0833333333333335E-4</v>
      </c>
      <c r="F285" s="24">
        <v>1.4583333333333334E-3</v>
      </c>
      <c r="G285" s="24">
        <v>1.7476851851851852E-3</v>
      </c>
      <c r="H285" s="24">
        <v>0.79559999999999997</v>
      </c>
      <c r="I285" s="18">
        <f t="shared" si="21"/>
        <v>9.2639999999999997E-3</v>
      </c>
      <c r="J285" s="18">
        <f t="shared" si="25"/>
        <v>7.9559999999999995E-3</v>
      </c>
      <c r="K285" s="19">
        <f t="shared" si="22"/>
        <v>17</v>
      </c>
      <c r="L285" s="18">
        <f t="shared" si="23"/>
        <v>7.3593073593073599E-2</v>
      </c>
      <c r="M285" s="18">
        <f t="shared" si="24"/>
        <v>0.92640692640692646</v>
      </c>
    </row>
    <row r="286" spans="1:13" x14ac:dyDescent="0.3">
      <c r="A286" s="22">
        <v>48</v>
      </c>
      <c r="B286" s="22">
        <v>47</v>
      </c>
      <c r="C286" s="23">
        <v>0.97919999999999996</v>
      </c>
      <c r="D286" s="22">
        <v>1</v>
      </c>
      <c r="E286" s="24">
        <v>1.5046296296296297E-4</v>
      </c>
      <c r="F286" s="24">
        <v>1.4236111111111112E-3</v>
      </c>
      <c r="G286" s="24">
        <v>1.2268518518518518E-3</v>
      </c>
      <c r="H286" s="24">
        <v>0.89580000000000004</v>
      </c>
      <c r="I286" s="18">
        <f t="shared" si="21"/>
        <v>9.7920000000000004E-3</v>
      </c>
      <c r="J286" s="18">
        <f t="shared" si="25"/>
        <v>8.9580000000000007E-3</v>
      </c>
      <c r="K286" s="19">
        <f t="shared" si="22"/>
        <v>1</v>
      </c>
      <c r="L286" s="18">
        <f t="shared" si="23"/>
        <v>2.0833333333333332E-2</v>
      </c>
      <c r="M286" s="18">
        <f t="shared" si="24"/>
        <v>0.97916666666666663</v>
      </c>
    </row>
    <row r="287" spans="1:13" x14ac:dyDescent="0.3">
      <c r="A287" s="22">
        <v>246</v>
      </c>
      <c r="B287" s="22">
        <v>236</v>
      </c>
      <c r="C287" s="23">
        <v>0.95930000000000004</v>
      </c>
      <c r="D287" s="22">
        <v>10</v>
      </c>
      <c r="E287" s="24">
        <v>2.3148148148148149E-4</v>
      </c>
      <c r="F287" s="24">
        <v>1.5162037037037036E-3</v>
      </c>
      <c r="G287" s="24">
        <v>3.1944444444444446E-3</v>
      </c>
      <c r="H287" s="24">
        <v>0.79179999999999995</v>
      </c>
      <c r="I287" s="18">
        <f t="shared" si="21"/>
        <v>9.5930000000000008E-3</v>
      </c>
      <c r="J287" s="18">
        <f t="shared" si="25"/>
        <v>7.9179999999999997E-3</v>
      </c>
      <c r="K287" s="19">
        <f t="shared" si="22"/>
        <v>10</v>
      </c>
      <c r="L287" s="18">
        <f t="shared" si="23"/>
        <v>4.065040650406504E-2</v>
      </c>
      <c r="M287" s="18">
        <f t="shared" si="24"/>
        <v>0.95934959349593496</v>
      </c>
    </row>
    <row r="288" spans="1:13" x14ac:dyDescent="0.3">
      <c r="A288" s="22">
        <v>202</v>
      </c>
      <c r="B288" s="22">
        <v>195</v>
      </c>
      <c r="C288" s="23">
        <v>0.96530000000000005</v>
      </c>
      <c r="D288" s="22">
        <v>7</v>
      </c>
      <c r="E288" s="24">
        <v>2.8935185185185184E-4</v>
      </c>
      <c r="F288" s="24">
        <v>1.5625000000000001E-3</v>
      </c>
      <c r="G288" s="24">
        <v>3.8541666666666668E-3</v>
      </c>
      <c r="H288" s="24">
        <v>0.745</v>
      </c>
      <c r="I288" s="18">
        <f t="shared" si="21"/>
        <v>9.6530000000000001E-3</v>
      </c>
      <c r="J288" s="18">
        <f t="shared" si="25"/>
        <v>7.45E-3</v>
      </c>
      <c r="K288" s="19">
        <f t="shared" si="22"/>
        <v>7</v>
      </c>
      <c r="L288" s="18">
        <f t="shared" si="23"/>
        <v>3.4653465346534656E-2</v>
      </c>
      <c r="M288" s="18">
        <f t="shared" si="24"/>
        <v>0.96534653465346532</v>
      </c>
    </row>
    <row r="289" spans="1:13" x14ac:dyDescent="0.3">
      <c r="A289" s="22">
        <v>153</v>
      </c>
      <c r="B289" s="22">
        <v>150</v>
      </c>
      <c r="C289" s="23">
        <v>0.98040000000000005</v>
      </c>
      <c r="D289" s="22">
        <v>3</v>
      </c>
      <c r="E289" s="24">
        <v>1.7361111111111112E-4</v>
      </c>
      <c r="F289" s="24">
        <v>1.5625000000000001E-3</v>
      </c>
      <c r="G289" s="24">
        <v>1.5277777777777779E-3</v>
      </c>
      <c r="H289" s="24">
        <v>0.82240000000000002</v>
      </c>
      <c r="I289" s="18">
        <f t="shared" si="21"/>
        <v>9.8040000000000002E-3</v>
      </c>
      <c r="J289" s="18">
        <f t="shared" si="25"/>
        <v>8.2240000000000004E-3</v>
      </c>
      <c r="K289" s="19">
        <f t="shared" si="22"/>
        <v>3</v>
      </c>
      <c r="L289" s="18">
        <f t="shared" si="23"/>
        <v>1.9607843137254902E-2</v>
      </c>
      <c r="M289" s="18">
        <f t="shared" si="24"/>
        <v>0.98039215686274506</v>
      </c>
    </row>
    <row r="290" spans="1:13" x14ac:dyDescent="0.3">
      <c r="A290" s="22">
        <v>178</v>
      </c>
      <c r="B290" s="22">
        <v>172</v>
      </c>
      <c r="C290" s="23">
        <v>0.96630000000000005</v>
      </c>
      <c r="D290" s="22">
        <v>6</v>
      </c>
      <c r="E290" s="24">
        <v>2.199074074074074E-4</v>
      </c>
      <c r="F290" s="24">
        <v>1.5625000000000001E-3</v>
      </c>
      <c r="G290" s="24">
        <v>3.1828703703703702E-3</v>
      </c>
      <c r="H290" s="24">
        <v>0.78290000000000004</v>
      </c>
      <c r="I290" s="18">
        <f t="shared" si="21"/>
        <v>9.6629999999999997E-3</v>
      </c>
      <c r="J290" s="18">
        <f t="shared" si="25"/>
        <v>7.8290000000000009E-3</v>
      </c>
      <c r="K290" s="19">
        <f t="shared" si="22"/>
        <v>6</v>
      </c>
      <c r="L290" s="18">
        <f t="shared" si="23"/>
        <v>3.3707865168539325E-2</v>
      </c>
      <c r="M290" s="18">
        <f t="shared" si="24"/>
        <v>0.9662921348314607</v>
      </c>
    </row>
    <row r="291" spans="1:13" x14ac:dyDescent="0.3">
      <c r="A291" s="22">
        <v>172</v>
      </c>
      <c r="B291" s="22">
        <v>165</v>
      </c>
      <c r="C291" s="23">
        <v>0.95930000000000004</v>
      </c>
      <c r="D291" s="22">
        <v>7</v>
      </c>
      <c r="E291" s="24">
        <v>2.199074074074074E-4</v>
      </c>
      <c r="F291" s="24">
        <v>1.6666666666666668E-3</v>
      </c>
      <c r="G291" s="24">
        <v>2.3611111111111111E-3</v>
      </c>
      <c r="H291" s="24">
        <v>0.79290000000000005</v>
      </c>
      <c r="I291" s="18">
        <f t="shared" si="21"/>
        <v>9.5930000000000008E-3</v>
      </c>
      <c r="J291" s="18">
        <f t="shared" si="25"/>
        <v>7.9290000000000003E-3</v>
      </c>
      <c r="K291" s="19">
        <f t="shared" si="22"/>
        <v>7</v>
      </c>
      <c r="L291" s="18">
        <f t="shared" si="23"/>
        <v>4.0697674418604654E-2</v>
      </c>
      <c r="M291" s="18">
        <f t="shared" si="24"/>
        <v>0.95930232558139539</v>
      </c>
    </row>
    <row r="292" spans="1:13" x14ac:dyDescent="0.3">
      <c r="A292" s="22">
        <v>208</v>
      </c>
      <c r="B292" s="22">
        <v>200</v>
      </c>
      <c r="C292" s="23">
        <v>0.96150000000000002</v>
      </c>
      <c r="D292" s="22">
        <v>8</v>
      </c>
      <c r="E292" s="24">
        <v>3.0092592592592595E-4</v>
      </c>
      <c r="F292" s="24">
        <v>1.6550925925925926E-3</v>
      </c>
      <c r="G292" s="24">
        <v>2.2569444444444442E-3</v>
      </c>
      <c r="H292" s="24">
        <v>0.68779999999999997</v>
      </c>
      <c r="I292" s="18">
        <f t="shared" si="21"/>
        <v>9.6150000000000003E-3</v>
      </c>
      <c r="J292" s="18">
        <f t="shared" si="25"/>
        <v>6.8779999999999996E-3</v>
      </c>
      <c r="K292" s="19">
        <f t="shared" si="22"/>
        <v>8</v>
      </c>
      <c r="L292" s="18">
        <f t="shared" si="23"/>
        <v>3.8461538461538464E-2</v>
      </c>
      <c r="M292" s="18">
        <f t="shared" si="24"/>
        <v>0.96153846153846156</v>
      </c>
    </row>
    <row r="293" spans="1:13" x14ac:dyDescent="0.3">
      <c r="A293" s="22">
        <v>77</v>
      </c>
      <c r="B293" s="22">
        <v>76</v>
      </c>
      <c r="C293" s="23">
        <v>0.98699999999999999</v>
      </c>
      <c r="D293" s="22">
        <v>1</v>
      </c>
      <c r="E293" s="24">
        <v>3.3564814814814812E-4</v>
      </c>
      <c r="F293" s="24">
        <v>1.5740740740740741E-3</v>
      </c>
      <c r="G293" s="24">
        <v>1.3194444444444445E-3</v>
      </c>
      <c r="H293" s="24">
        <v>0.58440000000000003</v>
      </c>
      <c r="I293" s="18">
        <f t="shared" si="21"/>
        <v>9.8700000000000003E-3</v>
      </c>
      <c r="J293" s="18">
        <f t="shared" si="25"/>
        <v>5.8440000000000002E-3</v>
      </c>
      <c r="K293" s="19">
        <f t="shared" si="22"/>
        <v>1</v>
      </c>
      <c r="L293" s="18">
        <f t="shared" si="23"/>
        <v>1.2987012987012988E-2</v>
      </c>
      <c r="M293" s="18">
        <f t="shared" si="24"/>
        <v>0.98701298701298701</v>
      </c>
    </row>
    <row r="294" spans="1:13" x14ac:dyDescent="0.3">
      <c r="A294" s="22">
        <v>291</v>
      </c>
      <c r="B294" s="22">
        <v>250</v>
      </c>
      <c r="C294" s="23">
        <v>0.85909999999999997</v>
      </c>
      <c r="D294" s="22">
        <v>41</v>
      </c>
      <c r="E294" s="24">
        <v>4.7453703703703704E-4</v>
      </c>
      <c r="F294" s="24">
        <v>1.6203703703703703E-3</v>
      </c>
      <c r="G294" s="24">
        <v>4.9768518518518521E-3</v>
      </c>
      <c r="H294" s="24">
        <v>0.5544</v>
      </c>
      <c r="I294" s="18">
        <f t="shared" si="21"/>
        <v>8.5909999999999997E-3</v>
      </c>
      <c r="J294" s="18">
        <f t="shared" si="25"/>
        <v>5.5440000000000003E-3</v>
      </c>
      <c r="K294" s="19">
        <f t="shared" si="22"/>
        <v>41</v>
      </c>
      <c r="L294" s="18">
        <f t="shared" si="23"/>
        <v>0.14089347079037801</v>
      </c>
      <c r="M294" s="18">
        <f t="shared" si="24"/>
        <v>0.85910652920962194</v>
      </c>
    </row>
    <row r="295" spans="1:13" x14ac:dyDescent="0.3">
      <c r="A295" s="22">
        <v>219</v>
      </c>
      <c r="B295" s="22">
        <v>212</v>
      </c>
      <c r="C295" s="23">
        <v>0.96799999999999997</v>
      </c>
      <c r="D295" s="22">
        <v>7</v>
      </c>
      <c r="E295" s="24">
        <v>2.4305555555555555E-4</v>
      </c>
      <c r="F295" s="24">
        <v>1.6087962962962963E-3</v>
      </c>
      <c r="G295" s="24">
        <v>1.2731481481481483E-3</v>
      </c>
      <c r="H295" s="24">
        <v>0.76849999999999996</v>
      </c>
      <c r="I295" s="18">
        <f t="shared" si="21"/>
        <v>9.6799999999999994E-3</v>
      </c>
      <c r="J295" s="18">
        <f t="shared" si="25"/>
        <v>7.685E-3</v>
      </c>
      <c r="K295" s="19">
        <f t="shared" si="22"/>
        <v>7</v>
      </c>
      <c r="L295" s="18">
        <f t="shared" si="23"/>
        <v>3.1963470319634701E-2</v>
      </c>
      <c r="M295" s="18">
        <f t="shared" si="24"/>
        <v>0.96803652968036524</v>
      </c>
    </row>
    <row r="296" spans="1:13" x14ac:dyDescent="0.3">
      <c r="A296" s="22">
        <v>173</v>
      </c>
      <c r="B296" s="22">
        <v>169</v>
      </c>
      <c r="C296" s="23">
        <v>0.97689999999999999</v>
      </c>
      <c r="D296" s="22">
        <v>4</v>
      </c>
      <c r="E296" s="24">
        <v>2.0833333333333335E-4</v>
      </c>
      <c r="F296" s="24">
        <v>1.5393518518518519E-3</v>
      </c>
      <c r="G296" s="24">
        <v>1.5509259259259259E-3</v>
      </c>
      <c r="H296" s="24">
        <v>0.81399999999999995</v>
      </c>
      <c r="I296" s="18">
        <f t="shared" si="21"/>
        <v>9.7689999999999999E-3</v>
      </c>
      <c r="J296" s="18">
        <f t="shared" si="25"/>
        <v>8.1399999999999997E-3</v>
      </c>
      <c r="K296" s="19">
        <f t="shared" si="22"/>
        <v>4</v>
      </c>
      <c r="L296" s="18">
        <f t="shared" si="23"/>
        <v>2.3121387283236993E-2</v>
      </c>
      <c r="M296" s="18">
        <f t="shared" si="24"/>
        <v>0.97687861271676302</v>
      </c>
    </row>
    <row r="297" spans="1:13" x14ac:dyDescent="0.3">
      <c r="A297" s="22">
        <v>204</v>
      </c>
      <c r="B297" s="22">
        <v>197</v>
      </c>
      <c r="C297" s="23">
        <v>0.9657</v>
      </c>
      <c r="D297" s="22">
        <v>7</v>
      </c>
      <c r="E297" s="24">
        <v>1.9675925925925926E-4</v>
      </c>
      <c r="F297" s="24">
        <v>1.6550925925925926E-3</v>
      </c>
      <c r="G297" s="24">
        <v>1.3541666666666667E-3</v>
      </c>
      <c r="H297" s="24">
        <v>0.8</v>
      </c>
      <c r="I297" s="18">
        <f t="shared" si="21"/>
        <v>9.6570000000000007E-3</v>
      </c>
      <c r="J297" s="18">
        <f t="shared" si="25"/>
        <v>8.0000000000000002E-3</v>
      </c>
      <c r="K297" s="19">
        <f t="shared" si="22"/>
        <v>7</v>
      </c>
      <c r="L297" s="18">
        <f t="shared" si="23"/>
        <v>3.4313725490196081E-2</v>
      </c>
      <c r="M297" s="18">
        <f t="shared" si="24"/>
        <v>0.96568627450980393</v>
      </c>
    </row>
    <row r="298" spans="1:13" x14ac:dyDescent="0.3">
      <c r="A298" s="22">
        <v>216</v>
      </c>
      <c r="B298" s="22">
        <v>185</v>
      </c>
      <c r="C298" s="23">
        <v>0.85650000000000004</v>
      </c>
      <c r="D298" s="22">
        <v>31</v>
      </c>
      <c r="E298" s="24">
        <v>3.4722222222222224E-4</v>
      </c>
      <c r="F298" s="24">
        <v>1.5856481481481481E-3</v>
      </c>
      <c r="G298" s="24">
        <v>4.4675925925925924E-3</v>
      </c>
      <c r="H298" s="24">
        <v>0.61429999999999996</v>
      </c>
      <c r="I298" s="18">
        <f t="shared" si="21"/>
        <v>8.5649999999999997E-3</v>
      </c>
      <c r="J298" s="18">
        <f t="shared" si="25"/>
        <v>6.1429999999999992E-3</v>
      </c>
      <c r="K298" s="19">
        <f t="shared" si="22"/>
        <v>31</v>
      </c>
      <c r="L298" s="18">
        <f t="shared" si="23"/>
        <v>0.14351851851851852</v>
      </c>
      <c r="M298" s="18">
        <f t="shared" si="24"/>
        <v>0.85648148148148151</v>
      </c>
    </row>
    <row r="299" spans="1:13" x14ac:dyDescent="0.3">
      <c r="A299" s="22">
        <v>461</v>
      </c>
      <c r="B299" s="22">
        <v>441</v>
      </c>
      <c r="C299" s="23">
        <v>0.95660000000000001</v>
      </c>
      <c r="D299" s="22">
        <v>20</v>
      </c>
      <c r="E299" s="24">
        <v>3.4722222222222224E-4</v>
      </c>
      <c r="F299" s="24">
        <v>1.5972222222222223E-3</v>
      </c>
      <c r="G299" s="24">
        <v>2.5462962962962965E-3</v>
      </c>
      <c r="H299" s="24">
        <v>0.6149</v>
      </c>
      <c r="I299" s="18">
        <f t="shared" si="21"/>
        <v>9.5659999999999999E-3</v>
      </c>
      <c r="J299" s="18">
        <f t="shared" si="25"/>
        <v>6.149E-3</v>
      </c>
      <c r="K299" s="19">
        <f t="shared" si="22"/>
        <v>20</v>
      </c>
      <c r="L299" s="18">
        <f t="shared" si="23"/>
        <v>4.3383947939262472E-2</v>
      </c>
      <c r="M299" s="18">
        <f t="shared" si="24"/>
        <v>0.95661605206073752</v>
      </c>
    </row>
    <row r="300" spans="1:13" x14ac:dyDescent="0.3">
      <c r="A300" s="22">
        <v>56</v>
      </c>
      <c r="B300" s="22">
        <v>55</v>
      </c>
      <c r="C300" s="23">
        <v>0.98209999999999997</v>
      </c>
      <c r="D300" s="22">
        <v>1</v>
      </c>
      <c r="E300" s="24">
        <v>3.0092592592592595E-4</v>
      </c>
      <c r="F300" s="24">
        <v>1.5162037037037036E-3</v>
      </c>
      <c r="G300" s="24">
        <v>1.3078703703703703E-3</v>
      </c>
      <c r="H300" s="24">
        <v>0.66069999999999995</v>
      </c>
      <c r="I300" s="18">
        <f t="shared" si="21"/>
        <v>9.8209999999999999E-3</v>
      </c>
      <c r="J300" s="18">
        <f t="shared" si="25"/>
        <v>6.6069999999999992E-3</v>
      </c>
      <c r="K300" s="19">
        <f t="shared" si="22"/>
        <v>1</v>
      </c>
      <c r="L300" s="18">
        <f t="shared" si="23"/>
        <v>1.7857142857142856E-2</v>
      </c>
      <c r="M300" s="18">
        <f t="shared" si="24"/>
        <v>0.9821428571428571</v>
      </c>
    </row>
    <row r="301" spans="1:13" x14ac:dyDescent="0.3">
      <c r="A301" s="22">
        <v>192</v>
      </c>
      <c r="B301" s="22">
        <v>176</v>
      </c>
      <c r="C301" s="23">
        <v>0.91669999999999996</v>
      </c>
      <c r="D301" s="22">
        <v>16</v>
      </c>
      <c r="E301" s="24">
        <v>2.6620370370370372E-4</v>
      </c>
      <c r="F301" s="24">
        <v>1.4467592592592592E-3</v>
      </c>
      <c r="G301" s="24">
        <v>1.9328703703703704E-3</v>
      </c>
      <c r="H301" s="24">
        <v>0.68279999999999996</v>
      </c>
      <c r="I301" s="18">
        <f t="shared" si="21"/>
        <v>9.1669999999999998E-3</v>
      </c>
      <c r="J301" s="18">
        <f t="shared" si="25"/>
        <v>6.8279999999999999E-3</v>
      </c>
      <c r="K301" s="19">
        <f t="shared" si="22"/>
        <v>16</v>
      </c>
      <c r="L301" s="18">
        <f t="shared" si="23"/>
        <v>8.3333333333333329E-2</v>
      </c>
      <c r="M301" s="18">
        <f t="shared" si="24"/>
        <v>0.91666666666666663</v>
      </c>
    </row>
    <row r="302" spans="1:13" x14ac:dyDescent="0.3">
      <c r="A302" s="22">
        <v>382</v>
      </c>
      <c r="B302" s="22">
        <v>365</v>
      </c>
      <c r="C302" s="23">
        <v>0.95550000000000002</v>
      </c>
      <c r="D302" s="22">
        <v>17</v>
      </c>
      <c r="E302" s="24">
        <v>2.3148148148148149E-4</v>
      </c>
      <c r="F302" s="24">
        <v>1.0995370370370371E-3</v>
      </c>
      <c r="G302" s="24">
        <v>2.0023148148148148E-3</v>
      </c>
      <c r="H302" s="24">
        <v>0.73140000000000005</v>
      </c>
      <c r="I302" s="18">
        <f t="shared" si="21"/>
        <v>9.555000000000001E-3</v>
      </c>
      <c r="J302" s="18">
        <f t="shared" si="25"/>
        <v>7.3140000000000002E-3</v>
      </c>
      <c r="K302" s="19">
        <f t="shared" si="22"/>
        <v>17</v>
      </c>
      <c r="L302" s="18">
        <f t="shared" si="23"/>
        <v>4.4502617801047119E-2</v>
      </c>
      <c r="M302" s="18">
        <f t="shared" si="24"/>
        <v>0.95549738219895286</v>
      </c>
    </row>
    <row r="303" spans="1:13" x14ac:dyDescent="0.3">
      <c r="A303" s="22">
        <v>246</v>
      </c>
      <c r="B303" s="22">
        <v>223</v>
      </c>
      <c r="C303" s="23">
        <v>0.90649999999999997</v>
      </c>
      <c r="D303" s="22">
        <v>23</v>
      </c>
      <c r="E303" s="24">
        <v>2.8935185185185184E-4</v>
      </c>
      <c r="F303" s="24">
        <v>1.5509259259259259E-3</v>
      </c>
      <c r="G303" s="24">
        <v>3.7499999999999999E-3</v>
      </c>
      <c r="H303" s="24">
        <v>0.7167</v>
      </c>
      <c r="I303" s="18">
        <f t="shared" si="21"/>
        <v>9.0650000000000001E-3</v>
      </c>
      <c r="J303" s="18">
        <f t="shared" si="25"/>
        <v>7.1669999999999998E-3</v>
      </c>
      <c r="K303" s="19">
        <f t="shared" si="22"/>
        <v>23</v>
      </c>
      <c r="L303" s="18">
        <f t="shared" si="23"/>
        <v>9.3495934959349589E-2</v>
      </c>
      <c r="M303" s="18">
        <f t="shared" si="24"/>
        <v>0.9065040650406504</v>
      </c>
    </row>
    <row r="304" spans="1:13" x14ac:dyDescent="0.3">
      <c r="A304" s="22">
        <v>48</v>
      </c>
      <c r="B304" s="22">
        <v>46</v>
      </c>
      <c r="C304" s="23">
        <v>0.95830000000000004</v>
      </c>
      <c r="D304" s="22">
        <v>2</v>
      </c>
      <c r="E304" s="24">
        <v>3.0092592592592595E-4</v>
      </c>
      <c r="F304" s="24">
        <v>1.5509259259259259E-3</v>
      </c>
      <c r="G304" s="24">
        <v>9.837962962962962E-4</v>
      </c>
      <c r="H304" s="24">
        <v>0.72340000000000004</v>
      </c>
      <c r="I304" s="18">
        <f t="shared" si="21"/>
        <v>9.5830000000000012E-3</v>
      </c>
      <c r="J304" s="18">
        <f t="shared" si="25"/>
        <v>7.2340000000000008E-3</v>
      </c>
      <c r="K304" s="19">
        <f t="shared" si="22"/>
        <v>2</v>
      </c>
      <c r="L304" s="18">
        <f t="shared" si="23"/>
        <v>4.1666666666666664E-2</v>
      </c>
      <c r="M304" s="18">
        <f t="shared" si="24"/>
        <v>0.95833333333333337</v>
      </c>
    </row>
    <row r="305" spans="1:13" x14ac:dyDescent="0.3">
      <c r="A305" s="22">
        <v>221</v>
      </c>
      <c r="B305" s="22">
        <v>205</v>
      </c>
      <c r="C305" s="23">
        <v>0.92759999999999998</v>
      </c>
      <c r="D305" s="22">
        <v>16</v>
      </c>
      <c r="E305" s="24">
        <v>3.0092592592592595E-4</v>
      </c>
      <c r="F305" s="24">
        <v>1.5625000000000001E-3</v>
      </c>
      <c r="G305" s="24">
        <v>2.2569444444444442E-3</v>
      </c>
      <c r="H305" s="24">
        <v>0.63080000000000003</v>
      </c>
      <c r="I305" s="18">
        <f t="shared" si="21"/>
        <v>9.2759999999999995E-3</v>
      </c>
      <c r="J305" s="18">
        <f t="shared" si="25"/>
        <v>6.3080000000000002E-3</v>
      </c>
      <c r="K305" s="19">
        <f t="shared" si="22"/>
        <v>16</v>
      </c>
      <c r="L305" s="18">
        <f t="shared" si="23"/>
        <v>7.2398190045248875E-2</v>
      </c>
      <c r="M305" s="18">
        <f t="shared" si="24"/>
        <v>0.92760180995475117</v>
      </c>
    </row>
    <row r="306" spans="1:13" x14ac:dyDescent="0.3">
      <c r="A306" s="22">
        <v>275</v>
      </c>
      <c r="B306" s="22">
        <v>261</v>
      </c>
      <c r="C306" s="23">
        <v>0.94910000000000005</v>
      </c>
      <c r="D306" s="22">
        <v>14</v>
      </c>
      <c r="E306" s="24">
        <v>3.8194444444444446E-4</v>
      </c>
      <c r="F306" s="24">
        <v>1.6087962962962963E-3</v>
      </c>
      <c r="G306" s="24">
        <v>2.0601851851851853E-3</v>
      </c>
      <c r="H306" s="24">
        <v>0.58520000000000005</v>
      </c>
      <c r="I306" s="18">
        <f t="shared" si="21"/>
        <v>9.4910000000000012E-3</v>
      </c>
      <c r="J306" s="18">
        <f t="shared" si="25"/>
        <v>5.8520000000000004E-3</v>
      </c>
      <c r="K306" s="19">
        <f t="shared" si="22"/>
        <v>14</v>
      </c>
      <c r="L306" s="18">
        <f t="shared" si="23"/>
        <v>5.0909090909090911E-2</v>
      </c>
      <c r="M306" s="18">
        <f t="shared" si="24"/>
        <v>0.9490909090909091</v>
      </c>
    </row>
    <row r="307" spans="1:13" x14ac:dyDescent="0.3">
      <c r="A307" s="22">
        <v>39</v>
      </c>
      <c r="B307" s="22">
        <v>36</v>
      </c>
      <c r="C307" s="23">
        <v>0.92310000000000003</v>
      </c>
      <c r="D307" s="22">
        <v>3</v>
      </c>
      <c r="E307" s="24">
        <v>2.199074074074074E-4</v>
      </c>
      <c r="F307" s="24">
        <v>1.3078703703703703E-3</v>
      </c>
      <c r="G307" s="24">
        <v>1.2962962962962963E-3</v>
      </c>
      <c r="H307" s="24">
        <v>0.77780000000000005</v>
      </c>
      <c r="I307" s="18">
        <f t="shared" si="21"/>
        <v>9.2309999999999996E-3</v>
      </c>
      <c r="J307" s="18">
        <f t="shared" si="25"/>
        <v>7.7780000000000002E-3</v>
      </c>
      <c r="K307" s="19">
        <f t="shared" si="22"/>
        <v>3</v>
      </c>
      <c r="L307" s="18">
        <f t="shared" si="23"/>
        <v>7.6923076923076927E-2</v>
      </c>
      <c r="M307" s="18">
        <f t="shared" si="24"/>
        <v>0.92307692307692313</v>
      </c>
    </row>
    <row r="308" spans="1:13" x14ac:dyDescent="0.3">
      <c r="A308" s="22">
        <v>250</v>
      </c>
      <c r="B308" s="22">
        <v>236</v>
      </c>
      <c r="C308" s="23">
        <v>0.94399999999999995</v>
      </c>
      <c r="D308" s="22">
        <v>14</v>
      </c>
      <c r="E308" s="24">
        <v>3.3564814814814812E-4</v>
      </c>
      <c r="F308" s="24">
        <v>1.4814814814814814E-3</v>
      </c>
      <c r="G308" s="24">
        <v>2.8587962962962963E-3</v>
      </c>
      <c r="H308" s="24">
        <v>0.59040000000000004</v>
      </c>
      <c r="I308" s="18">
        <f t="shared" si="21"/>
        <v>9.4399999999999987E-3</v>
      </c>
      <c r="J308" s="18">
        <f t="shared" si="25"/>
        <v>5.9040000000000004E-3</v>
      </c>
      <c r="K308" s="19">
        <f t="shared" si="22"/>
        <v>14</v>
      </c>
      <c r="L308" s="18">
        <f t="shared" si="23"/>
        <v>5.6000000000000001E-2</v>
      </c>
      <c r="M308" s="18">
        <f t="shared" si="24"/>
        <v>0.94399999999999995</v>
      </c>
    </row>
    <row r="309" spans="1:13" x14ac:dyDescent="0.3">
      <c r="A309" s="22">
        <v>197</v>
      </c>
      <c r="B309" s="22">
        <v>184</v>
      </c>
      <c r="C309" s="23">
        <v>0.93400000000000005</v>
      </c>
      <c r="D309" s="22">
        <v>13</v>
      </c>
      <c r="E309" s="24">
        <v>3.3564814814814812E-4</v>
      </c>
      <c r="F309" s="24">
        <v>1.6550925925925926E-3</v>
      </c>
      <c r="G309" s="24">
        <v>2.5578703703703705E-3</v>
      </c>
      <c r="H309" s="24">
        <v>0.55610000000000004</v>
      </c>
      <c r="I309" s="18">
        <f t="shared" si="21"/>
        <v>9.3400000000000011E-3</v>
      </c>
      <c r="J309" s="18">
        <f t="shared" si="25"/>
        <v>5.561E-3</v>
      </c>
      <c r="K309" s="19">
        <f t="shared" si="22"/>
        <v>13</v>
      </c>
      <c r="L309" s="18">
        <f t="shared" si="23"/>
        <v>6.5989847715736044E-2</v>
      </c>
      <c r="M309" s="18">
        <f t="shared" si="24"/>
        <v>0.93401015228426398</v>
      </c>
    </row>
    <row r="310" spans="1:13" x14ac:dyDescent="0.3">
      <c r="A310" s="22">
        <v>223</v>
      </c>
      <c r="B310" s="22">
        <v>208</v>
      </c>
      <c r="C310" s="23">
        <v>0.93269999999999997</v>
      </c>
      <c r="D310" s="22">
        <v>15</v>
      </c>
      <c r="E310" s="24">
        <v>3.2407407407407406E-4</v>
      </c>
      <c r="F310" s="24">
        <v>1.6319444444444445E-3</v>
      </c>
      <c r="G310" s="24">
        <v>4.7569444444444447E-3</v>
      </c>
      <c r="H310" s="24">
        <v>0.72270000000000001</v>
      </c>
      <c r="I310" s="18">
        <f t="shared" si="21"/>
        <v>9.3270000000000002E-3</v>
      </c>
      <c r="J310" s="18">
        <f t="shared" si="25"/>
        <v>7.2269999999999999E-3</v>
      </c>
      <c r="K310" s="19">
        <f t="shared" si="22"/>
        <v>15</v>
      </c>
      <c r="L310" s="18">
        <f t="shared" si="23"/>
        <v>6.726457399103139E-2</v>
      </c>
      <c r="M310" s="18">
        <f t="shared" si="24"/>
        <v>0.93273542600896864</v>
      </c>
    </row>
    <row r="311" spans="1:13" x14ac:dyDescent="0.3">
      <c r="A311" s="22">
        <v>240</v>
      </c>
      <c r="B311" s="22">
        <v>236</v>
      </c>
      <c r="C311" s="23">
        <v>0.98329999999999995</v>
      </c>
      <c r="D311" s="22">
        <v>4</v>
      </c>
      <c r="E311" s="24">
        <v>2.0833333333333335E-4</v>
      </c>
      <c r="F311" s="24">
        <v>1.5509259259259259E-3</v>
      </c>
      <c r="G311" s="24">
        <v>1.4814814814814814E-3</v>
      </c>
      <c r="H311" s="24">
        <v>0.7792</v>
      </c>
      <c r="I311" s="18">
        <f t="shared" si="21"/>
        <v>9.8329999999999997E-3</v>
      </c>
      <c r="J311" s="18">
        <f t="shared" si="25"/>
        <v>7.7920000000000003E-3</v>
      </c>
      <c r="K311" s="19">
        <f t="shared" si="22"/>
        <v>4</v>
      </c>
      <c r="L311" s="18">
        <f t="shared" si="23"/>
        <v>1.6666666666666666E-2</v>
      </c>
      <c r="M311" s="18">
        <f t="shared" si="24"/>
        <v>0.98333333333333328</v>
      </c>
    </row>
    <row r="312" spans="1:13" x14ac:dyDescent="0.3">
      <c r="A312" s="22">
        <v>55</v>
      </c>
      <c r="B312" s="22">
        <v>52</v>
      </c>
      <c r="C312" s="23">
        <v>0.94550000000000001</v>
      </c>
      <c r="D312" s="22">
        <v>3</v>
      </c>
      <c r="E312" s="24">
        <v>1.8518518518518518E-4</v>
      </c>
      <c r="F312" s="24">
        <v>1.6087962962962963E-3</v>
      </c>
      <c r="G312" s="24">
        <v>1.1805555555555556E-3</v>
      </c>
      <c r="H312" s="24">
        <v>0.78180000000000005</v>
      </c>
      <c r="I312" s="18">
        <f t="shared" si="21"/>
        <v>9.4549999999999999E-3</v>
      </c>
      <c r="J312" s="18">
        <f t="shared" si="25"/>
        <v>7.8180000000000003E-3</v>
      </c>
      <c r="K312" s="19">
        <f t="shared" si="22"/>
        <v>3</v>
      </c>
      <c r="L312" s="18">
        <f t="shared" si="23"/>
        <v>5.4545454545454543E-2</v>
      </c>
      <c r="M312" s="18">
        <f t="shared" si="24"/>
        <v>0.94545454545454544</v>
      </c>
    </row>
    <row r="313" spans="1:13" x14ac:dyDescent="0.3">
      <c r="A313" s="22">
        <v>59</v>
      </c>
      <c r="B313" s="22">
        <v>54</v>
      </c>
      <c r="C313" s="23">
        <v>0.9153</v>
      </c>
      <c r="D313" s="22">
        <v>5</v>
      </c>
      <c r="E313" s="24">
        <v>9.2592592592592588E-5</v>
      </c>
      <c r="F313" s="24">
        <v>1.4583333333333334E-3</v>
      </c>
      <c r="G313" s="24">
        <v>1.4004629629629629E-3</v>
      </c>
      <c r="H313" s="24">
        <v>0.84750000000000003</v>
      </c>
      <c r="I313" s="18">
        <f t="shared" si="21"/>
        <v>9.1529999999999997E-3</v>
      </c>
      <c r="J313" s="18">
        <f t="shared" si="25"/>
        <v>8.4749999999999999E-3</v>
      </c>
      <c r="K313" s="19">
        <f t="shared" si="22"/>
        <v>5</v>
      </c>
      <c r="L313" s="18">
        <f t="shared" si="23"/>
        <v>8.4745762711864403E-2</v>
      </c>
      <c r="M313" s="18">
        <f t="shared" si="24"/>
        <v>0.9152542372881356</v>
      </c>
    </row>
    <row r="314" spans="1:13" x14ac:dyDescent="0.3">
      <c r="A314" s="22">
        <v>36</v>
      </c>
      <c r="B314" s="22">
        <v>31</v>
      </c>
      <c r="C314" s="23">
        <v>0.86109999999999998</v>
      </c>
      <c r="D314" s="22">
        <v>5</v>
      </c>
      <c r="E314" s="24">
        <v>1.273148148148148E-4</v>
      </c>
      <c r="F314" s="24">
        <v>1.6435185185185185E-3</v>
      </c>
      <c r="G314" s="24">
        <v>1.3425925925925925E-3</v>
      </c>
      <c r="H314" s="24">
        <v>0.72219999999999995</v>
      </c>
      <c r="I314" s="18">
        <f t="shared" si="21"/>
        <v>8.6110000000000006E-3</v>
      </c>
      <c r="J314" s="18">
        <f t="shared" si="25"/>
        <v>7.2219999999999993E-3</v>
      </c>
      <c r="K314" s="19">
        <f t="shared" si="22"/>
        <v>5</v>
      </c>
      <c r="L314" s="18">
        <f t="shared" si="23"/>
        <v>0.1388888888888889</v>
      </c>
      <c r="M314" s="18">
        <f t="shared" si="24"/>
        <v>0.86111111111111116</v>
      </c>
    </row>
    <row r="315" spans="1:13" x14ac:dyDescent="0.3">
      <c r="A315" s="22">
        <v>229</v>
      </c>
      <c r="B315" s="22">
        <v>219</v>
      </c>
      <c r="C315" s="23">
        <v>0.95630000000000004</v>
      </c>
      <c r="D315" s="22">
        <v>10</v>
      </c>
      <c r="E315" s="24">
        <v>1.5046296296296297E-4</v>
      </c>
      <c r="F315" s="24">
        <v>1.4699074074074074E-3</v>
      </c>
      <c r="G315" s="24">
        <v>1.7939814814814815E-3</v>
      </c>
      <c r="H315" s="24">
        <v>0.84889999999999999</v>
      </c>
      <c r="I315" s="18">
        <f t="shared" si="21"/>
        <v>9.5630000000000003E-3</v>
      </c>
      <c r="J315" s="18">
        <f t="shared" si="25"/>
        <v>8.489E-3</v>
      </c>
      <c r="K315" s="19">
        <f t="shared" si="22"/>
        <v>10</v>
      </c>
      <c r="L315" s="18">
        <f t="shared" si="23"/>
        <v>4.3668122270742356E-2</v>
      </c>
      <c r="M315" s="18">
        <f t="shared" si="24"/>
        <v>0.95633187772925765</v>
      </c>
    </row>
    <row r="316" spans="1:13" x14ac:dyDescent="0.3">
      <c r="A316" s="22">
        <v>206</v>
      </c>
      <c r="B316" s="22">
        <v>189</v>
      </c>
      <c r="C316" s="23">
        <v>0.91749999999999998</v>
      </c>
      <c r="D316" s="22">
        <v>17</v>
      </c>
      <c r="E316" s="24">
        <v>1.7361111111111112E-4</v>
      </c>
      <c r="F316" s="24">
        <v>1.6087962962962963E-3</v>
      </c>
      <c r="G316" s="24">
        <v>2.638888888888889E-3</v>
      </c>
      <c r="H316" s="24">
        <v>0.82830000000000004</v>
      </c>
      <c r="I316" s="18">
        <f t="shared" si="21"/>
        <v>9.1749999999999991E-3</v>
      </c>
      <c r="J316" s="18">
        <f t="shared" si="25"/>
        <v>8.2830000000000004E-3</v>
      </c>
      <c r="K316" s="19">
        <f t="shared" si="22"/>
        <v>17</v>
      </c>
      <c r="L316" s="18">
        <f t="shared" si="23"/>
        <v>8.2524271844660199E-2</v>
      </c>
      <c r="M316" s="18">
        <f t="shared" si="24"/>
        <v>0.91747572815533984</v>
      </c>
    </row>
    <row r="317" spans="1:13" x14ac:dyDescent="0.3">
      <c r="A317" s="22">
        <v>225</v>
      </c>
      <c r="B317" s="22">
        <v>200</v>
      </c>
      <c r="C317" s="23">
        <v>0.88890000000000002</v>
      </c>
      <c r="D317" s="22">
        <v>25</v>
      </c>
      <c r="E317" s="24">
        <v>2.4305555555555555E-4</v>
      </c>
      <c r="F317" s="24">
        <v>1.6319444444444445E-3</v>
      </c>
      <c r="G317" s="24">
        <v>3.2638888888888891E-3</v>
      </c>
      <c r="H317" s="24">
        <v>0.73109999999999997</v>
      </c>
      <c r="I317" s="18">
        <f t="shared" si="21"/>
        <v>8.8890000000000011E-3</v>
      </c>
      <c r="J317" s="18">
        <f t="shared" si="25"/>
        <v>7.3109999999999998E-3</v>
      </c>
      <c r="K317" s="19">
        <f t="shared" si="22"/>
        <v>25</v>
      </c>
      <c r="L317" s="18">
        <f t="shared" si="23"/>
        <v>0.1111111111111111</v>
      </c>
      <c r="M317" s="18">
        <f t="shared" si="24"/>
        <v>0.88888888888888884</v>
      </c>
    </row>
    <row r="318" spans="1:13" x14ac:dyDescent="0.3">
      <c r="A318" s="22">
        <v>200</v>
      </c>
      <c r="B318" s="22">
        <v>193</v>
      </c>
      <c r="C318" s="23">
        <v>0.96499999999999997</v>
      </c>
      <c r="D318" s="22">
        <v>7</v>
      </c>
      <c r="E318" s="24">
        <v>1.9675925925925926E-4</v>
      </c>
      <c r="F318" s="24">
        <v>1.6550925925925926E-3</v>
      </c>
      <c r="G318" s="24">
        <v>2.5462962962962965E-3</v>
      </c>
      <c r="H318" s="24">
        <v>0.79290000000000005</v>
      </c>
      <c r="I318" s="18">
        <f t="shared" si="21"/>
        <v>9.6499999999999989E-3</v>
      </c>
      <c r="J318" s="18">
        <f t="shared" si="25"/>
        <v>7.9290000000000003E-3</v>
      </c>
      <c r="K318" s="19">
        <f t="shared" si="22"/>
        <v>7</v>
      </c>
      <c r="L318" s="18">
        <f t="shared" si="23"/>
        <v>3.5000000000000003E-2</v>
      </c>
      <c r="M318" s="18">
        <f t="shared" si="24"/>
        <v>0.96499999999999997</v>
      </c>
    </row>
    <row r="319" spans="1:13" x14ac:dyDescent="0.3">
      <c r="A319" s="22">
        <v>189</v>
      </c>
      <c r="B319" s="22">
        <v>179</v>
      </c>
      <c r="C319" s="23">
        <v>0.94710000000000005</v>
      </c>
      <c r="D319" s="22">
        <v>10</v>
      </c>
      <c r="E319" s="24">
        <v>2.5462962962962961E-4</v>
      </c>
      <c r="F319" s="24">
        <v>1.5046296296296296E-3</v>
      </c>
      <c r="G319" s="24">
        <v>4.6412037037037038E-3</v>
      </c>
      <c r="H319" s="24">
        <v>0.78069999999999995</v>
      </c>
      <c r="I319" s="18">
        <f t="shared" si="21"/>
        <v>9.4710000000000003E-3</v>
      </c>
      <c r="J319" s="18">
        <f t="shared" si="25"/>
        <v>7.8069999999999997E-3</v>
      </c>
      <c r="K319" s="19">
        <f t="shared" si="22"/>
        <v>10</v>
      </c>
      <c r="L319" s="18">
        <f t="shared" si="23"/>
        <v>5.2910052910052907E-2</v>
      </c>
      <c r="M319" s="18">
        <f t="shared" si="24"/>
        <v>0.94708994708994709</v>
      </c>
    </row>
    <row r="320" spans="1:13" x14ac:dyDescent="0.3">
      <c r="A320" s="22">
        <v>169</v>
      </c>
      <c r="B320" s="22">
        <v>159</v>
      </c>
      <c r="C320" s="23">
        <v>0.94079999999999997</v>
      </c>
      <c r="D320" s="22">
        <v>10</v>
      </c>
      <c r="E320" s="24">
        <v>2.5462962962962961E-4</v>
      </c>
      <c r="F320" s="24">
        <v>1.6550925925925926E-3</v>
      </c>
      <c r="G320" s="24">
        <v>2.3842592592592591E-3</v>
      </c>
      <c r="H320" s="24">
        <v>0.73650000000000004</v>
      </c>
      <c r="I320" s="18">
        <f t="shared" si="21"/>
        <v>9.4079999999999997E-3</v>
      </c>
      <c r="J320" s="18">
        <f t="shared" si="25"/>
        <v>7.365E-3</v>
      </c>
      <c r="K320" s="19">
        <f t="shared" si="22"/>
        <v>10</v>
      </c>
      <c r="L320" s="18">
        <f t="shared" si="23"/>
        <v>5.9171597633136092E-2</v>
      </c>
      <c r="M320" s="18">
        <f t="shared" si="24"/>
        <v>0.94082840236686394</v>
      </c>
    </row>
    <row r="321" spans="1:13" x14ac:dyDescent="0.3">
      <c r="A321" s="22">
        <v>41</v>
      </c>
      <c r="B321" s="22">
        <v>40</v>
      </c>
      <c r="C321" s="23">
        <v>0.97560000000000002</v>
      </c>
      <c r="D321" s="22">
        <v>1</v>
      </c>
      <c r="E321" s="24">
        <v>2.8935185185185184E-4</v>
      </c>
      <c r="F321" s="24">
        <v>1.7592592592592592E-3</v>
      </c>
      <c r="G321" s="24">
        <v>1.4467592592592592E-3</v>
      </c>
      <c r="H321" s="24">
        <v>0.68289999999999995</v>
      </c>
      <c r="I321" s="18">
        <f t="shared" si="21"/>
        <v>9.7560000000000008E-3</v>
      </c>
      <c r="J321" s="18">
        <f t="shared" si="25"/>
        <v>6.8289999999999991E-3</v>
      </c>
      <c r="K321" s="19">
        <f t="shared" si="22"/>
        <v>1</v>
      </c>
      <c r="L321" s="18">
        <f t="shared" si="23"/>
        <v>2.4390243902439025E-2</v>
      </c>
      <c r="M321" s="18">
        <f t="shared" si="24"/>
        <v>0.97560975609756095</v>
      </c>
    </row>
    <row r="322" spans="1:13" x14ac:dyDescent="0.3">
      <c r="A322" s="22">
        <v>218</v>
      </c>
      <c r="B322" s="22">
        <v>187</v>
      </c>
      <c r="C322" s="23">
        <v>0.85780000000000001</v>
      </c>
      <c r="D322" s="22">
        <v>31</v>
      </c>
      <c r="E322" s="24">
        <v>5.5555555555555556E-4</v>
      </c>
      <c r="F322" s="24">
        <v>1.5625000000000001E-3</v>
      </c>
      <c r="G322" s="24">
        <v>3.6226851851851854E-3</v>
      </c>
      <c r="H322" s="24">
        <v>0.52110000000000001</v>
      </c>
      <c r="I322" s="18">
        <f t="shared" si="21"/>
        <v>8.5780000000000006E-3</v>
      </c>
      <c r="J322" s="18">
        <f t="shared" si="25"/>
        <v>5.2110000000000004E-3</v>
      </c>
      <c r="K322" s="19">
        <f t="shared" si="22"/>
        <v>31</v>
      </c>
      <c r="L322" s="18">
        <f t="shared" si="23"/>
        <v>0.14220183486238533</v>
      </c>
      <c r="M322" s="18">
        <f t="shared" si="24"/>
        <v>0.85779816513761464</v>
      </c>
    </row>
    <row r="323" spans="1:13" x14ac:dyDescent="0.3">
      <c r="A323" s="22">
        <v>194</v>
      </c>
      <c r="B323" s="22">
        <v>185</v>
      </c>
      <c r="C323" s="23">
        <v>0.9536</v>
      </c>
      <c r="D323" s="22">
        <v>9</v>
      </c>
      <c r="E323" s="24">
        <v>2.4305555555555555E-4</v>
      </c>
      <c r="F323" s="24">
        <v>1.5046296296296296E-3</v>
      </c>
      <c r="G323" s="24">
        <v>1.9097222222222222E-3</v>
      </c>
      <c r="H323" s="24">
        <v>0.71579999999999999</v>
      </c>
      <c r="I323" s="18">
        <f t="shared" ref="I323:I386" si="26">VALUE(SUBSTITUTE(C323,"%",""))/100</f>
        <v>9.5359999999999993E-3</v>
      </c>
      <c r="J323" s="18">
        <f t="shared" si="25"/>
        <v>7.1580000000000003E-3</v>
      </c>
      <c r="K323" s="19">
        <f t="shared" ref="K323:K386" si="27">A323-B323</f>
        <v>9</v>
      </c>
      <c r="L323" s="18">
        <f t="shared" ref="L323:L386" si="28">D323/A323</f>
        <v>4.6391752577319589E-2</v>
      </c>
      <c r="M323" s="18">
        <f t="shared" ref="M323:M386" si="29">B323/A323</f>
        <v>0.95360824742268047</v>
      </c>
    </row>
    <row r="324" spans="1:13" x14ac:dyDescent="0.3">
      <c r="A324" s="22">
        <v>176</v>
      </c>
      <c r="B324" s="22">
        <v>172</v>
      </c>
      <c r="C324" s="23">
        <v>0.97729999999999995</v>
      </c>
      <c r="D324" s="22">
        <v>4</v>
      </c>
      <c r="E324" s="24">
        <v>1.8518518518518518E-4</v>
      </c>
      <c r="F324" s="24">
        <v>1.6203703703703703E-3</v>
      </c>
      <c r="G324" s="24">
        <v>1.5625000000000001E-3</v>
      </c>
      <c r="H324" s="24">
        <v>0.82079999999999997</v>
      </c>
      <c r="I324" s="18">
        <f t="shared" si="26"/>
        <v>9.7729999999999987E-3</v>
      </c>
      <c r="J324" s="18">
        <f t="shared" si="25"/>
        <v>8.208E-3</v>
      </c>
      <c r="K324" s="19">
        <f t="shared" si="27"/>
        <v>4</v>
      </c>
      <c r="L324" s="18">
        <f t="shared" si="28"/>
        <v>2.2727272727272728E-2</v>
      </c>
      <c r="M324" s="18">
        <f t="shared" si="29"/>
        <v>0.97727272727272729</v>
      </c>
    </row>
    <row r="325" spans="1:13" x14ac:dyDescent="0.3">
      <c r="A325" s="22">
        <v>181</v>
      </c>
      <c r="B325" s="22">
        <v>179</v>
      </c>
      <c r="C325" s="23">
        <v>0.98899999999999999</v>
      </c>
      <c r="D325" s="22">
        <v>2</v>
      </c>
      <c r="E325" s="24">
        <v>2.0833333333333335E-4</v>
      </c>
      <c r="F325" s="24">
        <v>1.6319444444444445E-3</v>
      </c>
      <c r="G325" s="24">
        <v>1.5856481481481481E-3</v>
      </c>
      <c r="H325" s="24">
        <v>0.80559999999999998</v>
      </c>
      <c r="I325" s="18">
        <f t="shared" si="26"/>
        <v>9.8899999999999995E-3</v>
      </c>
      <c r="J325" s="18">
        <f t="shared" si="25"/>
        <v>8.0560000000000007E-3</v>
      </c>
      <c r="K325" s="19">
        <f t="shared" si="27"/>
        <v>2</v>
      </c>
      <c r="L325" s="18">
        <f t="shared" si="28"/>
        <v>1.1049723756906077E-2</v>
      </c>
      <c r="M325" s="18">
        <f t="shared" si="29"/>
        <v>0.98895027624309395</v>
      </c>
    </row>
    <row r="326" spans="1:13" x14ac:dyDescent="0.3">
      <c r="A326" s="22">
        <v>159</v>
      </c>
      <c r="B326" s="22">
        <v>151</v>
      </c>
      <c r="C326" s="23">
        <v>0.94969999999999999</v>
      </c>
      <c r="D326" s="22">
        <v>8</v>
      </c>
      <c r="E326" s="24">
        <v>3.3564814814814812E-4</v>
      </c>
      <c r="F326" s="24">
        <v>1.3773148148148147E-3</v>
      </c>
      <c r="G326" s="24">
        <v>2.5578703703703705E-3</v>
      </c>
      <c r="H326" s="24">
        <v>0.61009999999999998</v>
      </c>
      <c r="I326" s="18">
        <f t="shared" si="26"/>
        <v>9.4970000000000002E-3</v>
      </c>
      <c r="J326" s="18">
        <f t="shared" ref="J326:J389" si="30">VALUE(SUBSTITUTE(H326,"%",""))/100</f>
        <v>6.1009999999999997E-3</v>
      </c>
      <c r="K326" s="19">
        <f t="shared" si="27"/>
        <v>8</v>
      </c>
      <c r="L326" s="18">
        <f t="shared" si="28"/>
        <v>5.0314465408805034E-2</v>
      </c>
      <c r="M326" s="18">
        <f t="shared" si="29"/>
        <v>0.94968553459119498</v>
      </c>
    </row>
    <row r="327" spans="1:13" x14ac:dyDescent="0.3">
      <c r="A327" s="22">
        <v>144</v>
      </c>
      <c r="B327" s="22">
        <v>135</v>
      </c>
      <c r="C327" s="23">
        <v>0.9375</v>
      </c>
      <c r="D327" s="22">
        <v>9</v>
      </c>
      <c r="E327" s="24">
        <v>2.7777777777777778E-4</v>
      </c>
      <c r="F327" s="24">
        <v>1.5277777777777779E-3</v>
      </c>
      <c r="G327" s="24">
        <v>4.4560185185185189E-3</v>
      </c>
      <c r="H327" s="24">
        <v>0.70630000000000004</v>
      </c>
      <c r="I327" s="18">
        <f t="shared" si="26"/>
        <v>9.3749999999999997E-3</v>
      </c>
      <c r="J327" s="18">
        <f t="shared" si="30"/>
        <v>7.0630000000000007E-3</v>
      </c>
      <c r="K327" s="19">
        <f t="shared" si="27"/>
        <v>9</v>
      </c>
      <c r="L327" s="18">
        <f t="shared" si="28"/>
        <v>6.25E-2</v>
      </c>
      <c r="M327" s="18">
        <f t="shared" si="29"/>
        <v>0.9375</v>
      </c>
    </row>
    <row r="328" spans="1:13" x14ac:dyDescent="0.3">
      <c r="A328" s="22">
        <v>30</v>
      </c>
      <c r="B328" s="22">
        <v>29</v>
      </c>
      <c r="C328" s="23">
        <v>0.9667</v>
      </c>
      <c r="D328" s="22">
        <v>1</v>
      </c>
      <c r="E328" s="24">
        <v>3.8194444444444446E-4</v>
      </c>
      <c r="F328" s="24">
        <v>2.0601851851851853E-3</v>
      </c>
      <c r="G328" s="24">
        <v>1.5740740740740741E-3</v>
      </c>
      <c r="H328" s="24">
        <v>0.6</v>
      </c>
      <c r="I328" s="18">
        <f t="shared" si="26"/>
        <v>9.6670000000000002E-3</v>
      </c>
      <c r="J328" s="18">
        <f t="shared" si="30"/>
        <v>6.0000000000000001E-3</v>
      </c>
      <c r="K328" s="19">
        <f t="shared" si="27"/>
        <v>1</v>
      </c>
      <c r="L328" s="18">
        <f t="shared" si="28"/>
        <v>3.3333333333333333E-2</v>
      </c>
      <c r="M328" s="18">
        <f t="shared" si="29"/>
        <v>0.96666666666666667</v>
      </c>
    </row>
    <row r="329" spans="1:13" x14ac:dyDescent="0.3">
      <c r="A329" s="22">
        <v>197</v>
      </c>
      <c r="B329" s="22">
        <v>185</v>
      </c>
      <c r="C329" s="23">
        <v>0.93910000000000005</v>
      </c>
      <c r="D329" s="22">
        <v>12</v>
      </c>
      <c r="E329" s="24">
        <v>2.7777777777777778E-4</v>
      </c>
      <c r="F329" s="24">
        <v>1.5972222222222223E-3</v>
      </c>
      <c r="G329" s="24">
        <v>1.6203703703703703E-3</v>
      </c>
      <c r="H329" s="24">
        <v>0.68230000000000002</v>
      </c>
      <c r="I329" s="18">
        <f t="shared" si="26"/>
        <v>9.391E-3</v>
      </c>
      <c r="J329" s="18">
        <f t="shared" si="30"/>
        <v>6.8230000000000001E-3</v>
      </c>
      <c r="K329" s="19">
        <f t="shared" si="27"/>
        <v>12</v>
      </c>
      <c r="L329" s="18">
        <f t="shared" si="28"/>
        <v>6.0913705583756347E-2</v>
      </c>
      <c r="M329" s="18">
        <f t="shared" si="29"/>
        <v>0.93908629441624369</v>
      </c>
    </row>
    <row r="330" spans="1:13" x14ac:dyDescent="0.3">
      <c r="A330" s="22">
        <v>56</v>
      </c>
      <c r="B330" s="22">
        <v>47</v>
      </c>
      <c r="C330" s="23">
        <v>0.83930000000000005</v>
      </c>
      <c r="D330" s="22">
        <v>9</v>
      </c>
      <c r="E330" s="24">
        <v>2.7777777777777778E-4</v>
      </c>
      <c r="F330" s="24">
        <v>1.6435185185185185E-3</v>
      </c>
      <c r="G330" s="24">
        <v>1.9444444444444444E-3</v>
      </c>
      <c r="H330" s="24">
        <v>0.58930000000000005</v>
      </c>
      <c r="I330" s="18">
        <f t="shared" si="26"/>
        <v>8.3930000000000012E-3</v>
      </c>
      <c r="J330" s="18">
        <f t="shared" si="30"/>
        <v>5.8930000000000007E-3</v>
      </c>
      <c r="K330" s="19">
        <f t="shared" si="27"/>
        <v>9</v>
      </c>
      <c r="L330" s="18">
        <f t="shared" si="28"/>
        <v>0.16071428571428573</v>
      </c>
      <c r="M330" s="18">
        <f t="shared" si="29"/>
        <v>0.8392857142857143</v>
      </c>
    </row>
    <row r="331" spans="1:13" x14ac:dyDescent="0.3">
      <c r="A331" s="22">
        <v>182</v>
      </c>
      <c r="B331" s="22">
        <v>153</v>
      </c>
      <c r="C331" s="23">
        <v>0.8407</v>
      </c>
      <c r="D331" s="22">
        <v>29</v>
      </c>
      <c r="E331" s="24">
        <v>4.3981481481481481E-4</v>
      </c>
      <c r="F331" s="24">
        <v>1.5856481481481481E-3</v>
      </c>
      <c r="G331" s="24">
        <v>7.4189814814814813E-3</v>
      </c>
      <c r="H331" s="24">
        <v>0.53890000000000005</v>
      </c>
      <c r="I331" s="18">
        <f t="shared" si="26"/>
        <v>8.4069999999999995E-3</v>
      </c>
      <c r="J331" s="18">
        <f t="shared" si="30"/>
        <v>5.3890000000000006E-3</v>
      </c>
      <c r="K331" s="19">
        <f t="shared" si="27"/>
        <v>29</v>
      </c>
      <c r="L331" s="18">
        <f t="shared" si="28"/>
        <v>0.15934065934065933</v>
      </c>
      <c r="M331" s="18">
        <f t="shared" si="29"/>
        <v>0.84065934065934067</v>
      </c>
    </row>
    <row r="332" spans="1:13" x14ac:dyDescent="0.3">
      <c r="A332" s="22">
        <v>178</v>
      </c>
      <c r="B332" s="22">
        <v>166</v>
      </c>
      <c r="C332" s="23">
        <v>0.93259999999999998</v>
      </c>
      <c r="D332" s="22">
        <v>12</v>
      </c>
      <c r="E332" s="24">
        <v>3.4722222222222224E-4</v>
      </c>
      <c r="F332" s="24">
        <v>1.6666666666666668E-3</v>
      </c>
      <c r="G332" s="24">
        <v>3.6111111111111109E-3</v>
      </c>
      <c r="H332" s="24">
        <v>0.62070000000000003</v>
      </c>
      <c r="I332" s="18">
        <f t="shared" si="26"/>
        <v>9.3259999999999992E-3</v>
      </c>
      <c r="J332" s="18">
        <f t="shared" si="30"/>
        <v>6.2070000000000007E-3</v>
      </c>
      <c r="K332" s="19">
        <f t="shared" si="27"/>
        <v>12</v>
      </c>
      <c r="L332" s="18">
        <f t="shared" si="28"/>
        <v>6.741573033707865E-2</v>
      </c>
      <c r="M332" s="18">
        <f t="shared" si="29"/>
        <v>0.93258426966292129</v>
      </c>
    </row>
    <row r="333" spans="1:13" x14ac:dyDescent="0.3">
      <c r="A333" s="22">
        <v>183</v>
      </c>
      <c r="B333" s="22">
        <v>164</v>
      </c>
      <c r="C333" s="23">
        <v>0.8962</v>
      </c>
      <c r="D333" s="22">
        <v>19</v>
      </c>
      <c r="E333" s="24">
        <v>2.8935185185185184E-4</v>
      </c>
      <c r="F333" s="24">
        <v>1.4351851851851852E-3</v>
      </c>
      <c r="G333" s="24">
        <v>2.5462962962962965E-3</v>
      </c>
      <c r="H333" s="24">
        <v>0.65910000000000002</v>
      </c>
      <c r="I333" s="18">
        <f t="shared" si="26"/>
        <v>8.9619999999999995E-3</v>
      </c>
      <c r="J333" s="18">
        <f t="shared" si="30"/>
        <v>6.5910000000000005E-3</v>
      </c>
      <c r="K333" s="19">
        <f t="shared" si="27"/>
        <v>19</v>
      </c>
      <c r="L333" s="18">
        <f t="shared" si="28"/>
        <v>0.10382513661202186</v>
      </c>
      <c r="M333" s="18">
        <f t="shared" si="29"/>
        <v>0.89617486338797814</v>
      </c>
    </row>
    <row r="334" spans="1:13" x14ac:dyDescent="0.3">
      <c r="A334" s="22">
        <v>197</v>
      </c>
      <c r="B334" s="22">
        <v>182</v>
      </c>
      <c r="C334" s="23">
        <v>0.92390000000000005</v>
      </c>
      <c r="D334" s="22">
        <v>15</v>
      </c>
      <c r="E334" s="24">
        <v>3.2407407407407406E-4</v>
      </c>
      <c r="F334" s="24">
        <v>1.6782407407407408E-3</v>
      </c>
      <c r="G334" s="24">
        <v>3.0092592592592593E-3</v>
      </c>
      <c r="H334" s="24">
        <v>0.64800000000000002</v>
      </c>
      <c r="I334" s="18">
        <f t="shared" si="26"/>
        <v>9.2390000000000007E-3</v>
      </c>
      <c r="J334" s="18">
        <f t="shared" si="30"/>
        <v>6.4800000000000005E-3</v>
      </c>
      <c r="K334" s="19">
        <f t="shared" si="27"/>
        <v>15</v>
      </c>
      <c r="L334" s="18">
        <f t="shared" si="28"/>
        <v>7.6142131979695438E-2</v>
      </c>
      <c r="M334" s="18">
        <f t="shared" si="29"/>
        <v>0.92385786802030456</v>
      </c>
    </row>
    <row r="335" spans="1:13" x14ac:dyDescent="0.3">
      <c r="A335" s="22">
        <v>60</v>
      </c>
      <c r="B335" s="22">
        <v>58</v>
      </c>
      <c r="C335" s="23">
        <v>0.9667</v>
      </c>
      <c r="D335" s="22">
        <v>2</v>
      </c>
      <c r="E335" s="24">
        <v>4.2824074074074075E-4</v>
      </c>
      <c r="F335" s="24">
        <v>1.8055555555555555E-3</v>
      </c>
      <c r="G335" s="24">
        <v>2.1990740740740742E-3</v>
      </c>
      <c r="H335" s="24">
        <v>0.54239999999999999</v>
      </c>
      <c r="I335" s="18">
        <f t="shared" si="26"/>
        <v>9.6670000000000002E-3</v>
      </c>
      <c r="J335" s="18">
        <f t="shared" si="30"/>
        <v>5.424E-3</v>
      </c>
      <c r="K335" s="19">
        <f t="shared" si="27"/>
        <v>2</v>
      </c>
      <c r="L335" s="18">
        <f t="shared" si="28"/>
        <v>3.3333333333333333E-2</v>
      </c>
      <c r="M335" s="18">
        <f t="shared" si="29"/>
        <v>0.96666666666666667</v>
      </c>
    </row>
    <row r="336" spans="1:13" x14ac:dyDescent="0.3">
      <c r="A336" s="22">
        <v>241</v>
      </c>
      <c r="B336" s="22">
        <v>224</v>
      </c>
      <c r="C336" s="23">
        <v>0.92949999999999999</v>
      </c>
      <c r="D336" s="22">
        <v>17</v>
      </c>
      <c r="E336" s="24">
        <v>2.6620370370370372E-4</v>
      </c>
      <c r="F336" s="24">
        <v>1.6782407407407408E-3</v>
      </c>
      <c r="G336" s="24">
        <v>1.9097222222222222E-3</v>
      </c>
      <c r="H336" s="24">
        <v>0.7046</v>
      </c>
      <c r="I336" s="18">
        <f t="shared" si="26"/>
        <v>9.2949999999999994E-3</v>
      </c>
      <c r="J336" s="18">
        <f t="shared" si="30"/>
        <v>7.0460000000000002E-3</v>
      </c>
      <c r="K336" s="19">
        <f t="shared" si="27"/>
        <v>17</v>
      </c>
      <c r="L336" s="18">
        <f t="shared" si="28"/>
        <v>7.0539419087136929E-2</v>
      </c>
      <c r="M336" s="18">
        <f t="shared" si="29"/>
        <v>0.9294605809128631</v>
      </c>
    </row>
    <row r="337" spans="1:13" x14ac:dyDescent="0.3">
      <c r="A337" s="22">
        <v>307</v>
      </c>
      <c r="B337" s="22">
        <v>295</v>
      </c>
      <c r="C337" s="23">
        <v>0.96089999999999998</v>
      </c>
      <c r="D337" s="22">
        <v>12</v>
      </c>
      <c r="E337" s="24">
        <v>3.3564814814814812E-4</v>
      </c>
      <c r="F337" s="24">
        <v>1.5740740740740741E-3</v>
      </c>
      <c r="G337" s="24">
        <v>1.9097222222222222E-3</v>
      </c>
      <c r="H337" s="24">
        <v>0.60460000000000003</v>
      </c>
      <c r="I337" s="18">
        <f t="shared" si="26"/>
        <v>9.6089999999999995E-3</v>
      </c>
      <c r="J337" s="18">
        <f t="shared" si="30"/>
        <v>6.0460000000000002E-3</v>
      </c>
      <c r="K337" s="19">
        <f t="shared" si="27"/>
        <v>12</v>
      </c>
      <c r="L337" s="18">
        <f t="shared" si="28"/>
        <v>3.9087947882736153E-2</v>
      </c>
      <c r="M337" s="18">
        <f t="shared" si="29"/>
        <v>0.96091205211726383</v>
      </c>
    </row>
    <row r="338" spans="1:13" x14ac:dyDescent="0.3">
      <c r="A338" s="22">
        <v>295</v>
      </c>
      <c r="B338" s="22">
        <v>289</v>
      </c>
      <c r="C338" s="23">
        <v>0.97970000000000002</v>
      </c>
      <c r="D338" s="22">
        <v>6</v>
      </c>
      <c r="E338" s="24">
        <v>3.0092592592592595E-4</v>
      </c>
      <c r="F338" s="24">
        <v>1.6550925925925926E-3</v>
      </c>
      <c r="G338" s="24">
        <v>2.2106481481481482E-3</v>
      </c>
      <c r="H338" s="24">
        <v>0.70689999999999997</v>
      </c>
      <c r="I338" s="18">
        <f t="shared" si="26"/>
        <v>9.7970000000000002E-3</v>
      </c>
      <c r="J338" s="18">
        <f t="shared" si="30"/>
        <v>7.0689999999999998E-3</v>
      </c>
      <c r="K338" s="19">
        <f t="shared" si="27"/>
        <v>6</v>
      </c>
      <c r="L338" s="18">
        <f t="shared" si="28"/>
        <v>2.0338983050847456E-2</v>
      </c>
      <c r="M338" s="18">
        <f t="shared" si="29"/>
        <v>0.97966101694915253</v>
      </c>
    </row>
    <row r="339" spans="1:13" x14ac:dyDescent="0.3">
      <c r="A339" s="22">
        <v>239</v>
      </c>
      <c r="B339" s="22">
        <v>230</v>
      </c>
      <c r="C339" s="23">
        <v>0.96230000000000004</v>
      </c>
      <c r="D339" s="22">
        <v>9</v>
      </c>
      <c r="E339" s="24">
        <v>3.0092592592592595E-4</v>
      </c>
      <c r="F339" s="24">
        <v>1.5509259259259259E-3</v>
      </c>
      <c r="G339" s="24">
        <v>2.2453703703703702E-3</v>
      </c>
      <c r="H339" s="24">
        <v>0.68910000000000005</v>
      </c>
      <c r="I339" s="18">
        <f t="shared" si="26"/>
        <v>9.6229999999999996E-3</v>
      </c>
      <c r="J339" s="18">
        <f t="shared" si="30"/>
        <v>6.8910000000000004E-3</v>
      </c>
      <c r="K339" s="19">
        <f t="shared" si="27"/>
        <v>9</v>
      </c>
      <c r="L339" s="18">
        <f t="shared" si="28"/>
        <v>3.7656903765690378E-2</v>
      </c>
      <c r="M339" s="18">
        <f t="shared" si="29"/>
        <v>0.96234309623430958</v>
      </c>
    </row>
    <row r="340" spans="1:13" x14ac:dyDescent="0.3">
      <c r="A340" s="22">
        <v>241</v>
      </c>
      <c r="B340" s="22">
        <v>231</v>
      </c>
      <c r="C340" s="23">
        <v>0.95850000000000002</v>
      </c>
      <c r="D340" s="22">
        <v>10</v>
      </c>
      <c r="E340" s="24">
        <v>2.6620370370370372E-4</v>
      </c>
      <c r="F340" s="24">
        <v>1.6782407407407408E-3</v>
      </c>
      <c r="G340" s="24">
        <v>1.2962962962962963E-3</v>
      </c>
      <c r="H340" s="24">
        <v>0.72460000000000002</v>
      </c>
      <c r="I340" s="18">
        <f t="shared" si="26"/>
        <v>9.5849999999999998E-3</v>
      </c>
      <c r="J340" s="18">
        <f t="shared" si="30"/>
        <v>7.2459999999999998E-3</v>
      </c>
      <c r="K340" s="19">
        <f t="shared" si="27"/>
        <v>10</v>
      </c>
      <c r="L340" s="18">
        <f t="shared" si="28"/>
        <v>4.1493775933609957E-2</v>
      </c>
      <c r="M340" s="18">
        <f t="shared" si="29"/>
        <v>0.95850622406639008</v>
      </c>
    </row>
    <row r="341" spans="1:13" x14ac:dyDescent="0.3">
      <c r="A341" s="22">
        <v>211</v>
      </c>
      <c r="B341" s="22">
        <v>195</v>
      </c>
      <c r="C341" s="23">
        <v>0.92420000000000002</v>
      </c>
      <c r="D341" s="22">
        <v>16</v>
      </c>
      <c r="E341" s="24">
        <v>3.8194444444444446E-4</v>
      </c>
      <c r="F341" s="24">
        <v>1.8749999999999999E-3</v>
      </c>
      <c r="G341" s="24">
        <v>2.2685185185185187E-3</v>
      </c>
      <c r="H341" s="24">
        <v>0.52400000000000002</v>
      </c>
      <c r="I341" s="18">
        <f t="shared" si="26"/>
        <v>9.2420000000000002E-3</v>
      </c>
      <c r="J341" s="18">
        <f t="shared" si="30"/>
        <v>5.2399999999999999E-3</v>
      </c>
      <c r="K341" s="19">
        <f t="shared" si="27"/>
        <v>16</v>
      </c>
      <c r="L341" s="18">
        <f t="shared" si="28"/>
        <v>7.582938388625593E-2</v>
      </c>
      <c r="M341" s="18">
        <f t="shared" si="29"/>
        <v>0.92417061611374407</v>
      </c>
    </row>
    <row r="342" spans="1:13" x14ac:dyDescent="0.3">
      <c r="A342" s="22">
        <v>40</v>
      </c>
      <c r="B342" s="22">
        <v>35</v>
      </c>
      <c r="C342" s="23">
        <v>0.875</v>
      </c>
      <c r="D342" s="22">
        <v>5</v>
      </c>
      <c r="E342" s="24">
        <v>4.6296296296296298E-4</v>
      </c>
      <c r="F342" s="24">
        <v>1.7939814814814815E-3</v>
      </c>
      <c r="G342" s="24">
        <v>2.2222222222222222E-3</v>
      </c>
      <c r="H342" s="24">
        <v>0.47499999999999998</v>
      </c>
      <c r="I342" s="18">
        <f t="shared" si="26"/>
        <v>8.7500000000000008E-3</v>
      </c>
      <c r="J342" s="18">
        <f t="shared" si="30"/>
        <v>4.7499999999999999E-3</v>
      </c>
      <c r="K342" s="19">
        <f t="shared" si="27"/>
        <v>5</v>
      </c>
      <c r="L342" s="18">
        <f t="shared" si="28"/>
        <v>0.125</v>
      </c>
      <c r="M342" s="18">
        <f t="shared" si="29"/>
        <v>0.875</v>
      </c>
    </row>
    <row r="343" spans="1:13" x14ac:dyDescent="0.3">
      <c r="A343" s="22">
        <v>192</v>
      </c>
      <c r="B343" s="22">
        <v>174</v>
      </c>
      <c r="C343" s="23">
        <v>0.90629999999999999</v>
      </c>
      <c r="D343" s="22">
        <v>18</v>
      </c>
      <c r="E343" s="24">
        <v>3.7037037037037035E-4</v>
      </c>
      <c r="F343" s="24">
        <v>1.5740740740740741E-3</v>
      </c>
      <c r="G343" s="24">
        <v>2.5462962962962965E-3</v>
      </c>
      <c r="H343" s="24">
        <v>0.55789999999999995</v>
      </c>
      <c r="I343" s="18">
        <f t="shared" si="26"/>
        <v>9.0629999999999999E-3</v>
      </c>
      <c r="J343" s="18">
        <f t="shared" si="30"/>
        <v>5.5789999999999998E-3</v>
      </c>
      <c r="K343" s="19">
        <f t="shared" si="27"/>
        <v>18</v>
      </c>
      <c r="L343" s="18">
        <f t="shared" si="28"/>
        <v>9.375E-2</v>
      </c>
      <c r="M343" s="18">
        <f t="shared" si="29"/>
        <v>0.90625</v>
      </c>
    </row>
    <row r="344" spans="1:13" x14ac:dyDescent="0.3">
      <c r="A344" s="22">
        <v>201</v>
      </c>
      <c r="B344" s="22">
        <v>179</v>
      </c>
      <c r="C344" s="23">
        <v>0.89049999999999996</v>
      </c>
      <c r="D344" s="22">
        <v>22</v>
      </c>
      <c r="E344" s="24">
        <v>4.0509259259259258E-4</v>
      </c>
      <c r="F344" s="24">
        <v>1.5972222222222223E-3</v>
      </c>
      <c r="G344" s="24">
        <v>2.5462962962962965E-3</v>
      </c>
      <c r="H344" s="24">
        <v>0.57289999999999996</v>
      </c>
      <c r="I344" s="18">
        <f t="shared" si="26"/>
        <v>8.9049999999999997E-3</v>
      </c>
      <c r="J344" s="18">
        <f t="shared" si="30"/>
        <v>5.7289999999999997E-3</v>
      </c>
      <c r="K344" s="19">
        <f t="shared" si="27"/>
        <v>22</v>
      </c>
      <c r="L344" s="18">
        <f t="shared" si="28"/>
        <v>0.10945273631840796</v>
      </c>
      <c r="M344" s="18">
        <f t="shared" si="29"/>
        <v>0.89054726368159209</v>
      </c>
    </row>
    <row r="345" spans="1:13" x14ac:dyDescent="0.3">
      <c r="A345" s="22">
        <v>274</v>
      </c>
      <c r="B345" s="22">
        <v>247</v>
      </c>
      <c r="C345" s="23">
        <v>0.90149999999999997</v>
      </c>
      <c r="D345" s="22">
        <v>27</v>
      </c>
      <c r="E345" s="24">
        <v>3.2407407407407406E-4</v>
      </c>
      <c r="F345" s="24">
        <v>1.5046296296296296E-3</v>
      </c>
      <c r="G345" s="24">
        <v>2.8240740740740739E-3</v>
      </c>
      <c r="H345" s="24">
        <v>0.63939999999999997</v>
      </c>
      <c r="I345" s="18">
        <f t="shared" si="26"/>
        <v>9.0150000000000004E-3</v>
      </c>
      <c r="J345" s="18">
        <f t="shared" si="30"/>
        <v>6.3939999999999995E-3</v>
      </c>
      <c r="K345" s="19">
        <f t="shared" si="27"/>
        <v>27</v>
      </c>
      <c r="L345" s="18">
        <f t="shared" si="28"/>
        <v>9.8540145985401464E-2</v>
      </c>
      <c r="M345" s="18">
        <f t="shared" si="29"/>
        <v>0.90145985401459849</v>
      </c>
    </row>
    <row r="346" spans="1:13" x14ac:dyDescent="0.3">
      <c r="A346" s="22">
        <v>205</v>
      </c>
      <c r="B346" s="22">
        <v>176</v>
      </c>
      <c r="C346" s="23">
        <v>0.85850000000000004</v>
      </c>
      <c r="D346" s="22">
        <v>29</v>
      </c>
      <c r="E346" s="24">
        <v>4.7453703703703704E-4</v>
      </c>
      <c r="F346" s="24">
        <v>1.5740740740740741E-3</v>
      </c>
      <c r="G346" s="24">
        <v>3.5995370370370369E-3</v>
      </c>
      <c r="H346" s="24">
        <v>0.46229999999999999</v>
      </c>
      <c r="I346" s="18">
        <f t="shared" si="26"/>
        <v>8.5850000000000006E-3</v>
      </c>
      <c r="J346" s="18">
        <f t="shared" si="30"/>
        <v>4.6229999999999995E-3</v>
      </c>
      <c r="K346" s="19">
        <f t="shared" si="27"/>
        <v>29</v>
      </c>
      <c r="L346" s="18">
        <f t="shared" si="28"/>
        <v>0.14146341463414633</v>
      </c>
      <c r="M346" s="18">
        <f t="shared" si="29"/>
        <v>0.85853658536585364</v>
      </c>
    </row>
    <row r="347" spans="1:13" x14ac:dyDescent="0.3">
      <c r="A347" s="22">
        <v>177</v>
      </c>
      <c r="B347" s="22">
        <v>160</v>
      </c>
      <c r="C347" s="23">
        <v>0.90400000000000003</v>
      </c>
      <c r="D347" s="22">
        <v>17</v>
      </c>
      <c r="E347" s="24">
        <v>3.2407407407407406E-4</v>
      </c>
      <c r="F347" s="24">
        <v>1.6203703703703703E-3</v>
      </c>
      <c r="G347" s="24">
        <v>2.7662037037037039E-3</v>
      </c>
      <c r="H347" s="24">
        <v>0.59199999999999997</v>
      </c>
      <c r="I347" s="18">
        <f t="shared" si="26"/>
        <v>9.0399999999999994E-3</v>
      </c>
      <c r="J347" s="18">
        <f t="shared" si="30"/>
        <v>5.9199999999999999E-3</v>
      </c>
      <c r="K347" s="19">
        <f t="shared" si="27"/>
        <v>17</v>
      </c>
      <c r="L347" s="18">
        <f t="shared" si="28"/>
        <v>9.6045197740112997E-2</v>
      </c>
      <c r="M347" s="18">
        <f t="shared" si="29"/>
        <v>0.903954802259887</v>
      </c>
    </row>
    <row r="348" spans="1:13" x14ac:dyDescent="0.3">
      <c r="A348" s="22">
        <v>159</v>
      </c>
      <c r="B348" s="22">
        <v>151</v>
      </c>
      <c r="C348" s="23">
        <v>0.94969999999999999</v>
      </c>
      <c r="D348" s="22">
        <v>8</v>
      </c>
      <c r="E348" s="24">
        <v>2.5462962962962961E-4</v>
      </c>
      <c r="F348" s="24">
        <v>1.4814814814814814E-3</v>
      </c>
      <c r="G348" s="24">
        <v>5.115740740740741E-3</v>
      </c>
      <c r="H348" s="24">
        <v>0.73250000000000004</v>
      </c>
      <c r="I348" s="18">
        <f t="shared" si="26"/>
        <v>9.4970000000000002E-3</v>
      </c>
      <c r="J348" s="18">
        <f t="shared" si="30"/>
        <v>7.3250000000000008E-3</v>
      </c>
      <c r="K348" s="19">
        <f t="shared" si="27"/>
        <v>8</v>
      </c>
      <c r="L348" s="18">
        <f t="shared" si="28"/>
        <v>5.0314465408805034E-2</v>
      </c>
      <c r="M348" s="18">
        <f t="shared" si="29"/>
        <v>0.94968553459119498</v>
      </c>
    </row>
    <row r="349" spans="1:13" x14ac:dyDescent="0.3">
      <c r="A349" s="22">
        <v>33</v>
      </c>
      <c r="B349" s="22">
        <v>28</v>
      </c>
      <c r="C349" s="23">
        <v>0.84850000000000003</v>
      </c>
      <c r="D349" s="22">
        <v>5</v>
      </c>
      <c r="E349" s="24">
        <v>1.5046296296296297E-4</v>
      </c>
      <c r="F349" s="24">
        <v>1.736111111111111E-3</v>
      </c>
      <c r="G349" s="24">
        <v>7.1759259259259259E-4</v>
      </c>
      <c r="H349" s="24">
        <v>0.66669999999999996</v>
      </c>
      <c r="I349" s="18">
        <f t="shared" si="26"/>
        <v>8.4849999999999995E-3</v>
      </c>
      <c r="J349" s="18">
        <f t="shared" si="30"/>
        <v>6.6669999999999993E-3</v>
      </c>
      <c r="K349" s="19">
        <f t="shared" si="27"/>
        <v>5</v>
      </c>
      <c r="L349" s="18">
        <f t="shared" si="28"/>
        <v>0.15151515151515152</v>
      </c>
      <c r="M349" s="18">
        <f t="shared" si="29"/>
        <v>0.84848484848484851</v>
      </c>
    </row>
    <row r="350" spans="1:13" x14ac:dyDescent="0.3">
      <c r="A350" s="22">
        <v>228</v>
      </c>
      <c r="B350" s="22">
        <v>210</v>
      </c>
      <c r="C350" s="23">
        <v>0.92110000000000003</v>
      </c>
      <c r="D350" s="22">
        <v>18</v>
      </c>
      <c r="E350" s="24">
        <v>2.6620370370370372E-4</v>
      </c>
      <c r="F350" s="24">
        <v>1.4814814814814814E-3</v>
      </c>
      <c r="G350" s="24">
        <v>2.1875000000000002E-3</v>
      </c>
      <c r="H350" s="24">
        <v>0.66669999999999996</v>
      </c>
      <c r="I350" s="18">
        <f t="shared" si="26"/>
        <v>9.2110000000000004E-3</v>
      </c>
      <c r="J350" s="18">
        <f t="shared" si="30"/>
        <v>6.6669999999999993E-3</v>
      </c>
      <c r="K350" s="19">
        <f t="shared" si="27"/>
        <v>18</v>
      </c>
      <c r="L350" s="18">
        <f t="shared" si="28"/>
        <v>7.8947368421052627E-2</v>
      </c>
      <c r="M350" s="18">
        <f t="shared" si="29"/>
        <v>0.92105263157894735</v>
      </c>
    </row>
    <row r="351" spans="1:13" x14ac:dyDescent="0.3">
      <c r="A351" s="22">
        <v>177</v>
      </c>
      <c r="B351" s="22">
        <v>172</v>
      </c>
      <c r="C351" s="23">
        <v>0.9718</v>
      </c>
      <c r="D351" s="22">
        <v>5</v>
      </c>
      <c r="E351" s="24">
        <v>2.8935185185185184E-4</v>
      </c>
      <c r="F351" s="24">
        <v>1.5625000000000001E-3</v>
      </c>
      <c r="G351" s="24">
        <v>1.9907407407407408E-3</v>
      </c>
      <c r="H351" s="24">
        <v>0.69140000000000001</v>
      </c>
      <c r="I351" s="18">
        <f t="shared" si="26"/>
        <v>9.7179999999999992E-3</v>
      </c>
      <c r="J351" s="18">
        <f t="shared" si="30"/>
        <v>6.914E-3</v>
      </c>
      <c r="K351" s="19">
        <f t="shared" si="27"/>
        <v>5</v>
      </c>
      <c r="L351" s="18">
        <f t="shared" si="28"/>
        <v>2.8248587570621469E-2</v>
      </c>
      <c r="M351" s="18">
        <f t="shared" si="29"/>
        <v>0.97175141242937857</v>
      </c>
    </row>
    <row r="352" spans="1:13" x14ac:dyDescent="0.3">
      <c r="A352" s="22">
        <v>197</v>
      </c>
      <c r="B352" s="22">
        <v>169</v>
      </c>
      <c r="C352" s="23">
        <v>0.8579</v>
      </c>
      <c r="D352" s="22">
        <v>28</v>
      </c>
      <c r="E352" s="24">
        <v>3.9351851851851852E-4</v>
      </c>
      <c r="F352" s="24">
        <v>1.736111111111111E-3</v>
      </c>
      <c r="G352" s="24">
        <v>5.3356481481481484E-3</v>
      </c>
      <c r="H352" s="24">
        <v>0.55669999999999997</v>
      </c>
      <c r="I352" s="18">
        <f t="shared" si="26"/>
        <v>8.5789999999999998E-3</v>
      </c>
      <c r="J352" s="18">
        <f t="shared" si="30"/>
        <v>5.5669999999999999E-3</v>
      </c>
      <c r="K352" s="19">
        <f t="shared" si="27"/>
        <v>28</v>
      </c>
      <c r="L352" s="18">
        <f t="shared" si="28"/>
        <v>0.14213197969543148</v>
      </c>
      <c r="M352" s="18">
        <f t="shared" si="29"/>
        <v>0.85786802030456855</v>
      </c>
    </row>
    <row r="353" spans="1:13" x14ac:dyDescent="0.3">
      <c r="A353" s="22">
        <v>721</v>
      </c>
      <c r="B353" s="22">
        <v>616</v>
      </c>
      <c r="C353" s="23">
        <v>0.85440000000000005</v>
      </c>
      <c r="D353" s="22">
        <v>105</v>
      </c>
      <c r="E353" s="24">
        <v>6.5972222222222224E-4</v>
      </c>
      <c r="F353" s="24">
        <v>1.3310185185185185E-3</v>
      </c>
      <c r="G353" s="24">
        <v>4.0277777777777777E-3</v>
      </c>
      <c r="H353" s="24">
        <v>0.28310000000000002</v>
      </c>
      <c r="I353" s="18">
        <f t="shared" si="26"/>
        <v>8.5440000000000012E-3</v>
      </c>
      <c r="J353" s="18">
        <f t="shared" si="30"/>
        <v>2.8310000000000002E-3</v>
      </c>
      <c r="K353" s="19">
        <f t="shared" si="27"/>
        <v>105</v>
      </c>
      <c r="L353" s="18">
        <f t="shared" si="28"/>
        <v>0.14563106796116504</v>
      </c>
      <c r="M353" s="18">
        <f t="shared" si="29"/>
        <v>0.85436893203883491</v>
      </c>
    </row>
    <row r="354" spans="1:13" x14ac:dyDescent="0.3">
      <c r="A354" s="22">
        <v>301</v>
      </c>
      <c r="B354" s="22">
        <v>270</v>
      </c>
      <c r="C354" s="23">
        <v>0.89700000000000002</v>
      </c>
      <c r="D354" s="22">
        <v>31</v>
      </c>
      <c r="E354" s="24">
        <v>4.861111111111111E-4</v>
      </c>
      <c r="F354" s="24">
        <v>1.4467592592592592E-3</v>
      </c>
      <c r="G354" s="24">
        <v>7.013888888888889E-3</v>
      </c>
      <c r="H354" s="24">
        <v>0.42470000000000002</v>
      </c>
      <c r="I354" s="18">
        <f t="shared" si="26"/>
        <v>8.9700000000000005E-3</v>
      </c>
      <c r="J354" s="18">
        <f t="shared" si="30"/>
        <v>4.2469999999999999E-3</v>
      </c>
      <c r="K354" s="19">
        <f t="shared" si="27"/>
        <v>31</v>
      </c>
      <c r="L354" s="18">
        <f t="shared" si="28"/>
        <v>0.10299003322259136</v>
      </c>
      <c r="M354" s="18">
        <f t="shared" si="29"/>
        <v>0.89700996677740863</v>
      </c>
    </row>
    <row r="355" spans="1:13" x14ac:dyDescent="0.3">
      <c r="A355" s="22">
        <v>179</v>
      </c>
      <c r="B355" s="22">
        <v>175</v>
      </c>
      <c r="C355" s="23">
        <v>0.97770000000000001</v>
      </c>
      <c r="D355" s="22">
        <v>4</v>
      </c>
      <c r="E355" s="24">
        <v>2.7777777777777778E-4</v>
      </c>
      <c r="F355" s="24">
        <v>1.6319444444444445E-3</v>
      </c>
      <c r="G355" s="24">
        <v>2.2222222222222222E-3</v>
      </c>
      <c r="H355" s="24">
        <v>0.71350000000000002</v>
      </c>
      <c r="I355" s="18">
        <f t="shared" si="26"/>
        <v>9.777000000000001E-3</v>
      </c>
      <c r="J355" s="18">
        <f t="shared" si="30"/>
        <v>7.1349999999999998E-3</v>
      </c>
      <c r="K355" s="19">
        <f t="shared" si="27"/>
        <v>4</v>
      </c>
      <c r="L355" s="18">
        <f t="shared" si="28"/>
        <v>2.23463687150838E-2</v>
      </c>
      <c r="M355" s="18">
        <f t="shared" si="29"/>
        <v>0.97765363128491622</v>
      </c>
    </row>
    <row r="356" spans="1:13" x14ac:dyDescent="0.3">
      <c r="A356" s="22">
        <v>45</v>
      </c>
      <c r="B356" s="22">
        <v>45</v>
      </c>
      <c r="C356" s="23">
        <v>1</v>
      </c>
      <c r="D356" s="22">
        <v>0</v>
      </c>
      <c r="E356" s="24">
        <v>1.8518518518518518E-4</v>
      </c>
      <c r="F356" s="24">
        <v>1.5162037037037036E-3</v>
      </c>
      <c r="G356" s="24">
        <v>2.3263888888888887E-3</v>
      </c>
      <c r="H356" s="24">
        <v>0.86670000000000003</v>
      </c>
      <c r="I356" s="18">
        <f t="shared" si="26"/>
        <v>0.01</v>
      </c>
      <c r="J356" s="18">
        <f t="shared" si="30"/>
        <v>8.6670000000000011E-3</v>
      </c>
      <c r="K356" s="19">
        <f t="shared" si="27"/>
        <v>0</v>
      </c>
      <c r="L356" s="18">
        <f t="shared" si="28"/>
        <v>0</v>
      </c>
      <c r="M356" s="18">
        <f t="shared" si="29"/>
        <v>1</v>
      </c>
    </row>
    <row r="357" spans="1:13" x14ac:dyDescent="0.3">
      <c r="A357" s="22">
        <v>180</v>
      </c>
      <c r="B357" s="22">
        <v>164</v>
      </c>
      <c r="C357" s="23">
        <v>0.91110000000000002</v>
      </c>
      <c r="D357" s="22">
        <v>16</v>
      </c>
      <c r="E357" s="24">
        <v>2.8935185185185184E-4</v>
      </c>
      <c r="F357" s="24">
        <v>1.6435185185185185E-3</v>
      </c>
      <c r="G357" s="24">
        <v>1.2731481481481483E-3</v>
      </c>
      <c r="H357" s="24">
        <v>0.61799999999999999</v>
      </c>
      <c r="I357" s="18">
        <f t="shared" si="26"/>
        <v>9.111000000000001E-3</v>
      </c>
      <c r="J357" s="18">
        <f t="shared" si="30"/>
        <v>6.1799999999999997E-3</v>
      </c>
      <c r="K357" s="19">
        <f t="shared" si="27"/>
        <v>16</v>
      </c>
      <c r="L357" s="18">
        <f t="shared" si="28"/>
        <v>8.8888888888888892E-2</v>
      </c>
      <c r="M357" s="18">
        <f t="shared" si="29"/>
        <v>0.91111111111111109</v>
      </c>
    </row>
    <row r="358" spans="1:13" x14ac:dyDescent="0.3">
      <c r="A358" s="22">
        <v>206</v>
      </c>
      <c r="B358" s="22">
        <v>200</v>
      </c>
      <c r="C358" s="23">
        <v>0.97089999999999999</v>
      </c>
      <c r="D358" s="22">
        <v>6</v>
      </c>
      <c r="E358" s="24">
        <v>2.5462962962962961E-4</v>
      </c>
      <c r="F358" s="24">
        <v>1.6087962962962963E-3</v>
      </c>
      <c r="G358" s="24">
        <v>1.4699074074074074E-3</v>
      </c>
      <c r="H358" s="24">
        <v>0.74629999999999996</v>
      </c>
      <c r="I358" s="18">
        <f t="shared" si="26"/>
        <v>9.7090000000000006E-3</v>
      </c>
      <c r="J358" s="18">
        <f t="shared" si="30"/>
        <v>7.463E-3</v>
      </c>
      <c r="K358" s="19">
        <f t="shared" si="27"/>
        <v>6</v>
      </c>
      <c r="L358" s="18">
        <f t="shared" si="28"/>
        <v>2.9126213592233011E-2</v>
      </c>
      <c r="M358" s="18">
        <f t="shared" si="29"/>
        <v>0.970873786407767</v>
      </c>
    </row>
    <row r="359" spans="1:13" x14ac:dyDescent="0.3">
      <c r="A359" s="22">
        <v>187</v>
      </c>
      <c r="B359" s="22">
        <v>181</v>
      </c>
      <c r="C359" s="23">
        <v>0.96789999999999998</v>
      </c>
      <c r="D359" s="22">
        <v>6</v>
      </c>
      <c r="E359" s="24">
        <v>3.7037037037037035E-4</v>
      </c>
      <c r="F359" s="24">
        <v>1.736111111111111E-3</v>
      </c>
      <c r="G359" s="24">
        <v>2.7083333333333334E-3</v>
      </c>
      <c r="H359" s="24">
        <v>0.627</v>
      </c>
      <c r="I359" s="18">
        <f t="shared" si="26"/>
        <v>9.6790000000000001E-3</v>
      </c>
      <c r="J359" s="18">
        <f t="shared" si="30"/>
        <v>6.2700000000000004E-3</v>
      </c>
      <c r="K359" s="19">
        <f t="shared" si="27"/>
        <v>6</v>
      </c>
      <c r="L359" s="18">
        <f t="shared" si="28"/>
        <v>3.2085561497326207E-2</v>
      </c>
      <c r="M359" s="18">
        <f t="shared" si="29"/>
        <v>0.96791443850267378</v>
      </c>
    </row>
    <row r="360" spans="1:13" x14ac:dyDescent="0.3">
      <c r="A360" s="22">
        <v>186</v>
      </c>
      <c r="B360" s="22">
        <v>177</v>
      </c>
      <c r="C360" s="23">
        <v>0.9516</v>
      </c>
      <c r="D360" s="22">
        <v>9</v>
      </c>
      <c r="E360" s="24">
        <v>3.2407407407407406E-4</v>
      </c>
      <c r="F360" s="24">
        <v>1.6435185185185185E-3</v>
      </c>
      <c r="G360" s="24">
        <v>3.8194444444444443E-3</v>
      </c>
      <c r="H360" s="24">
        <v>0.67930000000000001</v>
      </c>
      <c r="I360" s="18">
        <f t="shared" si="26"/>
        <v>9.5160000000000002E-3</v>
      </c>
      <c r="J360" s="18">
        <f t="shared" si="30"/>
        <v>6.7930000000000004E-3</v>
      </c>
      <c r="K360" s="19">
        <f t="shared" si="27"/>
        <v>9</v>
      </c>
      <c r="L360" s="18">
        <f t="shared" si="28"/>
        <v>4.8387096774193547E-2</v>
      </c>
      <c r="M360" s="18">
        <f t="shared" si="29"/>
        <v>0.95161290322580649</v>
      </c>
    </row>
    <row r="361" spans="1:13" x14ac:dyDescent="0.3">
      <c r="A361" s="22">
        <v>189</v>
      </c>
      <c r="B361" s="22">
        <v>180</v>
      </c>
      <c r="C361" s="23">
        <v>0.95240000000000002</v>
      </c>
      <c r="D361" s="22">
        <v>9</v>
      </c>
      <c r="E361" s="24">
        <v>4.0509259259259258E-4</v>
      </c>
      <c r="F361" s="24">
        <v>1.5625000000000001E-3</v>
      </c>
      <c r="G361" s="24">
        <v>2.3611111111111111E-3</v>
      </c>
      <c r="H361" s="24">
        <v>0.5645</v>
      </c>
      <c r="I361" s="18">
        <f t="shared" si="26"/>
        <v>9.5239999999999995E-3</v>
      </c>
      <c r="J361" s="18">
        <f t="shared" si="30"/>
        <v>5.6449999999999998E-3</v>
      </c>
      <c r="K361" s="19">
        <f t="shared" si="27"/>
        <v>9</v>
      </c>
      <c r="L361" s="18">
        <f t="shared" si="28"/>
        <v>4.7619047619047616E-2</v>
      </c>
      <c r="M361" s="18">
        <f t="shared" si="29"/>
        <v>0.95238095238095233</v>
      </c>
    </row>
    <row r="362" spans="1:13" x14ac:dyDescent="0.3">
      <c r="A362" s="22">
        <v>127</v>
      </c>
      <c r="B362" s="22">
        <v>116</v>
      </c>
      <c r="C362" s="23">
        <v>0.91339999999999999</v>
      </c>
      <c r="D362" s="22">
        <v>11</v>
      </c>
      <c r="E362" s="24">
        <v>3.9351851851851852E-4</v>
      </c>
      <c r="F362" s="24">
        <v>1.6782407407407408E-3</v>
      </c>
      <c r="G362" s="24">
        <v>1.9212962962962964E-3</v>
      </c>
      <c r="H362" s="24">
        <v>0.5645</v>
      </c>
      <c r="I362" s="18">
        <f t="shared" si="26"/>
        <v>9.1339999999999998E-3</v>
      </c>
      <c r="J362" s="18">
        <f t="shared" si="30"/>
        <v>5.6449999999999998E-3</v>
      </c>
      <c r="K362" s="19">
        <f t="shared" si="27"/>
        <v>11</v>
      </c>
      <c r="L362" s="18">
        <f t="shared" si="28"/>
        <v>8.6614173228346455E-2</v>
      </c>
      <c r="M362" s="18">
        <f t="shared" si="29"/>
        <v>0.91338582677165359</v>
      </c>
    </row>
    <row r="363" spans="1:13" x14ac:dyDescent="0.3">
      <c r="A363" s="22">
        <v>93</v>
      </c>
      <c r="B363" s="22">
        <v>90</v>
      </c>
      <c r="C363" s="23">
        <v>0.9677</v>
      </c>
      <c r="D363" s="22">
        <v>3</v>
      </c>
      <c r="E363" s="24">
        <v>3.0092592592592595E-4</v>
      </c>
      <c r="F363" s="24">
        <v>1.3541666666666667E-3</v>
      </c>
      <c r="G363" s="24">
        <v>2.0486111111111113E-3</v>
      </c>
      <c r="H363" s="24">
        <v>0.63439999999999996</v>
      </c>
      <c r="I363" s="18">
        <f t="shared" si="26"/>
        <v>9.6769999999999998E-3</v>
      </c>
      <c r="J363" s="18">
        <f t="shared" si="30"/>
        <v>6.3439999999999998E-3</v>
      </c>
      <c r="K363" s="19">
        <f t="shared" si="27"/>
        <v>3</v>
      </c>
      <c r="L363" s="18">
        <f t="shared" si="28"/>
        <v>3.2258064516129031E-2</v>
      </c>
      <c r="M363" s="18">
        <f t="shared" si="29"/>
        <v>0.967741935483871</v>
      </c>
    </row>
    <row r="364" spans="1:13" x14ac:dyDescent="0.3">
      <c r="A364" s="22">
        <v>328</v>
      </c>
      <c r="B364" s="22">
        <v>292</v>
      </c>
      <c r="C364" s="23">
        <v>0.89019999999999999</v>
      </c>
      <c r="D364" s="22">
        <v>36</v>
      </c>
      <c r="E364" s="24">
        <v>4.2824074074074075E-4</v>
      </c>
      <c r="F364" s="24">
        <v>1.5856481481481481E-3</v>
      </c>
      <c r="G364" s="24">
        <v>4.4560185185185189E-3</v>
      </c>
      <c r="H364" s="24">
        <v>0.49680000000000002</v>
      </c>
      <c r="I364" s="18">
        <f t="shared" si="26"/>
        <v>8.9020000000000002E-3</v>
      </c>
      <c r="J364" s="18">
        <f t="shared" si="30"/>
        <v>4.9680000000000002E-3</v>
      </c>
      <c r="K364" s="19">
        <f t="shared" si="27"/>
        <v>36</v>
      </c>
      <c r="L364" s="18">
        <f t="shared" si="28"/>
        <v>0.10975609756097561</v>
      </c>
      <c r="M364" s="18">
        <f t="shared" si="29"/>
        <v>0.8902439024390244</v>
      </c>
    </row>
    <row r="365" spans="1:13" x14ac:dyDescent="0.3">
      <c r="A365" s="22">
        <v>238</v>
      </c>
      <c r="B365" s="22">
        <v>223</v>
      </c>
      <c r="C365" s="23">
        <v>0.93700000000000006</v>
      </c>
      <c r="D365" s="22">
        <v>15</v>
      </c>
      <c r="E365" s="24">
        <v>3.8194444444444446E-4</v>
      </c>
      <c r="F365" s="24">
        <v>1.6550925925925926E-3</v>
      </c>
      <c r="G365" s="24">
        <v>2.5462962962962965E-3</v>
      </c>
      <c r="H365" s="24">
        <v>0.59230000000000005</v>
      </c>
      <c r="I365" s="18">
        <f t="shared" si="26"/>
        <v>9.3699999999999999E-3</v>
      </c>
      <c r="J365" s="18">
        <f t="shared" si="30"/>
        <v>5.9230000000000003E-3</v>
      </c>
      <c r="K365" s="19">
        <f t="shared" si="27"/>
        <v>15</v>
      </c>
      <c r="L365" s="18">
        <f t="shared" si="28"/>
        <v>6.3025210084033612E-2</v>
      </c>
      <c r="M365" s="18">
        <f t="shared" si="29"/>
        <v>0.93697478991596639</v>
      </c>
    </row>
    <row r="366" spans="1:13" x14ac:dyDescent="0.3">
      <c r="A366" s="22">
        <v>237</v>
      </c>
      <c r="B366" s="22">
        <v>222</v>
      </c>
      <c r="C366" s="23">
        <v>0.93669999999999998</v>
      </c>
      <c r="D366" s="22">
        <v>15</v>
      </c>
      <c r="E366" s="24">
        <v>3.9351851851851852E-4</v>
      </c>
      <c r="F366" s="24">
        <v>1.6666666666666668E-3</v>
      </c>
      <c r="G366" s="24">
        <v>1.9907407407407408E-3</v>
      </c>
      <c r="H366" s="24">
        <v>0.53849999999999998</v>
      </c>
      <c r="I366" s="18">
        <f t="shared" si="26"/>
        <v>9.3670000000000003E-3</v>
      </c>
      <c r="J366" s="18">
        <f t="shared" si="30"/>
        <v>5.385E-3</v>
      </c>
      <c r="K366" s="19">
        <f t="shared" si="27"/>
        <v>15</v>
      </c>
      <c r="L366" s="18">
        <f t="shared" si="28"/>
        <v>6.3291139240506333E-2</v>
      </c>
      <c r="M366" s="18">
        <f t="shared" si="29"/>
        <v>0.93670886075949367</v>
      </c>
    </row>
    <row r="367" spans="1:13" x14ac:dyDescent="0.3">
      <c r="A367" s="22">
        <v>257</v>
      </c>
      <c r="B367" s="22">
        <v>235</v>
      </c>
      <c r="C367" s="23">
        <v>0.91439999999999999</v>
      </c>
      <c r="D367" s="22">
        <v>22</v>
      </c>
      <c r="E367" s="24">
        <v>5.2083333333333333E-4</v>
      </c>
      <c r="F367" s="24">
        <v>1.7476851851851852E-3</v>
      </c>
      <c r="G367" s="24">
        <v>3.0555555555555557E-3</v>
      </c>
      <c r="H367" s="24">
        <v>0.4466</v>
      </c>
      <c r="I367" s="18">
        <f t="shared" si="26"/>
        <v>9.1439999999999994E-3</v>
      </c>
      <c r="J367" s="18">
        <f t="shared" si="30"/>
        <v>4.4660000000000004E-3</v>
      </c>
      <c r="K367" s="19">
        <f t="shared" si="27"/>
        <v>22</v>
      </c>
      <c r="L367" s="18">
        <f t="shared" si="28"/>
        <v>8.5603112840466927E-2</v>
      </c>
      <c r="M367" s="18">
        <f t="shared" si="29"/>
        <v>0.91439688715953304</v>
      </c>
    </row>
    <row r="368" spans="1:13" x14ac:dyDescent="0.3">
      <c r="A368" s="22">
        <v>238</v>
      </c>
      <c r="B368" s="22">
        <v>223</v>
      </c>
      <c r="C368" s="23">
        <v>0.93700000000000006</v>
      </c>
      <c r="D368" s="22">
        <v>15</v>
      </c>
      <c r="E368" s="24">
        <v>3.7037037037037035E-4</v>
      </c>
      <c r="F368" s="24">
        <v>1.5856481481481481E-3</v>
      </c>
      <c r="G368" s="24">
        <v>2.3379629629629631E-3</v>
      </c>
      <c r="H368" s="24">
        <v>0.54700000000000004</v>
      </c>
      <c r="I368" s="18">
        <f t="shared" si="26"/>
        <v>9.3699999999999999E-3</v>
      </c>
      <c r="J368" s="18">
        <f t="shared" si="30"/>
        <v>5.47E-3</v>
      </c>
      <c r="K368" s="19">
        <f t="shared" si="27"/>
        <v>15</v>
      </c>
      <c r="L368" s="18">
        <f t="shared" si="28"/>
        <v>6.3025210084033612E-2</v>
      </c>
      <c r="M368" s="18">
        <f t="shared" si="29"/>
        <v>0.93697478991596639</v>
      </c>
    </row>
    <row r="369" spans="1:13" x14ac:dyDescent="0.3">
      <c r="A369" s="22">
        <v>199</v>
      </c>
      <c r="B369" s="22">
        <v>164</v>
      </c>
      <c r="C369" s="23">
        <v>0.82410000000000005</v>
      </c>
      <c r="D369" s="22">
        <v>35</v>
      </c>
      <c r="E369" s="24">
        <v>3.7037037037037035E-4</v>
      </c>
      <c r="F369" s="24">
        <v>1.5393518518518519E-3</v>
      </c>
      <c r="G369" s="24">
        <v>4.8148148148148152E-3</v>
      </c>
      <c r="H369" s="24">
        <v>0.59179999999999999</v>
      </c>
      <c r="I369" s="18">
        <f t="shared" si="26"/>
        <v>8.2410000000000001E-3</v>
      </c>
      <c r="J369" s="18">
        <f t="shared" si="30"/>
        <v>5.9179999999999996E-3</v>
      </c>
      <c r="K369" s="19">
        <f t="shared" si="27"/>
        <v>35</v>
      </c>
      <c r="L369" s="18">
        <f t="shared" si="28"/>
        <v>0.17587939698492464</v>
      </c>
      <c r="M369" s="18">
        <f t="shared" si="29"/>
        <v>0.82412060301507539</v>
      </c>
    </row>
    <row r="370" spans="1:13" x14ac:dyDescent="0.3">
      <c r="A370" s="22">
        <v>30</v>
      </c>
      <c r="B370" s="22">
        <v>27</v>
      </c>
      <c r="C370" s="23">
        <v>0.9</v>
      </c>
      <c r="D370" s="22">
        <v>3</v>
      </c>
      <c r="E370" s="24">
        <v>3.7037037037037035E-4</v>
      </c>
      <c r="F370" s="24">
        <v>1.7824074074074075E-3</v>
      </c>
      <c r="G370" s="24">
        <v>1.8171296296296297E-3</v>
      </c>
      <c r="H370" s="24">
        <v>0.60709999999999997</v>
      </c>
      <c r="I370" s="18">
        <f t="shared" si="26"/>
        <v>9.0000000000000011E-3</v>
      </c>
      <c r="J370" s="18">
        <f t="shared" si="30"/>
        <v>6.071E-3</v>
      </c>
      <c r="K370" s="19">
        <f t="shared" si="27"/>
        <v>3</v>
      </c>
      <c r="L370" s="18">
        <f t="shared" si="28"/>
        <v>0.1</v>
      </c>
      <c r="M370" s="18">
        <f t="shared" si="29"/>
        <v>0.9</v>
      </c>
    </row>
    <row r="371" spans="1:13" x14ac:dyDescent="0.3">
      <c r="A371" s="22">
        <v>176</v>
      </c>
      <c r="B371" s="22">
        <v>163</v>
      </c>
      <c r="C371" s="23">
        <v>0.92610000000000003</v>
      </c>
      <c r="D371" s="22">
        <v>13</v>
      </c>
      <c r="E371" s="24">
        <v>4.3981481481481481E-4</v>
      </c>
      <c r="F371" s="24">
        <v>1.4467592592592592E-3</v>
      </c>
      <c r="G371" s="24">
        <v>3.8194444444444443E-3</v>
      </c>
      <c r="H371" s="24">
        <v>0.54290000000000005</v>
      </c>
      <c r="I371" s="18">
        <f t="shared" si="26"/>
        <v>9.2610000000000001E-3</v>
      </c>
      <c r="J371" s="18">
        <f t="shared" si="30"/>
        <v>5.4290000000000007E-3</v>
      </c>
      <c r="K371" s="19">
        <f t="shared" si="27"/>
        <v>13</v>
      </c>
      <c r="L371" s="18">
        <f t="shared" si="28"/>
        <v>7.3863636363636367E-2</v>
      </c>
      <c r="M371" s="18">
        <f t="shared" si="29"/>
        <v>0.92613636363636365</v>
      </c>
    </row>
    <row r="372" spans="1:13" x14ac:dyDescent="0.3">
      <c r="A372" s="22">
        <v>162</v>
      </c>
      <c r="B372" s="22">
        <v>144</v>
      </c>
      <c r="C372" s="23">
        <v>0.88890000000000002</v>
      </c>
      <c r="D372" s="22">
        <v>18</v>
      </c>
      <c r="E372" s="24">
        <v>4.7453703703703704E-4</v>
      </c>
      <c r="F372" s="24">
        <v>1.6782407407407408E-3</v>
      </c>
      <c r="G372" s="24">
        <v>2.5462962962962965E-3</v>
      </c>
      <c r="H372" s="24">
        <v>0.50309999999999999</v>
      </c>
      <c r="I372" s="18">
        <f t="shared" si="26"/>
        <v>8.8890000000000011E-3</v>
      </c>
      <c r="J372" s="18">
        <f t="shared" si="30"/>
        <v>5.0309999999999999E-3</v>
      </c>
      <c r="K372" s="19">
        <f t="shared" si="27"/>
        <v>18</v>
      </c>
      <c r="L372" s="18">
        <f t="shared" si="28"/>
        <v>0.1111111111111111</v>
      </c>
      <c r="M372" s="18">
        <f t="shared" si="29"/>
        <v>0.88888888888888884</v>
      </c>
    </row>
    <row r="373" spans="1:13" x14ac:dyDescent="0.3">
      <c r="A373" s="22">
        <v>169</v>
      </c>
      <c r="B373" s="22">
        <v>157</v>
      </c>
      <c r="C373" s="23">
        <v>0.92900000000000005</v>
      </c>
      <c r="D373" s="22">
        <v>12</v>
      </c>
      <c r="E373" s="24">
        <v>3.3564814814814812E-4</v>
      </c>
      <c r="F373" s="24">
        <v>1.724537037037037E-3</v>
      </c>
      <c r="G373" s="24">
        <v>1.3425925925925925E-3</v>
      </c>
      <c r="H373" s="24">
        <v>0.53890000000000005</v>
      </c>
      <c r="I373" s="18">
        <f t="shared" si="26"/>
        <v>9.2899999999999996E-3</v>
      </c>
      <c r="J373" s="18">
        <f t="shared" si="30"/>
        <v>5.3890000000000006E-3</v>
      </c>
      <c r="K373" s="19">
        <f t="shared" si="27"/>
        <v>12</v>
      </c>
      <c r="L373" s="18">
        <f t="shared" si="28"/>
        <v>7.1005917159763315E-2</v>
      </c>
      <c r="M373" s="18">
        <f t="shared" si="29"/>
        <v>0.92899408284023666</v>
      </c>
    </row>
    <row r="374" spans="1:13" x14ac:dyDescent="0.3">
      <c r="A374" s="22">
        <v>155</v>
      </c>
      <c r="B374" s="22">
        <v>146</v>
      </c>
      <c r="C374" s="23">
        <v>0.94189999999999996</v>
      </c>
      <c r="D374" s="22">
        <v>9</v>
      </c>
      <c r="E374" s="24">
        <v>3.4722222222222224E-4</v>
      </c>
      <c r="F374" s="24">
        <v>1.5972222222222223E-3</v>
      </c>
      <c r="G374" s="24">
        <v>2.1990740740740742E-3</v>
      </c>
      <c r="H374" s="24">
        <v>0.50980000000000003</v>
      </c>
      <c r="I374" s="18">
        <f t="shared" si="26"/>
        <v>9.4190000000000003E-3</v>
      </c>
      <c r="J374" s="18">
        <f t="shared" si="30"/>
        <v>5.0980000000000001E-3</v>
      </c>
      <c r="K374" s="19">
        <f t="shared" si="27"/>
        <v>9</v>
      </c>
      <c r="L374" s="18">
        <f t="shared" si="28"/>
        <v>5.8064516129032261E-2</v>
      </c>
      <c r="M374" s="18">
        <f t="shared" si="29"/>
        <v>0.9419354838709677</v>
      </c>
    </row>
    <row r="375" spans="1:13" x14ac:dyDescent="0.3">
      <c r="A375" s="22">
        <v>247</v>
      </c>
      <c r="B375" s="22">
        <v>205</v>
      </c>
      <c r="C375" s="23">
        <v>0.83</v>
      </c>
      <c r="D375" s="22">
        <v>42</v>
      </c>
      <c r="E375" s="24">
        <v>5.6712962962962967E-4</v>
      </c>
      <c r="F375" s="24">
        <v>1.6898148148148148E-3</v>
      </c>
      <c r="G375" s="24">
        <v>5.2777777777777779E-3</v>
      </c>
      <c r="H375" s="24">
        <v>0.38490000000000002</v>
      </c>
      <c r="I375" s="18">
        <f t="shared" si="26"/>
        <v>8.3000000000000001E-3</v>
      </c>
      <c r="J375" s="18">
        <f t="shared" si="30"/>
        <v>3.849E-3</v>
      </c>
      <c r="K375" s="19">
        <f t="shared" si="27"/>
        <v>42</v>
      </c>
      <c r="L375" s="18">
        <f t="shared" si="28"/>
        <v>0.17004048582995951</v>
      </c>
      <c r="M375" s="18">
        <f t="shared" si="29"/>
        <v>0.82995951417004044</v>
      </c>
    </row>
    <row r="376" spans="1:13" x14ac:dyDescent="0.3">
      <c r="A376" s="22">
        <v>191</v>
      </c>
      <c r="B376" s="22">
        <v>186</v>
      </c>
      <c r="C376" s="23">
        <v>0.9738</v>
      </c>
      <c r="D376" s="22">
        <v>5</v>
      </c>
      <c r="E376" s="24">
        <v>2.7777777777777778E-4</v>
      </c>
      <c r="F376" s="24">
        <v>1.5509259259259259E-3</v>
      </c>
      <c r="G376" s="24">
        <v>1.3194444444444445E-3</v>
      </c>
      <c r="H376" s="24">
        <v>0.70530000000000004</v>
      </c>
      <c r="I376" s="18">
        <f t="shared" si="26"/>
        <v>9.7380000000000001E-3</v>
      </c>
      <c r="J376" s="18">
        <f t="shared" si="30"/>
        <v>7.0530000000000002E-3</v>
      </c>
      <c r="K376" s="19">
        <f t="shared" si="27"/>
        <v>5</v>
      </c>
      <c r="L376" s="18">
        <f t="shared" si="28"/>
        <v>2.6178010471204188E-2</v>
      </c>
      <c r="M376" s="18">
        <f t="shared" si="29"/>
        <v>0.97382198952879584</v>
      </c>
    </row>
    <row r="377" spans="1:13" x14ac:dyDescent="0.3">
      <c r="A377" s="22">
        <v>30</v>
      </c>
      <c r="B377" s="22">
        <v>29</v>
      </c>
      <c r="C377" s="23">
        <v>0.9667</v>
      </c>
      <c r="D377" s="22">
        <v>1</v>
      </c>
      <c r="E377" s="24">
        <v>6.9444444444444444E-5</v>
      </c>
      <c r="F377" s="24">
        <v>1.5625000000000001E-3</v>
      </c>
      <c r="G377" s="24">
        <v>5.3240740740740744E-4</v>
      </c>
      <c r="H377" s="24">
        <v>0.93330000000000002</v>
      </c>
      <c r="I377" s="18">
        <f t="shared" si="26"/>
        <v>9.6670000000000002E-3</v>
      </c>
      <c r="J377" s="18">
        <f t="shared" si="30"/>
        <v>9.333000000000001E-3</v>
      </c>
      <c r="K377" s="19">
        <f t="shared" si="27"/>
        <v>1</v>
      </c>
      <c r="L377" s="18">
        <f t="shared" si="28"/>
        <v>3.3333333333333333E-2</v>
      </c>
      <c r="M377" s="18">
        <f t="shared" si="29"/>
        <v>0.96666666666666667</v>
      </c>
    </row>
    <row r="378" spans="1:13" x14ac:dyDescent="0.3">
      <c r="A378" s="22">
        <v>316</v>
      </c>
      <c r="B378" s="22">
        <v>290</v>
      </c>
      <c r="C378" s="23">
        <v>0.91769999999999996</v>
      </c>
      <c r="D378" s="22">
        <v>26</v>
      </c>
      <c r="E378" s="24">
        <v>3.5879629629629629E-4</v>
      </c>
      <c r="F378" s="24">
        <v>1.6319444444444445E-3</v>
      </c>
      <c r="G378" s="24">
        <v>2.8009259259259259E-3</v>
      </c>
      <c r="H378" s="24">
        <v>0.59160000000000001</v>
      </c>
      <c r="I378" s="18">
        <f t="shared" si="26"/>
        <v>9.1769999999999994E-3</v>
      </c>
      <c r="J378" s="18">
        <f t="shared" si="30"/>
        <v>5.9160000000000003E-3</v>
      </c>
      <c r="K378" s="19">
        <f t="shared" si="27"/>
        <v>26</v>
      </c>
      <c r="L378" s="18">
        <f t="shared" si="28"/>
        <v>8.2278481012658222E-2</v>
      </c>
      <c r="M378" s="18">
        <f t="shared" si="29"/>
        <v>0.91772151898734178</v>
      </c>
    </row>
    <row r="379" spans="1:13" x14ac:dyDescent="0.3">
      <c r="A379" s="22">
        <v>211</v>
      </c>
      <c r="B379" s="22">
        <v>195</v>
      </c>
      <c r="C379" s="23">
        <v>0.92420000000000002</v>
      </c>
      <c r="D379" s="22">
        <v>16</v>
      </c>
      <c r="E379" s="24">
        <v>3.9351851851851852E-4</v>
      </c>
      <c r="F379" s="24">
        <v>1.6319444444444445E-3</v>
      </c>
      <c r="G379" s="24">
        <v>4.4560185185185189E-3</v>
      </c>
      <c r="H379" s="24">
        <v>0.55769999999999997</v>
      </c>
      <c r="I379" s="18">
        <f t="shared" si="26"/>
        <v>9.2420000000000002E-3</v>
      </c>
      <c r="J379" s="18">
        <f t="shared" si="30"/>
        <v>5.5769999999999995E-3</v>
      </c>
      <c r="K379" s="19">
        <f t="shared" si="27"/>
        <v>16</v>
      </c>
      <c r="L379" s="18">
        <f t="shared" si="28"/>
        <v>7.582938388625593E-2</v>
      </c>
      <c r="M379" s="18">
        <f t="shared" si="29"/>
        <v>0.92417061611374407</v>
      </c>
    </row>
    <row r="380" spans="1:13" x14ac:dyDescent="0.3">
      <c r="A380" s="22">
        <v>208</v>
      </c>
      <c r="B380" s="22">
        <v>169</v>
      </c>
      <c r="C380" s="23">
        <v>0.8125</v>
      </c>
      <c r="D380" s="22">
        <v>39</v>
      </c>
      <c r="E380" s="24">
        <v>5.2083333333333333E-4</v>
      </c>
      <c r="F380" s="24">
        <v>1.5972222222222223E-3</v>
      </c>
      <c r="G380" s="24">
        <v>5.0347222222222225E-3</v>
      </c>
      <c r="H380" s="24">
        <v>0.45850000000000002</v>
      </c>
      <c r="I380" s="18">
        <f t="shared" si="26"/>
        <v>8.1250000000000003E-3</v>
      </c>
      <c r="J380" s="18">
        <f t="shared" si="30"/>
        <v>4.5850000000000005E-3</v>
      </c>
      <c r="K380" s="19">
        <f t="shared" si="27"/>
        <v>39</v>
      </c>
      <c r="L380" s="18">
        <f t="shared" si="28"/>
        <v>0.1875</v>
      </c>
      <c r="M380" s="18">
        <f t="shared" si="29"/>
        <v>0.8125</v>
      </c>
    </row>
    <row r="381" spans="1:13" x14ac:dyDescent="0.3">
      <c r="A381" s="22">
        <v>130</v>
      </c>
      <c r="B381" s="22">
        <v>124</v>
      </c>
      <c r="C381" s="23">
        <v>0.95379999999999998</v>
      </c>
      <c r="D381" s="22">
        <v>6</v>
      </c>
      <c r="E381" s="24">
        <v>2.5462962962962961E-4</v>
      </c>
      <c r="F381" s="24">
        <v>1.5856481481481481E-3</v>
      </c>
      <c r="G381" s="24">
        <v>1.5625000000000001E-3</v>
      </c>
      <c r="H381" s="24">
        <v>0.68989999999999996</v>
      </c>
      <c r="I381" s="18">
        <f t="shared" si="26"/>
        <v>9.5379999999999996E-3</v>
      </c>
      <c r="J381" s="18">
        <f t="shared" si="30"/>
        <v>6.8989999999999998E-3</v>
      </c>
      <c r="K381" s="19">
        <f t="shared" si="27"/>
        <v>6</v>
      </c>
      <c r="L381" s="18">
        <f t="shared" si="28"/>
        <v>4.6153846153846156E-2</v>
      </c>
      <c r="M381" s="18">
        <f t="shared" si="29"/>
        <v>0.9538461538461539</v>
      </c>
    </row>
    <row r="382" spans="1:13" x14ac:dyDescent="0.3">
      <c r="A382" s="22">
        <v>134</v>
      </c>
      <c r="B382" s="22">
        <v>129</v>
      </c>
      <c r="C382" s="23">
        <v>0.9627</v>
      </c>
      <c r="D382" s="22">
        <v>5</v>
      </c>
      <c r="E382" s="24">
        <v>2.7777777777777778E-4</v>
      </c>
      <c r="F382" s="24">
        <v>1.5277777777777779E-3</v>
      </c>
      <c r="G382" s="24">
        <v>2.4074074074074076E-3</v>
      </c>
      <c r="H382" s="24">
        <v>0.70899999999999996</v>
      </c>
      <c r="I382" s="18">
        <f t="shared" si="26"/>
        <v>9.6270000000000001E-3</v>
      </c>
      <c r="J382" s="18">
        <f t="shared" si="30"/>
        <v>7.0899999999999999E-3</v>
      </c>
      <c r="K382" s="19">
        <f t="shared" si="27"/>
        <v>5</v>
      </c>
      <c r="L382" s="18">
        <f t="shared" si="28"/>
        <v>3.7313432835820892E-2</v>
      </c>
      <c r="M382" s="18">
        <f t="shared" si="29"/>
        <v>0.96268656716417911</v>
      </c>
    </row>
    <row r="383" spans="1:13" x14ac:dyDescent="0.3">
      <c r="A383" s="22">
        <v>124</v>
      </c>
      <c r="B383" s="22">
        <v>121</v>
      </c>
      <c r="C383" s="23">
        <v>0.9758</v>
      </c>
      <c r="D383" s="22">
        <v>3</v>
      </c>
      <c r="E383" s="24">
        <v>3.1250000000000001E-4</v>
      </c>
      <c r="F383" s="24">
        <v>1.6087962962962963E-3</v>
      </c>
      <c r="G383" s="24">
        <v>2.3032407407407407E-3</v>
      </c>
      <c r="H383" s="24">
        <v>0.70730000000000004</v>
      </c>
      <c r="I383" s="18">
        <f t="shared" si="26"/>
        <v>9.7579999999999993E-3</v>
      </c>
      <c r="J383" s="18">
        <f t="shared" si="30"/>
        <v>7.0730000000000003E-3</v>
      </c>
      <c r="K383" s="19">
        <f t="shared" si="27"/>
        <v>3</v>
      </c>
      <c r="L383" s="18">
        <f t="shared" si="28"/>
        <v>2.4193548387096774E-2</v>
      </c>
      <c r="M383" s="18">
        <f t="shared" si="29"/>
        <v>0.97580645161290325</v>
      </c>
    </row>
    <row r="384" spans="1:13" x14ac:dyDescent="0.3">
      <c r="A384" s="22">
        <v>47</v>
      </c>
      <c r="B384" s="22">
        <v>43</v>
      </c>
      <c r="C384" s="23">
        <v>0.91490000000000005</v>
      </c>
      <c r="D384" s="22">
        <v>4</v>
      </c>
      <c r="E384" s="24">
        <v>4.2824074074074075E-4</v>
      </c>
      <c r="F384" s="24">
        <v>1.5972222222222223E-3</v>
      </c>
      <c r="G384" s="24">
        <v>2.2685185185185187E-3</v>
      </c>
      <c r="H384" s="24">
        <v>0.54349999999999998</v>
      </c>
      <c r="I384" s="18">
        <f t="shared" si="26"/>
        <v>9.1490000000000009E-3</v>
      </c>
      <c r="J384" s="18">
        <f t="shared" si="30"/>
        <v>5.4349999999999997E-3</v>
      </c>
      <c r="K384" s="19">
        <f t="shared" si="27"/>
        <v>4</v>
      </c>
      <c r="L384" s="18">
        <f t="shared" si="28"/>
        <v>8.5106382978723402E-2</v>
      </c>
      <c r="M384" s="18">
        <f t="shared" si="29"/>
        <v>0.91489361702127658</v>
      </c>
    </row>
    <row r="385" spans="1:13" x14ac:dyDescent="0.3">
      <c r="A385" s="22">
        <v>197</v>
      </c>
      <c r="B385" s="22">
        <v>186</v>
      </c>
      <c r="C385" s="23">
        <v>0.94420000000000004</v>
      </c>
      <c r="D385" s="22">
        <v>11</v>
      </c>
      <c r="E385" s="24">
        <v>3.2407407407407406E-4</v>
      </c>
      <c r="F385" s="24">
        <v>1.5972222222222223E-3</v>
      </c>
      <c r="G385" s="24">
        <v>1.7013888888888888E-3</v>
      </c>
      <c r="H385" s="24">
        <v>0.63829999999999998</v>
      </c>
      <c r="I385" s="18">
        <f t="shared" si="26"/>
        <v>9.4420000000000007E-3</v>
      </c>
      <c r="J385" s="18">
        <f t="shared" si="30"/>
        <v>6.3829999999999998E-3</v>
      </c>
      <c r="K385" s="19">
        <f t="shared" si="27"/>
        <v>11</v>
      </c>
      <c r="L385" s="18">
        <f t="shared" si="28"/>
        <v>5.5837563451776651E-2</v>
      </c>
      <c r="M385" s="18">
        <f t="shared" si="29"/>
        <v>0.9441624365482234</v>
      </c>
    </row>
    <row r="386" spans="1:13" x14ac:dyDescent="0.3">
      <c r="A386" s="22">
        <v>158</v>
      </c>
      <c r="B386" s="22">
        <v>146</v>
      </c>
      <c r="C386" s="23">
        <v>0.92410000000000003</v>
      </c>
      <c r="D386" s="22">
        <v>12</v>
      </c>
      <c r="E386" s="24">
        <v>3.5879629629629629E-4</v>
      </c>
      <c r="F386" s="24">
        <v>1.6666666666666668E-3</v>
      </c>
      <c r="G386" s="24">
        <v>2.5462962962962965E-3</v>
      </c>
      <c r="H386" s="24">
        <v>0.5696</v>
      </c>
      <c r="I386" s="18">
        <f t="shared" si="26"/>
        <v>9.2410000000000009E-3</v>
      </c>
      <c r="J386" s="18">
        <f t="shared" si="30"/>
        <v>5.6959999999999997E-3</v>
      </c>
      <c r="K386" s="19">
        <f t="shared" si="27"/>
        <v>12</v>
      </c>
      <c r="L386" s="18">
        <f t="shared" si="28"/>
        <v>7.5949367088607597E-2</v>
      </c>
      <c r="M386" s="18">
        <f t="shared" si="29"/>
        <v>0.92405063291139244</v>
      </c>
    </row>
    <row r="387" spans="1:13" x14ac:dyDescent="0.3">
      <c r="A387" s="22">
        <v>163</v>
      </c>
      <c r="B387" s="22">
        <v>151</v>
      </c>
      <c r="C387" s="23">
        <v>0.9264</v>
      </c>
      <c r="D387" s="22">
        <v>12</v>
      </c>
      <c r="E387" s="24">
        <v>3.2407407407407406E-4</v>
      </c>
      <c r="F387" s="24">
        <v>1.5393518518518519E-3</v>
      </c>
      <c r="G387" s="24">
        <v>3.3912037037037036E-3</v>
      </c>
      <c r="H387" s="24">
        <v>0.63749999999999996</v>
      </c>
      <c r="I387" s="18">
        <f t="shared" ref="I387:I450" si="31">VALUE(SUBSTITUTE(C387,"%",""))/100</f>
        <v>9.2639999999999997E-3</v>
      </c>
      <c r="J387" s="18">
        <f t="shared" si="30"/>
        <v>6.3749999999999996E-3</v>
      </c>
      <c r="K387" s="19">
        <f t="shared" ref="K387:K450" si="32">A387-B387</f>
        <v>12</v>
      </c>
      <c r="L387" s="18">
        <f t="shared" ref="L387:L450" si="33">D387/A387</f>
        <v>7.3619631901840496E-2</v>
      </c>
      <c r="M387" s="18">
        <f t="shared" ref="M387:M450" si="34">B387/A387</f>
        <v>0.92638036809815949</v>
      </c>
    </row>
    <row r="388" spans="1:13" x14ac:dyDescent="0.3">
      <c r="A388" s="22">
        <v>178</v>
      </c>
      <c r="B388" s="22">
        <v>160</v>
      </c>
      <c r="C388" s="23">
        <v>0.89890000000000003</v>
      </c>
      <c r="D388" s="22">
        <v>18</v>
      </c>
      <c r="E388" s="24">
        <v>4.0509259259259258E-4</v>
      </c>
      <c r="F388" s="24">
        <v>1.8402777777777777E-3</v>
      </c>
      <c r="G388" s="24">
        <v>3.2523148148148147E-3</v>
      </c>
      <c r="H388" s="24">
        <v>0.54490000000000005</v>
      </c>
      <c r="I388" s="18">
        <f t="shared" si="31"/>
        <v>8.9890000000000005E-3</v>
      </c>
      <c r="J388" s="18">
        <f t="shared" si="30"/>
        <v>5.4490000000000007E-3</v>
      </c>
      <c r="K388" s="19">
        <f t="shared" si="32"/>
        <v>18</v>
      </c>
      <c r="L388" s="18">
        <f t="shared" si="33"/>
        <v>0.10112359550561797</v>
      </c>
      <c r="M388" s="18">
        <f t="shared" si="34"/>
        <v>0.898876404494382</v>
      </c>
    </row>
    <row r="389" spans="1:13" x14ac:dyDescent="0.3">
      <c r="A389" s="22">
        <v>151</v>
      </c>
      <c r="B389" s="22">
        <v>128</v>
      </c>
      <c r="C389" s="23">
        <v>0.84770000000000001</v>
      </c>
      <c r="D389" s="22">
        <v>23</v>
      </c>
      <c r="E389" s="24">
        <v>4.0509259259259258E-4</v>
      </c>
      <c r="F389" s="24">
        <v>1.6550925925925926E-3</v>
      </c>
      <c r="G389" s="24">
        <v>3.9120370370370368E-3</v>
      </c>
      <c r="H389" s="24">
        <v>0.53380000000000005</v>
      </c>
      <c r="I389" s="18">
        <f t="shared" si="31"/>
        <v>8.4770000000000002E-3</v>
      </c>
      <c r="J389" s="18">
        <f t="shared" si="30"/>
        <v>5.3380000000000007E-3</v>
      </c>
      <c r="K389" s="19">
        <f t="shared" si="32"/>
        <v>23</v>
      </c>
      <c r="L389" s="18">
        <f t="shared" si="33"/>
        <v>0.15231788079470199</v>
      </c>
      <c r="M389" s="18">
        <f t="shared" si="34"/>
        <v>0.84768211920529801</v>
      </c>
    </row>
    <row r="390" spans="1:13" x14ac:dyDescent="0.3">
      <c r="A390" s="22">
        <v>118</v>
      </c>
      <c r="B390" s="22">
        <v>106</v>
      </c>
      <c r="C390" s="23">
        <v>0.89829999999999999</v>
      </c>
      <c r="D390" s="22">
        <v>12</v>
      </c>
      <c r="E390" s="24">
        <v>3.8194444444444446E-4</v>
      </c>
      <c r="F390" s="24">
        <v>1.6782407407407408E-3</v>
      </c>
      <c r="G390" s="24">
        <v>3.1481481481481482E-3</v>
      </c>
      <c r="H390" s="24">
        <v>0.55169999999999997</v>
      </c>
      <c r="I390" s="18">
        <f t="shared" si="31"/>
        <v>8.9829999999999997E-3</v>
      </c>
      <c r="J390" s="18">
        <f t="shared" ref="J390:J453" si="35">VALUE(SUBSTITUTE(H390,"%",""))/100</f>
        <v>5.5169999999999993E-3</v>
      </c>
      <c r="K390" s="19">
        <f t="shared" si="32"/>
        <v>12</v>
      </c>
      <c r="L390" s="18">
        <f t="shared" si="33"/>
        <v>0.10169491525423729</v>
      </c>
      <c r="M390" s="18">
        <f t="shared" si="34"/>
        <v>0.89830508474576276</v>
      </c>
    </row>
    <row r="391" spans="1:13" x14ac:dyDescent="0.3">
      <c r="A391" s="22">
        <v>31</v>
      </c>
      <c r="B391" s="22">
        <v>28</v>
      </c>
      <c r="C391" s="23">
        <v>0.9032</v>
      </c>
      <c r="D391" s="22">
        <v>3</v>
      </c>
      <c r="E391" s="24">
        <v>4.6296296296296298E-4</v>
      </c>
      <c r="F391" s="24">
        <v>1.8518518518518519E-3</v>
      </c>
      <c r="G391" s="24">
        <v>2.2222222222222222E-3</v>
      </c>
      <c r="H391" s="24">
        <v>0.43330000000000002</v>
      </c>
      <c r="I391" s="18">
        <f t="shared" si="31"/>
        <v>9.0320000000000001E-3</v>
      </c>
      <c r="J391" s="18">
        <f t="shared" si="35"/>
        <v>4.333E-3</v>
      </c>
      <c r="K391" s="19">
        <f t="shared" si="32"/>
        <v>3</v>
      </c>
      <c r="L391" s="18">
        <f t="shared" si="33"/>
        <v>9.6774193548387094E-2</v>
      </c>
      <c r="M391" s="18">
        <f t="shared" si="34"/>
        <v>0.90322580645161288</v>
      </c>
    </row>
    <row r="392" spans="1:13" x14ac:dyDescent="0.3">
      <c r="A392" s="22">
        <v>139</v>
      </c>
      <c r="B392" s="22">
        <v>134</v>
      </c>
      <c r="C392" s="23">
        <v>0.96399999999999997</v>
      </c>
      <c r="D392" s="22">
        <v>5</v>
      </c>
      <c r="E392" s="24">
        <v>3.5879629629629629E-4</v>
      </c>
      <c r="F392" s="24">
        <v>1.6550925925925926E-3</v>
      </c>
      <c r="G392" s="24">
        <v>1.9675925925925924E-3</v>
      </c>
      <c r="H392" s="24">
        <v>0.59419999999999995</v>
      </c>
      <c r="I392" s="18">
        <f t="shared" si="31"/>
        <v>9.6399999999999993E-3</v>
      </c>
      <c r="J392" s="18">
        <f t="shared" si="35"/>
        <v>5.9419999999999994E-3</v>
      </c>
      <c r="K392" s="19">
        <f t="shared" si="32"/>
        <v>5</v>
      </c>
      <c r="L392" s="18">
        <f t="shared" si="33"/>
        <v>3.5971223021582732E-2</v>
      </c>
      <c r="M392" s="18">
        <f t="shared" si="34"/>
        <v>0.96402877697841727</v>
      </c>
    </row>
    <row r="393" spans="1:13" x14ac:dyDescent="0.3">
      <c r="A393" s="22">
        <v>171</v>
      </c>
      <c r="B393" s="22">
        <v>154</v>
      </c>
      <c r="C393" s="23">
        <v>0.90059999999999996</v>
      </c>
      <c r="D393" s="22">
        <v>17</v>
      </c>
      <c r="E393" s="24">
        <v>3.1250000000000001E-4</v>
      </c>
      <c r="F393" s="24">
        <v>1.6666666666666668E-3</v>
      </c>
      <c r="G393" s="24">
        <v>4.4907407407407405E-3</v>
      </c>
      <c r="H393" s="24">
        <v>0.65659999999999996</v>
      </c>
      <c r="I393" s="18">
        <f t="shared" si="31"/>
        <v>9.0060000000000001E-3</v>
      </c>
      <c r="J393" s="18">
        <f t="shared" si="35"/>
        <v>6.5659999999999998E-3</v>
      </c>
      <c r="K393" s="19">
        <f t="shared" si="32"/>
        <v>17</v>
      </c>
      <c r="L393" s="18">
        <f t="shared" si="33"/>
        <v>9.9415204678362568E-2</v>
      </c>
      <c r="M393" s="18">
        <f t="shared" si="34"/>
        <v>0.90058479532163738</v>
      </c>
    </row>
    <row r="394" spans="1:13" x14ac:dyDescent="0.3">
      <c r="A394" s="22">
        <v>160</v>
      </c>
      <c r="B394" s="22">
        <v>156</v>
      </c>
      <c r="C394" s="23">
        <v>0.97499999999999998</v>
      </c>
      <c r="D394" s="22">
        <v>4</v>
      </c>
      <c r="E394" s="24">
        <v>3.1250000000000001E-4</v>
      </c>
      <c r="F394" s="24">
        <v>1.5625000000000001E-3</v>
      </c>
      <c r="G394" s="24">
        <v>1.238425925925926E-3</v>
      </c>
      <c r="H394" s="24">
        <v>0.64559999999999995</v>
      </c>
      <c r="I394" s="18">
        <f t="shared" si="31"/>
        <v>9.75E-3</v>
      </c>
      <c r="J394" s="18">
        <f t="shared" si="35"/>
        <v>6.4559999999999999E-3</v>
      </c>
      <c r="K394" s="19">
        <f t="shared" si="32"/>
        <v>4</v>
      </c>
      <c r="L394" s="18">
        <f t="shared" si="33"/>
        <v>2.5000000000000001E-2</v>
      </c>
      <c r="M394" s="18">
        <f t="shared" si="34"/>
        <v>0.97499999999999998</v>
      </c>
    </row>
    <row r="395" spans="1:13" x14ac:dyDescent="0.3">
      <c r="A395" s="22">
        <v>177</v>
      </c>
      <c r="B395" s="22">
        <v>169</v>
      </c>
      <c r="C395" s="23">
        <v>0.95479999999999998</v>
      </c>
      <c r="D395" s="22">
        <v>8</v>
      </c>
      <c r="E395" s="24">
        <v>3.3564814814814812E-4</v>
      </c>
      <c r="F395" s="24">
        <v>1.7476851851851852E-3</v>
      </c>
      <c r="G395" s="24">
        <v>2.5462962962962965E-3</v>
      </c>
      <c r="H395" s="24">
        <v>0.64370000000000005</v>
      </c>
      <c r="I395" s="18">
        <f t="shared" si="31"/>
        <v>9.5479999999999992E-3</v>
      </c>
      <c r="J395" s="18">
        <f t="shared" si="35"/>
        <v>6.4370000000000009E-3</v>
      </c>
      <c r="K395" s="19">
        <f t="shared" si="32"/>
        <v>8</v>
      </c>
      <c r="L395" s="18">
        <f t="shared" si="33"/>
        <v>4.519774011299435E-2</v>
      </c>
      <c r="M395" s="18">
        <f t="shared" si="34"/>
        <v>0.95480225988700562</v>
      </c>
    </row>
    <row r="396" spans="1:13" x14ac:dyDescent="0.3">
      <c r="A396" s="22">
        <v>187</v>
      </c>
      <c r="B396" s="22">
        <v>180</v>
      </c>
      <c r="C396" s="23">
        <v>0.96260000000000001</v>
      </c>
      <c r="D396" s="22">
        <v>7</v>
      </c>
      <c r="E396" s="24">
        <v>3.0092592592592595E-4</v>
      </c>
      <c r="F396" s="24">
        <v>1.6435185185185185E-3</v>
      </c>
      <c r="G396" s="24">
        <v>4.1203703703703706E-3</v>
      </c>
      <c r="H396" s="24">
        <v>0.65590000000000004</v>
      </c>
      <c r="I396" s="18">
        <f t="shared" si="31"/>
        <v>9.6260000000000009E-3</v>
      </c>
      <c r="J396" s="18">
        <f t="shared" si="35"/>
        <v>6.5590000000000006E-3</v>
      </c>
      <c r="K396" s="19">
        <f t="shared" si="32"/>
        <v>7</v>
      </c>
      <c r="L396" s="18">
        <f t="shared" si="33"/>
        <v>3.7433155080213901E-2</v>
      </c>
      <c r="M396" s="18">
        <f t="shared" si="34"/>
        <v>0.96256684491978606</v>
      </c>
    </row>
    <row r="397" spans="1:13" x14ac:dyDescent="0.3">
      <c r="A397" s="22">
        <v>147</v>
      </c>
      <c r="B397" s="22">
        <v>138</v>
      </c>
      <c r="C397" s="23">
        <v>0.93879999999999997</v>
      </c>
      <c r="D397" s="22">
        <v>9</v>
      </c>
      <c r="E397" s="24">
        <v>3.0092592592592595E-4</v>
      </c>
      <c r="F397" s="24">
        <v>1.6666666666666668E-3</v>
      </c>
      <c r="G397" s="24">
        <v>3.6921296296296298E-3</v>
      </c>
      <c r="H397" s="24">
        <v>0.61380000000000001</v>
      </c>
      <c r="I397" s="18">
        <f t="shared" si="31"/>
        <v>9.3880000000000005E-3</v>
      </c>
      <c r="J397" s="18">
        <f t="shared" si="35"/>
        <v>6.1380000000000002E-3</v>
      </c>
      <c r="K397" s="19">
        <f t="shared" si="32"/>
        <v>9</v>
      </c>
      <c r="L397" s="18">
        <f t="shared" si="33"/>
        <v>6.1224489795918366E-2</v>
      </c>
      <c r="M397" s="18">
        <f t="shared" si="34"/>
        <v>0.93877551020408168</v>
      </c>
    </row>
    <row r="398" spans="1:13" x14ac:dyDescent="0.3">
      <c r="A398" s="22">
        <v>35</v>
      </c>
      <c r="B398" s="22">
        <v>35</v>
      </c>
      <c r="C398" s="23">
        <v>1</v>
      </c>
      <c r="D398" s="22">
        <v>0</v>
      </c>
      <c r="E398" s="24">
        <v>9.2592592592592588E-5</v>
      </c>
      <c r="F398" s="24">
        <v>1.5046296296296296E-3</v>
      </c>
      <c r="G398" s="24">
        <v>5.4398148148148144E-4</v>
      </c>
      <c r="H398" s="24">
        <v>0.88570000000000004</v>
      </c>
      <c r="I398" s="18">
        <f t="shared" si="31"/>
        <v>0.01</v>
      </c>
      <c r="J398" s="18">
        <f t="shared" si="35"/>
        <v>8.8570000000000003E-3</v>
      </c>
      <c r="K398" s="19">
        <f t="shared" si="32"/>
        <v>0</v>
      </c>
      <c r="L398" s="18">
        <f t="shared" si="33"/>
        <v>0</v>
      </c>
      <c r="M398" s="18">
        <f t="shared" si="34"/>
        <v>1</v>
      </c>
    </row>
    <row r="399" spans="1:13" x14ac:dyDescent="0.3">
      <c r="A399" s="22">
        <v>208</v>
      </c>
      <c r="B399" s="22">
        <v>194</v>
      </c>
      <c r="C399" s="23">
        <v>0.93269999999999997</v>
      </c>
      <c r="D399" s="22">
        <v>14</v>
      </c>
      <c r="E399" s="24">
        <v>4.0509259259259258E-4</v>
      </c>
      <c r="F399" s="24">
        <v>1.6898148148148148E-3</v>
      </c>
      <c r="G399" s="24">
        <v>3.0787037037037037E-3</v>
      </c>
      <c r="H399" s="24">
        <v>0.56930000000000003</v>
      </c>
      <c r="I399" s="18">
        <f t="shared" si="31"/>
        <v>9.3270000000000002E-3</v>
      </c>
      <c r="J399" s="18">
        <f t="shared" si="35"/>
        <v>5.6930000000000001E-3</v>
      </c>
      <c r="K399" s="19">
        <f t="shared" si="32"/>
        <v>14</v>
      </c>
      <c r="L399" s="18">
        <f t="shared" si="33"/>
        <v>6.7307692307692304E-2</v>
      </c>
      <c r="M399" s="18">
        <f t="shared" si="34"/>
        <v>0.93269230769230771</v>
      </c>
    </row>
    <row r="400" spans="1:13" x14ac:dyDescent="0.3">
      <c r="A400" s="22">
        <v>162</v>
      </c>
      <c r="B400" s="22">
        <v>155</v>
      </c>
      <c r="C400" s="23">
        <v>0.95679999999999998</v>
      </c>
      <c r="D400" s="22">
        <v>7</v>
      </c>
      <c r="E400" s="24">
        <v>2.199074074074074E-4</v>
      </c>
      <c r="F400" s="24">
        <v>1.5856481481481481E-3</v>
      </c>
      <c r="G400" s="24">
        <v>2.5810185185185185E-3</v>
      </c>
      <c r="H400" s="24">
        <v>0.77990000000000004</v>
      </c>
      <c r="I400" s="18">
        <f t="shared" si="31"/>
        <v>9.5680000000000001E-3</v>
      </c>
      <c r="J400" s="18">
        <f t="shared" si="35"/>
        <v>7.7990000000000004E-3</v>
      </c>
      <c r="K400" s="19">
        <f t="shared" si="32"/>
        <v>7</v>
      </c>
      <c r="L400" s="18">
        <f t="shared" si="33"/>
        <v>4.3209876543209874E-2</v>
      </c>
      <c r="M400" s="18">
        <f t="shared" si="34"/>
        <v>0.95679012345679015</v>
      </c>
    </row>
    <row r="401" spans="1:13" x14ac:dyDescent="0.3">
      <c r="A401" s="22">
        <v>152</v>
      </c>
      <c r="B401" s="22">
        <v>143</v>
      </c>
      <c r="C401" s="23">
        <v>0.94079999999999997</v>
      </c>
      <c r="D401" s="22">
        <v>9</v>
      </c>
      <c r="E401" s="24">
        <v>2.5462962962962961E-4</v>
      </c>
      <c r="F401" s="24">
        <v>1.712962962962963E-3</v>
      </c>
      <c r="G401" s="24">
        <v>2.5578703703703705E-3</v>
      </c>
      <c r="H401" s="24">
        <v>0.7</v>
      </c>
      <c r="I401" s="18">
        <f t="shared" si="31"/>
        <v>9.4079999999999997E-3</v>
      </c>
      <c r="J401" s="18">
        <f t="shared" si="35"/>
        <v>6.9999999999999993E-3</v>
      </c>
      <c r="K401" s="19">
        <f t="shared" si="32"/>
        <v>9</v>
      </c>
      <c r="L401" s="18">
        <f t="shared" si="33"/>
        <v>5.921052631578947E-2</v>
      </c>
      <c r="M401" s="18">
        <f t="shared" si="34"/>
        <v>0.94078947368421051</v>
      </c>
    </row>
    <row r="402" spans="1:13" x14ac:dyDescent="0.3">
      <c r="A402" s="22">
        <v>132</v>
      </c>
      <c r="B402" s="22">
        <v>125</v>
      </c>
      <c r="C402" s="23">
        <v>0.94699999999999995</v>
      </c>
      <c r="D402" s="22">
        <v>7</v>
      </c>
      <c r="E402" s="24">
        <v>3.0092592592592595E-4</v>
      </c>
      <c r="F402" s="24">
        <v>1.4699074074074074E-3</v>
      </c>
      <c r="G402" s="24">
        <v>2.685185185185185E-3</v>
      </c>
      <c r="H402" s="24">
        <v>0.68940000000000001</v>
      </c>
      <c r="I402" s="18">
        <f t="shared" si="31"/>
        <v>9.4699999999999993E-3</v>
      </c>
      <c r="J402" s="18">
        <f t="shared" si="35"/>
        <v>6.894E-3</v>
      </c>
      <c r="K402" s="19">
        <f t="shared" si="32"/>
        <v>7</v>
      </c>
      <c r="L402" s="18">
        <f t="shared" si="33"/>
        <v>5.3030303030303032E-2</v>
      </c>
      <c r="M402" s="18">
        <f t="shared" si="34"/>
        <v>0.94696969696969702</v>
      </c>
    </row>
    <row r="403" spans="1:13" x14ac:dyDescent="0.3">
      <c r="A403" s="22">
        <v>133</v>
      </c>
      <c r="B403" s="22">
        <v>131</v>
      </c>
      <c r="C403" s="23">
        <v>0.98499999999999999</v>
      </c>
      <c r="D403" s="22">
        <v>2</v>
      </c>
      <c r="E403" s="24">
        <v>1.3888888888888889E-4</v>
      </c>
      <c r="F403" s="24">
        <v>1.6087962962962963E-3</v>
      </c>
      <c r="G403" s="24">
        <v>9.1435185185185185E-4</v>
      </c>
      <c r="H403" s="24">
        <v>0.87119999999999997</v>
      </c>
      <c r="I403" s="18">
        <f t="shared" si="31"/>
        <v>9.8499999999999994E-3</v>
      </c>
      <c r="J403" s="18">
        <f t="shared" si="35"/>
        <v>8.7119999999999993E-3</v>
      </c>
      <c r="K403" s="19">
        <f t="shared" si="32"/>
        <v>2</v>
      </c>
      <c r="L403" s="18">
        <f t="shared" si="33"/>
        <v>1.5037593984962405E-2</v>
      </c>
      <c r="M403" s="18">
        <f t="shared" si="34"/>
        <v>0.98496240601503759</v>
      </c>
    </row>
    <row r="404" spans="1:13" x14ac:dyDescent="0.3">
      <c r="A404" s="22">
        <v>129</v>
      </c>
      <c r="B404" s="22">
        <v>121</v>
      </c>
      <c r="C404" s="23">
        <v>0.93799999999999994</v>
      </c>
      <c r="D404" s="22">
        <v>8</v>
      </c>
      <c r="E404" s="24">
        <v>3.8194444444444446E-4</v>
      </c>
      <c r="F404" s="24">
        <v>1.8171296296296297E-3</v>
      </c>
      <c r="G404" s="24">
        <v>2.7893518518518519E-3</v>
      </c>
      <c r="H404" s="24">
        <v>0.61419999999999997</v>
      </c>
      <c r="I404" s="18">
        <f t="shared" si="31"/>
        <v>9.3799999999999994E-3</v>
      </c>
      <c r="J404" s="18">
        <f t="shared" si="35"/>
        <v>6.1419999999999999E-3</v>
      </c>
      <c r="K404" s="19">
        <f t="shared" si="32"/>
        <v>8</v>
      </c>
      <c r="L404" s="18">
        <f t="shared" si="33"/>
        <v>6.2015503875968991E-2</v>
      </c>
      <c r="M404" s="18">
        <f t="shared" si="34"/>
        <v>0.93798449612403101</v>
      </c>
    </row>
    <row r="405" spans="1:13" x14ac:dyDescent="0.3">
      <c r="A405" s="22">
        <v>37</v>
      </c>
      <c r="B405" s="22">
        <v>35</v>
      </c>
      <c r="C405" s="23">
        <v>0.94589999999999996</v>
      </c>
      <c r="D405" s="22">
        <v>2</v>
      </c>
      <c r="E405" s="24">
        <v>2.199074074074074E-4</v>
      </c>
      <c r="F405" s="24">
        <v>1.6319444444444445E-3</v>
      </c>
      <c r="G405" s="24">
        <v>1.0648148148148149E-3</v>
      </c>
      <c r="H405" s="24">
        <v>0.75680000000000003</v>
      </c>
      <c r="I405" s="18">
        <f t="shared" si="31"/>
        <v>9.4590000000000004E-3</v>
      </c>
      <c r="J405" s="18">
        <f t="shared" si="35"/>
        <v>7.5680000000000001E-3</v>
      </c>
      <c r="K405" s="19">
        <f t="shared" si="32"/>
        <v>2</v>
      </c>
      <c r="L405" s="18">
        <f t="shared" si="33"/>
        <v>5.4054054054054057E-2</v>
      </c>
      <c r="M405" s="18">
        <f t="shared" si="34"/>
        <v>0.94594594594594594</v>
      </c>
    </row>
    <row r="406" spans="1:13" x14ac:dyDescent="0.3">
      <c r="A406" s="22">
        <v>56</v>
      </c>
      <c r="B406" s="22">
        <v>54</v>
      </c>
      <c r="C406" s="23">
        <v>0.96430000000000005</v>
      </c>
      <c r="D406" s="22">
        <v>2</v>
      </c>
      <c r="E406" s="24">
        <v>1.5046296296296297E-4</v>
      </c>
      <c r="F406" s="24">
        <v>1.7708333333333332E-3</v>
      </c>
      <c r="G406" s="24">
        <v>1.5393518518518519E-3</v>
      </c>
      <c r="H406" s="24">
        <v>0.87270000000000003</v>
      </c>
      <c r="I406" s="18">
        <f t="shared" si="31"/>
        <v>9.6430000000000005E-3</v>
      </c>
      <c r="J406" s="18">
        <f t="shared" si="35"/>
        <v>8.7270000000000004E-3</v>
      </c>
      <c r="K406" s="19">
        <f t="shared" si="32"/>
        <v>2</v>
      </c>
      <c r="L406" s="18">
        <f t="shared" si="33"/>
        <v>3.5714285714285712E-2</v>
      </c>
      <c r="M406" s="18">
        <f t="shared" si="34"/>
        <v>0.9642857142857143</v>
      </c>
    </row>
    <row r="407" spans="1:13" x14ac:dyDescent="0.3">
      <c r="A407" s="22">
        <v>215</v>
      </c>
      <c r="B407" s="22">
        <v>210</v>
      </c>
      <c r="C407" s="23">
        <v>0.97670000000000001</v>
      </c>
      <c r="D407" s="22">
        <v>5</v>
      </c>
      <c r="E407" s="24">
        <v>1.3888888888888889E-4</v>
      </c>
      <c r="F407" s="24">
        <v>1.0879629629629629E-3</v>
      </c>
      <c r="G407" s="24">
        <v>1.1805555555555556E-3</v>
      </c>
      <c r="H407" s="24">
        <v>0.87739999999999996</v>
      </c>
      <c r="I407" s="18">
        <f t="shared" si="31"/>
        <v>9.7669999999999996E-3</v>
      </c>
      <c r="J407" s="18">
        <f t="shared" si="35"/>
        <v>8.7739999999999988E-3</v>
      </c>
      <c r="K407" s="19">
        <f t="shared" si="32"/>
        <v>5</v>
      </c>
      <c r="L407" s="18">
        <f t="shared" si="33"/>
        <v>2.3255813953488372E-2</v>
      </c>
      <c r="M407" s="18">
        <f t="shared" si="34"/>
        <v>0.97674418604651159</v>
      </c>
    </row>
    <row r="408" spans="1:13" x14ac:dyDescent="0.3">
      <c r="A408" s="22">
        <v>50</v>
      </c>
      <c r="B408" s="22">
        <v>46</v>
      </c>
      <c r="C408" s="23">
        <v>0.92</v>
      </c>
      <c r="D408" s="22">
        <v>4</v>
      </c>
      <c r="E408" s="24">
        <v>1.6203703703703703E-4</v>
      </c>
      <c r="F408" s="24">
        <v>1.8749999999999999E-3</v>
      </c>
      <c r="G408" s="24">
        <v>8.4490740740740739E-4</v>
      </c>
      <c r="H408" s="24">
        <v>0.72</v>
      </c>
      <c r="I408" s="18">
        <f t="shared" si="31"/>
        <v>9.1999999999999998E-3</v>
      </c>
      <c r="J408" s="18">
        <f t="shared" si="35"/>
        <v>7.1999999999999998E-3</v>
      </c>
      <c r="K408" s="19">
        <f t="shared" si="32"/>
        <v>4</v>
      </c>
      <c r="L408" s="18">
        <f t="shared" si="33"/>
        <v>0.08</v>
      </c>
      <c r="M408" s="18">
        <f t="shared" si="34"/>
        <v>0.92</v>
      </c>
    </row>
    <row r="409" spans="1:13" x14ac:dyDescent="0.3">
      <c r="A409" s="22">
        <v>136</v>
      </c>
      <c r="B409" s="22">
        <v>129</v>
      </c>
      <c r="C409" s="23">
        <v>0.94850000000000001</v>
      </c>
      <c r="D409" s="22">
        <v>7</v>
      </c>
      <c r="E409" s="24">
        <v>2.5462962962962961E-4</v>
      </c>
      <c r="F409" s="24">
        <v>1.6898148148148148E-3</v>
      </c>
      <c r="G409" s="24">
        <v>1.736111111111111E-3</v>
      </c>
      <c r="H409" s="24">
        <v>0.66420000000000001</v>
      </c>
      <c r="I409" s="18">
        <f t="shared" si="31"/>
        <v>9.4850000000000004E-3</v>
      </c>
      <c r="J409" s="18">
        <f t="shared" si="35"/>
        <v>6.6420000000000003E-3</v>
      </c>
      <c r="K409" s="19">
        <f t="shared" si="32"/>
        <v>7</v>
      </c>
      <c r="L409" s="18">
        <f t="shared" si="33"/>
        <v>5.1470588235294115E-2</v>
      </c>
      <c r="M409" s="18">
        <f t="shared" si="34"/>
        <v>0.94852941176470584</v>
      </c>
    </row>
    <row r="410" spans="1:13" x14ac:dyDescent="0.3">
      <c r="A410" s="22">
        <v>160</v>
      </c>
      <c r="B410" s="22">
        <v>142</v>
      </c>
      <c r="C410" s="23">
        <v>0.88749999999999996</v>
      </c>
      <c r="D410" s="22">
        <v>18</v>
      </c>
      <c r="E410" s="24">
        <v>4.0509259259259258E-4</v>
      </c>
      <c r="F410" s="24">
        <v>1.7824074074074075E-3</v>
      </c>
      <c r="G410" s="24">
        <v>2.1990740740740742E-3</v>
      </c>
      <c r="H410" s="24">
        <v>0.55920000000000003</v>
      </c>
      <c r="I410" s="18">
        <f t="shared" si="31"/>
        <v>8.8749999999999992E-3</v>
      </c>
      <c r="J410" s="18">
        <f t="shared" si="35"/>
        <v>5.5920000000000006E-3</v>
      </c>
      <c r="K410" s="19">
        <f t="shared" si="32"/>
        <v>18</v>
      </c>
      <c r="L410" s="18">
        <f t="shared" si="33"/>
        <v>0.1125</v>
      </c>
      <c r="M410" s="18">
        <f t="shared" si="34"/>
        <v>0.88749999999999996</v>
      </c>
    </row>
    <row r="411" spans="1:13" x14ac:dyDescent="0.3">
      <c r="A411" s="22">
        <v>132</v>
      </c>
      <c r="B411" s="22">
        <v>115</v>
      </c>
      <c r="C411" s="23">
        <v>0.87119999999999997</v>
      </c>
      <c r="D411" s="22">
        <v>17</v>
      </c>
      <c r="E411" s="24">
        <v>4.1666666666666669E-4</v>
      </c>
      <c r="F411" s="24">
        <v>1.7013888888888888E-3</v>
      </c>
      <c r="G411" s="24">
        <v>3.1828703703703702E-3</v>
      </c>
      <c r="H411" s="24">
        <v>0.4884</v>
      </c>
      <c r="I411" s="18">
        <f t="shared" si="31"/>
        <v>8.7119999999999993E-3</v>
      </c>
      <c r="J411" s="18">
        <f t="shared" si="35"/>
        <v>4.8840000000000003E-3</v>
      </c>
      <c r="K411" s="19">
        <f t="shared" si="32"/>
        <v>17</v>
      </c>
      <c r="L411" s="18">
        <f t="shared" si="33"/>
        <v>0.12878787878787878</v>
      </c>
      <c r="M411" s="18">
        <f t="shared" si="34"/>
        <v>0.87121212121212122</v>
      </c>
    </row>
    <row r="412" spans="1:13" x14ac:dyDescent="0.3">
      <c r="A412" s="22">
        <v>30</v>
      </c>
      <c r="B412" s="22">
        <v>28</v>
      </c>
      <c r="C412" s="23">
        <v>0.93330000000000002</v>
      </c>
      <c r="D412" s="22">
        <v>2</v>
      </c>
      <c r="E412" s="24">
        <v>5.4398148148148144E-4</v>
      </c>
      <c r="F412" s="24">
        <v>1.8055555555555555E-3</v>
      </c>
      <c r="G412" s="24">
        <v>1.6435185185185185E-3</v>
      </c>
      <c r="H412" s="24">
        <v>0.4</v>
      </c>
      <c r="I412" s="18">
        <f t="shared" si="31"/>
        <v>9.333000000000001E-3</v>
      </c>
      <c r="J412" s="18">
        <f t="shared" si="35"/>
        <v>4.0000000000000001E-3</v>
      </c>
      <c r="K412" s="19">
        <f t="shared" si="32"/>
        <v>2</v>
      </c>
      <c r="L412" s="18">
        <f t="shared" si="33"/>
        <v>6.6666666666666666E-2</v>
      </c>
      <c r="M412" s="18">
        <f t="shared" si="34"/>
        <v>0.93333333333333335</v>
      </c>
    </row>
    <row r="413" spans="1:13" x14ac:dyDescent="0.3">
      <c r="A413" s="22">
        <v>150</v>
      </c>
      <c r="B413" s="22">
        <v>140</v>
      </c>
      <c r="C413" s="23">
        <v>0.93330000000000002</v>
      </c>
      <c r="D413" s="22">
        <v>10</v>
      </c>
      <c r="E413" s="24">
        <v>3.3564814814814812E-4</v>
      </c>
      <c r="F413" s="24">
        <v>1.7592592592592592E-3</v>
      </c>
      <c r="G413" s="24">
        <v>1.5162037037037036E-3</v>
      </c>
      <c r="H413" s="24">
        <v>0.63090000000000002</v>
      </c>
      <c r="I413" s="18">
        <f t="shared" si="31"/>
        <v>9.333000000000001E-3</v>
      </c>
      <c r="J413" s="18">
        <f t="shared" si="35"/>
        <v>6.3090000000000004E-3</v>
      </c>
      <c r="K413" s="19">
        <f t="shared" si="32"/>
        <v>10</v>
      </c>
      <c r="L413" s="18">
        <f t="shared" si="33"/>
        <v>6.6666666666666666E-2</v>
      </c>
      <c r="M413" s="18">
        <f t="shared" si="34"/>
        <v>0.93333333333333335</v>
      </c>
    </row>
    <row r="414" spans="1:13" x14ac:dyDescent="0.3">
      <c r="A414" s="22">
        <v>160</v>
      </c>
      <c r="B414" s="22">
        <v>144</v>
      </c>
      <c r="C414" s="23">
        <v>0.9</v>
      </c>
      <c r="D414" s="22">
        <v>16</v>
      </c>
      <c r="E414" s="24">
        <v>5.3240740740740744E-4</v>
      </c>
      <c r="F414" s="24">
        <v>1.8402777777777777E-3</v>
      </c>
      <c r="G414" s="24">
        <v>3.0671296296296297E-3</v>
      </c>
      <c r="H414" s="24">
        <v>0.49680000000000002</v>
      </c>
      <c r="I414" s="18">
        <f t="shared" si="31"/>
        <v>9.0000000000000011E-3</v>
      </c>
      <c r="J414" s="18">
        <f t="shared" si="35"/>
        <v>4.9680000000000002E-3</v>
      </c>
      <c r="K414" s="19">
        <f t="shared" si="32"/>
        <v>16</v>
      </c>
      <c r="L414" s="18">
        <f t="shared" si="33"/>
        <v>0.1</v>
      </c>
      <c r="M414" s="18">
        <f t="shared" si="34"/>
        <v>0.9</v>
      </c>
    </row>
    <row r="415" spans="1:13" x14ac:dyDescent="0.3">
      <c r="A415" s="22">
        <v>132</v>
      </c>
      <c r="B415" s="22">
        <v>122</v>
      </c>
      <c r="C415" s="23">
        <v>0.92420000000000002</v>
      </c>
      <c r="D415" s="22">
        <v>10</v>
      </c>
      <c r="E415" s="24">
        <v>4.2824074074074075E-4</v>
      </c>
      <c r="F415" s="24">
        <v>1.8287037037037037E-3</v>
      </c>
      <c r="G415" s="24">
        <v>2.673611111111111E-3</v>
      </c>
      <c r="H415" s="24">
        <v>0.5</v>
      </c>
      <c r="I415" s="18">
        <f t="shared" si="31"/>
        <v>9.2420000000000002E-3</v>
      </c>
      <c r="J415" s="18">
        <f t="shared" si="35"/>
        <v>5.0000000000000001E-3</v>
      </c>
      <c r="K415" s="19">
        <f t="shared" si="32"/>
        <v>10</v>
      </c>
      <c r="L415" s="18">
        <f t="shared" si="33"/>
        <v>7.575757575757576E-2</v>
      </c>
      <c r="M415" s="18">
        <f t="shared" si="34"/>
        <v>0.9242424242424242</v>
      </c>
    </row>
    <row r="416" spans="1:13" x14ac:dyDescent="0.3">
      <c r="A416" s="22">
        <v>161</v>
      </c>
      <c r="B416" s="22">
        <v>151</v>
      </c>
      <c r="C416" s="23">
        <v>0.93789999999999996</v>
      </c>
      <c r="D416" s="22">
        <v>10</v>
      </c>
      <c r="E416" s="24">
        <v>3.2407407407407406E-4</v>
      </c>
      <c r="F416" s="24">
        <v>1.4699074074074074E-3</v>
      </c>
      <c r="G416" s="24">
        <v>1.9675925925925924E-3</v>
      </c>
      <c r="H416" s="24">
        <v>0.6139</v>
      </c>
      <c r="I416" s="18">
        <f t="shared" si="31"/>
        <v>9.3790000000000002E-3</v>
      </c>
      <c r="J416" s="18">
        <f t="shared" si="35"/>
        <v>6.1390000000000004E-3</v>
      </c>
      <c r="K416" s="19">
        <f t="shared" si="32"/>
        <v>10</v>
      </c>
      <c r="L416" s="18">
        <f t="shared" si="33"/>
        <v>6.2111801242236024E-2</v>
      </c>
      <c r="M416" s="18">
        <f t="shared" si="34"/>
        <v>0.93788819875776397</v>
      </c>
    </row>
    <row r="417" spans="1:13" x14ac:dyDescent="0.3">
      <c r="A417" s="22">
        <v>156</v>
      </c>
      <c r="B417" s="22">
        <v>149</v>
      </c>
      <c r="C417" s="23">
        <v>0.95509999999999995</v>
      </c>
      <c r="D417" s="22">
        <v>7</v>
      </c>
      <c r="E417" s="24">
        <v>2.5462962962962961E-4</v>
      </c>
      <c r="F417" s="24">
        <v>1.712962962962963E-3</v>
      </c>
      <c r="G417" s="24">
        <v>2.9050925925925928E-3</v>
      </c>
      <c r="H417" s="24">
        <v>0.70320000000000005</v>
      </c>
      <c r="I417" s="18">
        <f t="shared" si="31"/>
        <v>9.5509999999999987E-3</v>
      </c>
      <c r="J417" s="18">
        <f t="shared" si="35"/>
        <v>7.0320000000000001E-3</v>
      </c>
      <c r="K417" s="19">
        <f t="shared" si="32"/>
        <v>7</v>
      </c>
      <c r="L417" s="18">
        <f t="shared" si="33"/>
        <v>4.4871794871794872E-2</v>
      </c>
      <c r="M417" s="18">
        <f t="shared" si="34"/>
        <v>0.95512820512820518</v>
      </c>
    </row>
    <row r="418" spans="1:13" x14ac:dyDescent="0.3">
      <c r="A418" s="22">
        <v>137</v>
      </c>
      <c r="B418" s="22">
        <v>128</v>
      </c>
      <c r="C418" s="23">
        <v>0.93430000000000002</v>
      </c>
      <c r="D418" s="22">
        <v>9</v>
      </c>
      <c r="E418" s="24">
        <v>3.5879629629629629E-4</v>
      </c>
      <c r="F418" s="24">
        <v>1.736111111111111E-3</v>
      </c>
      <c r="G418" s="24">
        <v>3.5185185185185185E-3</v>
      </c>
      <c r="H418" s="24">
        <v>0.62690000000000001</v>
      </c>
      <c r="I418" s="18">
        <f t="shared" si="31"/>
        <v>9.3430000000000006E-3</v>
      </c>
      <c r="J418" s="18">
        <f t="shared" si="35"/>
        <v>6.2690000000000003E-3</v>
      </c>
      <c r="K418" s="19">
        <f t="shared" si="32"/>
        <v>9</v>
      </c>
      <c r="L418" s="18">
        <f t="shared" si="33"/>
        <v>6.569343065693431E-2</v>
      </c>
      <c r="M418" s="18">
        <f t="shared" si="34"/>
        <v>0.93430656934306566</v>
      </c>
    </row>
    <row r="419" spans="1:13" x14ac:dyDescent="0.3">
      <c r="A419" s="22">
        <v>28</v>
      </c>
      <c r="B419" s="22">
        <v>25</v>
      </c>
      <c r="C419" s="23">
        <v>0.89290000000000003</v>
      </c>
      <c r="D419" s="22">
        <v>3</v>
      </c>
      <c r="E419" s="24">
        <v>6.9444444444444447E-4</v>
      </c>
      <c r="F419" s="24">
        <v>1.9328703703703704E-3</v>
      </c>
      <c r="G419" s="24">
        <v>3.3101851851851851E-3</v>
      </c>
      <c r="H419" s="24">
        <v>0.32140000000000002</v>
      </c>
      <c r="I419" s="18">
        <f t="shared" si="31"/>
        <v>8.9289999999999994E-3</v>
      </c>
      <c r="J419" s="18">
        <f t="shared" si="35"/>
        <v>3.2140000000000003E-3</v>
      </c>
      <c r="K419" s="19">
        <f t="shared" si="32"/>
        <v>3</v>
      </c>
      <c r="L419" s="18">
        <f t="shared" si="33"/>
        <v>0.10714285714285714</v>
      </c>
      <c r="M419" s="18">
        <f t="shared" si="34"/>
        <v>0.8928571428571429</v>
      </c>
    </row>
    <row r="420" spans="1:13" x14ac:dyDescent="0.3">
      <c r="A420" s="22">
        <v>141</v>
      </c>
      <c r="B420" s="22">
        <v>133</v>
      </c>
      <c r="C420" s="23">
        <v>0.94330000000000003</v>
      </c>
      <c r="D420" s="22">
        <v>8</v>
      </c>
      <c r="E420" s="24">
        <v>3.8194444444444446E-4</v>
      </c>
      <c r="F420" s="24">
        <v>1.8749999999999999E-3</v>
      </c>
      <c r="G420" s="24">
        <v>3.2175925925925926E-3</v>
      </c>
      <c r="H420" s="24">
        <v>0.6331</v>
      </c>
      <c r="I420" s="18">
        <f t="shared" si="31"/>
        <v>9.4330000000000004E-3</v>
      </c>
      <c r="J420" s="18">
        <f t="shared" si="35"/>
        <v>6.3309999999999998E-3</v>
      </c>
      <c r="K420" s="19">
        <f t="shared" si="32"/>
        <v>8</v>
      </c>
      <c r="L420" s="18">
        <f t="shared" si="33"/>
        <v>5.6737588652482268E-2</v>
      </c>
      <c r="M420" s="18">
        <f t="shared" si="34"/>
        <v>0.94326241134751776</v>
      </c>
    </row>
    <row r="421" spans="1:13" x14ac:dyDescent="0.3">
      <c r="A421" s="22">
        <v>130</v>
      </c>
      <c r="B421" s="22">
        <v>123</v>
      </c>
      <c r="C421" s="23">
        <v>0.94620000000000004</v>
      </c>
      <c r="D421" s="22">
        <v>7</v>
      </c>
      <c r="E421" s="24">
        <v>3.7037037037037035E-4</v>
      </c>
      <c r="F421" s="24">
        <v>1.8518518518518519E-3</v>
      </c>
      <c r="G421" s="24">
        <v>1.6203703703703703E-3</v>
      </c>
      <c r="H421" s="24">
        <v>0.53490000000000004</v>
      </c>
      <c r="I421" s="18">
        <f t="shared" si="31"/>
        <v>9.4619999999999999E-3</v>
      </c>
      <c r="J421" s="18">
        <f t="shared" si="35"/>
        <v>5.3490000000000005E-3</v>
      </c>
      <c r="K421" s="19">
        <f t="shared" si="32"/>
        <v>7</v>
      </c>
      <c r="L421" s="18">
        <f t="shared" si="33"/>
        <v>5.3846153846153849E-2</v>
      </c>
      <c r="M421" s="18">
        <f t="shared" si="34"/>
        <v>0.94615384615384612</v>
      </c>
    </row>
    <row r="422" spans="1:13" x14ac:dyDescent="0.3">
      <c r="A422" s="22">
        <v>161</v>
      </c>
      <c r="B422" s="22">
        <v>155</v>
      </c>
      <c r="C422" s="23">
        <v>0.9627</v>
      </c>
      <c r="D422" s="22">
        <v>6</v>
      </c>
      <c r="E422" s="24">
        <v>3.1250000000000001E-4</v>
      </c>
      <c r="F422" s="24">
        <v>1.8865740740740742E-3</v>
      </c>
      <c r="G422" s="24">
        <v>1.8865740740740742E-3</v>
      </c>
      <c r="H422" s="24">
        <v>0.73580000000000001</v>
      </c>
      <c r="I422" s="18">
        <f t="shared" si="31"/>
        <v>9.6270000000000001E-3</v>
      </c>
      <c r="J422" s="18">
        <f t="shared" si="35"/>
        <v>7.358E-3</v>
      </c>
      <c r="K422" s="19">
        <f t="shared" si="32"/>
        <v>6</v>
      </c>
      <c r="L422" s="18">
        <f t="shared" si="33"/>
        <v>3.7267080745341616E-2</v>
      </c>
      <c r="M422" s="18">
        <f t="shared" si="34"/>
        <v>0.96273291925465843</v>
      </c>
    </row>
    <row r="423" spans="1:13" x14ac:dyDescent="0.3">
      <c r="A423" s="22">
        <v>139</v>
      </c>
      <c r="B423" s="22">
        <v>132</v>
      </c>
      <c r="C423" s="23">
        <v>0.9496</v>
      </c>
      <c r="D423" s="22">
        <v>7</v>
      </c>
      <c r="E423" s="24">
        <v>3.2407407407407406E-4</v>
      </c>
      <c r="F423" s="24">
        <v>1.8518518518518519E-3</v>
      </c>
      <c r="G423" s="24">
        <v>1.2847222222222223E-3</v>
      </c>
      <c r="H423" s="24">
        <v>0.6331</v>
      </c>
      <c r="I423" s="18">
        <f t="shared" si="31"/>
        <v>9.4959999999999992E-3</v>
      </c>
      <c r="J423" s="18">
        <f t="shared" si="35"/>
        <v>6.3309999999999998E-3</v>
      </c>
      <c r="K423" s="19">
        <f t="shared" si="32"/>
        <v>7</v>
      </c>
      <c r="L423" s="18">
        <f t="shared" si="33"/>
        <v>5.0359712230215826E-2</v>
      </c>
      <c r="M423" s="18">
        <f t="shared" si="34"/>
        <v>0.94964028776978415</v>
      </c>
    </row>
    <row r="424" spans="1:13" x14ac:dyDescent="0.3">
      <c r="A424" s="22">
        <v>167</v>
      </c>
      <c r="B424" s="22">
        <v>130</v>
      </c>
      <c r="C424" s="23">
        <v>0.77839999999999998</v>
      </c>
      <c r="D424" s="22">
        <v>37</v>
      </c>
      <c r="E424" s="24">
        <v>3.3564814814814812E-4</v>
      </c>
      <c r="F424" s="24">
        <v>1.7824074074074075E-3</v>
      </c>
      <c r="G424" s="24">
        <v>8.2870370370370372E-3</v>
      </c>
      <c r="H424" s="24">
        <v>0.54600000000000004</v>
      </c>
      <c r="I424" s="18">
        <f t="shared" si="31"/>
        <v>7.7840000000000001E-3</v>
      </c>
      <c r="J424" s="18">
        <f t="shared" si="35"/>
        <v>5.4600000000000004E-3</v>
      </c>
      <c r="K424" s="19">
        <f t="shared" si="32"/>
        <v>37</v>
      </c>
      <c r="L424" s="18">
        <f t="shared" si="33"/>
        <v>0.22155688622754491</v>
      </c>
      <c r="M424" s="18">
        <f t="shared" si="34"/>
        <v>0.77844311377245512</v>
      </c>
    </row>
    <row r="425" spans="1:13" x14ac:dyDescent="0.3">
      <c r="A425" s="22">
        <v>138</v>
      </c>
      <c r="B425" s="22">
        <v>122</v>
      </c>
      <c r="C425" s="23">
        <v>0.8841</v>
      </c>
      <c r="D425" s="22">
        <v>16</v>
      </c>
      <c r="E425" s="24">
        <v>4.0509259259259258E-4</v>
      </c>
      <c r="F425" s="24">
        <v>1.9560185185185184E-3</v>
      </c>
      <c r="G425" s="24">
        <v>3.8194444444444443E-3</v>
      </c>
      <c r="H425" s="24">
        <v>0.57779999999999998</v>
      </c>
      <c r="I425" s="18">
        <f t="shared" si="31"/>
        <v>8.8409999999999999E-3</v>
      </c>
      <c r="J425" s="18">
        <f t="shared" si="35"/>
        <v>5.7780000000000001E-3</v>
      </c>
      <c r="K425" s="19">
        <f t="shared" si="32"/>
        <v>16</v>
      </c>
      <c r="L425" s="18">
        <f t="shared" si="33"/>
        <v>0.11594202898550725</v>
      </c>
      <c r="M425" s="18">
        <f t="shared" si="34"/>
        <v>0.88405797101449279</v>
      </c>
    </row>
    <row r="426" spans="1:13" x14ac:dyDescent="0.3">
      <c r="A426" s="22">
        <v>47</v>
      </c>
      <c r="B426" s="22">
        <v>44</v>
      </c>
      <c r="C426" s="23">
        <v>0.93620000000000003</v>
      </c>
      <c r="D426" s="22">
        <v>3</v>
      </c>
      <c r="E426" s="24">
        <v>3.0092592592592595E-4</v>
      </c>
      <c r="F426" s="24">
        <v>2.2106481481481482E-3</v>
      </c>
      <c r="G426" s="24">
        <v>2.4189814814814816E-3</v>
      </c>
      <c r="H426" s="24">
        <v>0.63039999999999996</v>
      </c>
      <c r="I426" s="18">
        <f t="shared" si="31"/>
        <v>9.3620000000000005E-3</v>
      </c>
      <c r="J426" s="18">
        <f t="shared" si="35"/>
        <v>6.3039999999999997E-3</v>
      </c>
      <c r="K426" s="19">
        <f t="shared" si="32"/>
        <v>3</v>
      </c>
      <c r="L426" s="18">
        <f t="shared" si="33"/>
        <v>6.3829787234042548E-2</v>
      </c>
      <c r="M426" s="18">
        <f t="shared" si="34"/>
        <v>0.93617021276595747</v>
      </c>
    </row>
    <row r="427" spans="1:13" x14ac:dyDescent="0.3">
      <c r="A427" s="22">
        <v>230</v>
      </c>
      <c r="B427" s="22">
        <v>206</v>
      </c>
      <c r="C427" s="23">
        <v>0.89570000000000005</v>
      </c>
      <c r="D427" s="22">
        <v>24</v>
      </c>
      <c r="E427" s="24">
        <v>4.3981481481481481E-4</v>
      </c>
      <c r="F427" s="24">
        <v>1.7824074074074075E-3</v>
      </c>
      <c r="G427" s="24">
        <v>3.1828703703703702E-3</v>
      </c>
      <c r="H427" s="24">
        <v>0.4672</v>
      </c>
      <c r="I427" s="18">
        <f t="shared" si="31"/>
        <v>8.9569999999999997E-3</v>
      </c>
      <c r="J427" s="18">
        <f t="shared" si="35"/>
        <v>4.6719999999999999E-3</v>
      </c>
      <c r="K427" s="19">
        <f t="shared" si="32"/>
        <v>24</v>
      </c>
      <c r="L427" s="18">
        <f t="shared" si="33"/>
        <v>0.10434782608695652</v>
      </c>
      <c r="M427" s="18">
        <f t="shared" si="34"/>
        <v>0.89565217391304353</v>
      </c>
    </row>
    <row r="428" spans="1:13" x14ac:dyDescent="0.3">
      <c r="A428" s="22">
        <v>177</v>
      </c>
      <c r="B428" s="22">
        <v>153</v>
      </c>
      <c r="C428" s="23">
        <v>0.86439999999999995</v>
      </c>
      <c r="D428" s="22">
        <v>24</v>
      </c>
      <c r="E428" s="24">
        <v>3.4722222222222224E-4</v>
      </c>
      <c r="F428" s="24">
        <v>2.0023148148148148E-3</v>
      </c>
      <c r="G428" s="24">
        <v>3.1018518518518517E-3</v>
      </c>
      <c r="H428" s="24">
        <v>0.55489999999999995</v>
      </c>
      <c r="I428" s="18">
        <f t="shared" si="31"/>
        <v>8.6439999999999989E-3</v>
      </c>
      <c r="J428" s="18">
        <f t="shared" si="35"/>
        <v>5.5489999999999992E-3</v>
      </c>
      <c r="K428" s="19">
        <f t="shared" si="32"/>
        <v>24</v>
      </c>
      <c r="L428" s="18">
        <f t="shared" si="33"/>
        <v>0.13559322033898305</v>
      </c>
      <c r="M428" s="18">
        <f t="shared" si="34"/>
        <v>0.86440677966101698</v>
      </c>
    </row>
    <row r="429" spans="1:13" x14ac:dyDescent="0.3">
      <c r="A429" s="22">
        <v>159</v>
      </c>
      <c r="B429" s="22">
        <v>149</v>
      </c>
      <c r="C429" s="23">
        <v>0.93710000000000004</v>
      </c>
      <c r="D429" s="22">
        <v>10</v>
      </c>
      <c r="E429" s="24">
        <v>3.8194444444444446E-4</v>
      </c>
      <c r="F429" s="24">
        <v>1.8518518518518519E-3</v>
      </c>
      <c r="G429" s="24">
        <v>3.1481481481481482E-3</v>
      </c>
      <c r="H429" s="24">
        <v>0.61040000000000005</v>
      </c>
      <c r="I429" s="18">
        <f t="shared" si="31"/>
        <v>9.3710000000000009E-3</v>
      </c>
      <c r="J429" s="18">
        <f t="shared" si="35"/>
        <v>6.1040000000000009E-3</v>
      </c>
      <c r="K429" s="19">
        <f t="shared" si="32"/>
        <v>10</v>
      </c>
      <c r="L429" s="18">
        <f t="shared" si="33"/>
        <v>6.2893081761006289E-2</v>
      </c>
      <c r="M429" s="18">
        <f t="shared" si="34"/>
        <v>0.93710691823899372</v>
      </c>
    </row>
    <row r="430" spans="1:13" x14ac:dyDescent="0.3">
      <c r="A430" s="22">
        <v>151</v>
      </c>
      <c r="B430" s="22">
        <v>135</v>
      </c>
      <c r="C430" s="23">
        <v>0.89400000000000002</v>
      </c>
      <c r="D430" s="22">
        <v>16</v>
      </c>
      <c r="E430" s="24">
        <v>4.1666666666666669E-4</v>
      </c>
      <c r="F430" s="24">
        <v>1.7592592592592592E-3</v>
      </c>
      <c r="G430" s="24">
        <v>3.2523148148148147E-3</v>
      </c>
      <c r="H430" s="24">
        <v>0.52739999999999998</v>
      </c>
      <c r="I430" s="18">
        <f t="shared" si="31"/>
        <v>8.94E-3</v>
      </c>
      <c r="J430" s="18">
        <f t="shared" si="35"/>
        <v>5.274E-3</v>
      </c>
      <c r="K430" s="19">
        <f t="shared" si="32"/>
        <v>16</v>
      </c>
      <c r="L430" s="18">
        <f t="shared" si="33"/>
        <v>0.10596026490066225</v>
      </c>
      <c r="M430" s="18">
        <f t="shared" si="34"/>
        <v>0.89403973509933776</v>
      </c>
    </row>
    <row r="431" spans="1:13" x14ac:dyDescent="0.3">
      <c r="A431" s="22">
        <v>138</v>
      </c>
      <c r="B431" s="22">
        <v>126</v>
      </c>
      <c r="C431" s="23">
        <v>0.91300000000000003</v>
      </c>
      <c r="D431" s="22">
        <v>12</v>
      </c>
      <c r="E431" s="24">
        <v>3.9351851851851852E-4</v>
      </c>
      <c r="F431" s="24">
        <v>1.5856481481481481E-3</v>
      </c>
      <c r="G431" s="24">
        <v>2.8935185185185184E-3</v>
      </c>
      <c r="H431" s="24">
        <v>0.59699999999999998</v>
      </c>
      <c r="I431" s="18">
        <f t="shared" si="31"/>
        <v>9.130000000000001E-3</v>
      </c>
      <c r="J431" s="18">
        <f t="shared" si="35"/>
        <v>5.9699999999999996E-3</v>
      </c>
      <c r="K431" s="19">
        <f t="shared" si="32"/>
        <v>12</v>
      </c>
      <c r="L431" s="18">
        <f t="shared" si="33"/>
        <v>8.6956521739130432E-2</v>
      </c>
      <c r="M431" s="18">
        <f t="shared" si="34"/>
        <v>0.91304347826086951</v>
      </c>
    </row>
    <row r="432" spans="1:13" x14ac:dyDescent="0.3">
      <c r="A432" s="22">
        <v>118</v>
      </c>
      <c r="B432" s="22">
        <v>118</v>
      </c>
      <c r="C432" s="23">
        <v>1</v>
      </c>
      <c r="D432" s="22">
        <v>0</v>
      </c>
      <c r="E432" s="24">
        <v>3.0092592592592595E-4</v>
      </c>
      <c r="F432" s="24">
        <v>1.7708333333333332E-3</v>
      </c>
      <c r="G432" s="24">
        <v>1.1342592592592593E-3</v>
      </c>
      <c r="H432" s="24">
        <v>0.66100000000000003</v>
      </c>
      <c r="I432" s="18">
        <f t="shared" si="31"/>
        <v>0.01</v>
      </c>
      <c r="J432" s="18">
        <f t="shared" si="35"/>
        <v>6.6100000000000004E-3</v>
      </c>
      <c r="K432" s="19">
        <f t="shared" si="32"/>
        <v>0</v>
      </c>
      <c r="L432" s="18">
        <f t="shared" si="33"/>
        <v>0</v>
      </c>
      <c r="M432" s="18">
        <f t="shared" si="34"/>
        <v>1</v>
      </c>
    </row>
    <row r="433" spans="1:13" x14ac:dyDescent="0.3">
      <c r="A433" s="22">
        <v>22</v>
      </c>
      <c r="B433" s="22">
        <v>21</v>
      </c>
      <c r="C433" s="23">
        <v>0.95450000000000002</v>
      </c>
      <c r="D433" s="22">
        <v>1</v>
      </c>
      <c r="E433" s="24">
        <v>4.861111111111111E-4</v>
      </c>
      <c r="F433" s="24">
        <v>1.6666666666666668E-3</v>
      </c>
      <c r="G433" s="24">
        <v>2.0370370370370369E-3</v>
      </c>
      <c r="H433" s="24">
        <v>0.52380000000000004</v>
      </c>
      <c r="I433" s="18">
        <f t="shared" si="31"/>
        <v>9.5449999999999997E-3</v>
      </c>
      <c r="J433" s="18">
        <f t="shared" si="35"/>
        <v>5.2380000000000005E-3</v>
      </c>
      <c r="K433" s="19">
        <f t="shared" si="32"/>
        <v>1</v>
      </c>
      <c r="L433" s="18">
        <f t="shared" si="33"/>
        <v>4.5454545454545456E-2</v>
      </c>
      <c r="M433" s="18">
        <f t="shared" si="34"/>
        <v>0.95454545454545459</v>
      </c>
    </row>
    <row r="434" spans="1:13" x14ac:dyDescent="0.3">
      <c r="A434" s="22">
        <v>177</v>
      </c>
      <c r="B434" s="22">
        <v>156</v>
      </c>
      <c r="C434" s="23">
        <v>0.88139999999999996</v>
      </c>
      <c r="D434" s="22">
        <v>21</v>
      </c>
      <c r="E434" s="24">
        <v>4.861111111111111E-4</v>
      </c>
      <c r="F434" s="24">
        <v>1.8402777777777777E-3</v>
      </c>
      <c r="G434" s="24">
        <v>2.2685185185185187E-3</v>
      </c>
      <c r="H434" s="24">
        <v>0.42370000000000002</v>
      </c>
      <c r="I434" s="18">
        <f t="shared" si="31"/>
        <v>8.8139999999999989E-3</v>
      </c>
      <c r="J434" s="18">
        <f t="shared" si="35"/>
        <v>4.2370000000000003E-3</v>
      </c>
      <c r="K434" s="19">
        <f t="shared" si="32"/>
        <v>21</v>
      </c>
      <c r="L434" s="18">
        <f t="shared" si="33"/>
        <v>0.11864406779661017</v>
      </c>
      <c r="M434" s="18">
        <f t="shared" si="34"/>
        <v>0.88135593220338981</v>
      </c>
    </row>
    <row r="435" spans="1:13" x14ac:dyDescent="0.3">
      <c r="A435" s="22">
        <v>156</v>
      </c>
      <c r="B435" s="22">
        <v>147</v>
      </c>
      <c r="C435" s="23">
        <v>0.94230000000000003</v>
      </c>
      <c r="D435" s="22">
        <v>9</v>
      </c>
      <c r="E435" s="24">
        <v>3.3564814814814812E-4</v>
      </c>
      <c r="F435" s="24">
        <v>1.7476851851851852E-3</v>
      </c>
      <c r="G435" s="24">
        <v>2.5578703703703705E-3</v>
      </c>
      <c r="H435" s="24">
        <v>0.63639999999999997</v>
      </c>
      <c r="I435" s="18">
        <f t="shared" si="31"/>
        <v>9.4230000000000008E-3</v>
      </c>
      <c r="J435" s="18">
        <f t="shared" si="35"/>
        <v>6.3639999999999999E-3</v>
      </c>
      <c r="K435" s="19">
        <f t="shared" si="32"/>
        <v>9</v>
      </c>
      <c r="L435" s="18">
        <f t="shared" si="33"/>
        <v>5.7692307692307696E-2</v>
      </c>
      <c r="M435" s="18">
        <f t="shared" si="34"/>
        <v>0.94230769230769229</v>
      </c>
    </row>
    <row r="436" spans="1:13" x14ac:dyDescent="0.3">
      <c r="A436" s="22">
        <v>123</v>
      </c>
      <c r="B436" s="22">
        <v>121</v>
      </c>
      <c r="C436" s="23">
        <v>0.98370000000000002</v>
      </c>
      <c r="D436" s="22">
        <v>2</v>
      </c>
      <c r="E436" s="24">
        <v>3.0092592592592595E-4</v>
      </c>
      <c r="F436" s="24">
        <v>1.712962962962963E-3</v>
      </c>
      <c r="G436" s="24">
        <v>2.4189814814814816E-3</v>
      </c>
      <c r="H436" s="24">
        <v>0.64229999999999998</v>
      </c>
      <c r="I436" s="18">
        <f t="shared" si="31"/>
        <v>9.8370000000000003E-3</v>
      </c>
      <c r="J436" s="18">
        <f t="shared" si="35"/>
        <v>6.4229999999999999E-3</v>
      </c>
      <c r="K436" s="19">
        <f t="shared" si="32"/>
        <v>2</v>
      </c>
      <c r="L436" s="18">
        <f t="shared" si="33"/>
        <v>1.6260162601626018E-2</v>
      </c>
      <c r="M436" s="18">
        <f t="shared" si="34"/>
        <v>0.98373983739837401</v>
      </c>
    </row>
    <row r="437" spans="1:13" x14ac:dyDescent="0.3">
      <c r="A437" s="22">
        <v>130</v>
      </c>
      <c r="B437" s="22">
        <v>125</v>
      </c>
      <c r="C437" s="23">
        <v>0.96150000000000002</v>
      </c>
      <c r="D437" s="22">
        <v>5</v>
      </c>
      <c r="E437" s="24">
        <v>3.0092592592592595E-4</v>
      </c>
      <c r="F437" s="24">
        <v>1.724537037037037E-3</v>
      </c>
      <c r="G437" s="24">
        <v>2.4074074074074076E-3</v>
      </c>
      <c r="H437" s="24">
        <v>0.66930000000000001</v>
      </c>
      <c r="I437" s="18">
        <f t="shared" si="31"/>
        <v>9.6150000000000003E-3</v>
      </c>
      <c r="J437" s="18">
        <f t="shared" si="35"/>
        <v>6.6930000000000002E-3</v>
      </c>
      <c r="K437" s="19">
        <f t="shared" si="32"/>
        <v>5</v>
      </c>
      <c r="L437" s="18">
        <f t="shared" si="33"/>
        <v>3.8461538461538464E-2</v>
      </c>
      <c r="M437" s="18">
        <f t="shared" si="34"/>
        <v>0.96153846153846156</v>
      </c>
    </row>
    <row r="438" spans="1:13" x14ac:dyDescent="0.3">
      <c r="A438" s="22">
        <v>141</v>
      </c>
      <c r="B438" s="22">
        <v>134</v>
      </c>
      <c r="C438" s="23">
        <v>0.95040000000000002</v>
      </c>
      <c r="D438" s="22">
        <v>7</v>
      </c>
      <c r="E438" s="24">
        <v>4.5138888888888887E-4</v>
      </c>
      <c r="F438" s="24">
        <v>1.7708333333333332E-3</v>
      </c>
      <c r="G438" s="24">
        <v>2.1759259259259258E-3</v>
      </c>
      <c r="H438" s="24">
        <v>0.56430000000000002</v>
      </c>
      <c r="I438" s="18">
        <f t="shared" si="31"/>
        <v>9.5040000000000003E-3</v>
      </c>
      <c r="J438" s="18">
        <f t="shared" si="35"/>
        <v>5.6430000000000004E-3</v>
      </c>
      <c r="K438" s="19">
        <f t="shared" si="32"/>
        <v>7</v>
      </c>
      <c r="L438" s="18">
        <f t="shared" si="33"/>
        <v>4.9645390070921988E-2</v>
      </c>
      <c r="M438" s="18">
        <f t="shared" si="34"/>
        <v>0.95035460992907805</v>
      </c>
    </row>
    <row r="439" spans="1:13" x14ac:dyDescent="0.3">
      <c r="A439" s="22">
        <v>121</v>
      </c>
      <c r="B439" s="22">
        <v>113</v>
      </c>
      <c r="C439" s="23">
        <v>0.93389999999999995</v>
      </c>
      <c r="D439" s="22">
        <v>8</v>
      </c>
      <c r="E439" s="24">
        <v>4.3981481481481481E-4</v>
      </c>
      <c r="F439" s="24">
        <v>1.8287037037037037E-3</v>
      </c>
      <c r="G439" s="24">
        <v>2.9861111111111113E-3</v>
      </c>
      <c r="H439" s="24">
        <v>0.50829999999999997</v>
      </c>
      <c r="I439" s="18">
        <f t="shared" si="31"/>
        <v>9.3390000000000001E-3</v>
      </c>
      <c r="J439" s="18">
        <f t="shared" si="35"/>
        <v>5.0829999999999998E-3</v>
      </c>
      <c r="K439" s="19">
        <f t="shared" si="32"/>
        <v>8</v>
      </c>
      <c r="L439" s="18">
        <f t="shared" si="33"/>
        <v>6.6115702479338845E-2</v>
      </c>
      <c r="M439" s="18">
        <f t="shared" si="34"/>
        <v>0.93388429752066116</v>
      </c>
    </row>
    <row r="440" spans="1:13" x14ac:dyDescent="0.3">
      <c r="A440" s="22">
        <v>35</v>
      </c>
      <c r="B440" s="22">
        <v>31</v>
      </c>
      <c r="C440" s="23">
        <v>0.88570000000000004</v>
      </c>
      <c r="D440" s="22">
        <v>4</v>
      </c>
      <c r="E440" s="24">
        <v>3.9351851851851852E-4</v>
      </c>
      <c r="F440" s="24">
        <v>1.4467592592592592E-3</v>
      </c>
      <c r="G440" s="24">
        <v>3.1134259259259257E-3</v>
      </c>
      <c r="H440" s="24">
        <v>0.47060000000000002</v>
      </c>
      <c r="I440" s="18">
        <f t="shared" si="31"/>
        <v>8.8570000000000003E-3</v>
      </c>
      <c r="J440" s="18">
        <f t="shared" si="35"/>
        <v>4.7060000000000001E-3</v>
      </c>
      <c r="K440" s="19">
        <f t="shared" si="32"/>
        <v>4</v>
      </c>
      <c r="L440" s="18">
        <f t="shared" si="33"/>
        <v>0.11428571428571428</v>
      </c>
      <c r="M440" s="18">
        <f t="shared" si="34"/>
        <v>0.88571428571428568</v>
      </c>
    </row>
    <row r="441" spans="1:13" x14ac:dyDescent="0.3">
      <c r="A441" s="22">
        <v>240</v>
      </c>
      <c r="B441" s="22">
        <v>226</v>
      </c>
      <c r="C441" s="23">
        <v>0.94169999999999998</v>
      </c>
      <c r="D441" s="22">
        <v>14</v>
      </c>
      <c r="E441" s="24">
        <v>4.1666666666666669E-4</v>
      </c>
      <c r="F441" s="24">
        <v>1.5625000000000001E-3</v>
      </c>
      <c r="G441" s="24">
        <v>2.8472222222222223E-3</v>
      </c>
      <c r="H441" s="24">
        <v>0.57020000000000004</v>
      </c>
      <c r="I441" s="18">
        <f t="shared" si="31"/>
        <v>9.417E-3</v>
      </c>
      <c r="J441" s="18">
        <f t="shared" si="35"/>
        <v>5.7020000000000005E-3</v>
      </c>
      <c r="K441" s="19">
        <f t="shared" si="32"/>
        <v>14</v>
      </c>
      <c r="L441" s="18">
        <f t="shared" si="33"/>
        <v>5.8333333333333334E-2</v>
      </c>
      <c r="M441" s="18">
        <f t="shared" si="34"/>
        <v>0.94166666666666665</v>
      </c>
    </row>
    <row r="442" spans="1:13" x14ac:dyDescent="0.3">
      <c r="A442" s="22">
        <v>130</v>
      </c>
      <c r="B442" s="22">
        <v>118</v>
      </c>
      <c r="C442" s="23">
        <v>0.90769999999999995</v>
      </c>
      <c r="D442" s="22">
        <v>12</v>
      </c>
      <c r="E442" s="24">
        <v>3.7037037037037035E-4</v>
      </c>
      <c r="F442" s="24">
        <v>1.6550925925925926E-3</v>
      </c>
      <c r="G442" s="24">
        <v>2.5462962962962965E-3</v>
      </c>
      <c r="H442" s="24">
        <v>0.57809999999999995</v>
      </c>
      <c r="I442" s="18">
        <f t="shared" si="31"/>
        <v>9.077E-3</v>
      </c>
      <c r="J442" s="18">
        <f t="shared" si="35"/>
        <v>5.7809999999999997E-3</v>
      </c>
      <c r="K442" s="19">
        <f t="shared" si="32"/>
        <v>12</v>
      </c>
      <c r="L442" s="18">
        <f t="shared" si="33"/>
        <v>9.2307692307692313E-2</v>
      </c>
      <c r="M442" s="18">
        <f t="shared" si="34"/>
        <v>0.90769230769230769</v>
      </c>
    </row>
    <row r="443" spans="1:13" x14ac:dyDescent="0.3">
      <c r="A443" s="22">
        <v>140</v>
      </c>
      <c r="B443" s="22">
        <v>130</v>
      </c>
      <c r="C443" s="23">
        <v>0.92859999999999998</v>
      </c>
      <c r="D443" s="22">
        <v>10</v>
      </c>
      <c r="E443" s="24">
        <v>3.3564814814814812E-4</v>
      </c>
      <c r="F443" s="24">
        <v>1.7476851851851852E-3</v>
      </c>
      <c r="G443" s="24">
        <v>5.2662037037037035E-3</v>
      </c>
      <c r="H443" s="24">
        <v>0.62319999999999998</v>
      </c>
      <c r="I443" s="18">
        <f t="shared" si="31"/>
        <v>9.2859999999999991E-3</v>
      </c>
      <c r="J443" s="18">
        <f t="shared" si="35"/>
        <v>6.2319999999999997E-3</v>
      </c>
      <c r="K443" s="19">
        <f t="shared" si="32"/>
        <v>10</v>
      </c>
      <c r="L443" s="18">
        <f t="shared" si="33"/>
        <v>7.1428571428571425E-2</v>
      </c>
      <c r="M443" s="18">
        <f t="shared" si="34"/>
        <v>0.9285714285714286</v>
      </c>
    </row>
    <row r="444" spans="1:13" x14ac:dyDescent="0.3">
      <c r="A444" s="22">
        <v>131</v>
      </c>
      <c r="B444" s="22">
        <v>111</v>
      </c>
      <c r="C444" s="23">
        <v>0.84730000000000005</v>
      </c>
      <c r="D444" s="22">
        <v>20</v>
      </c>
      <c r="E444" s="24">
        <v>4.3981481481481481E-4</v>
      </c>
      <c r="F444" s="24">
        <v>2.2685185185185187E-3</v>
      </c>
      <c r="G444" s="24">
        <v>6.9328703703703705E-3</v>
      </c>
      <c r="H444" s="24">
        <v>0.59689999999999999</v>
      </c>
      <c r="I444" s="18">
        <f t="shared" si="31"/>
        <v>8.4730000000000014E-3</v>
      </c>
      <c r="J444" s="18">
        <f t="shared" si="35"/>
        <v>5.9689999999999995E-3</v>
      </c>
      <c r="K444" s="19">
        <f t="shared" si="32"/>
        <v>20</v>
      </c>
      <c r="L444" s="18">
        <f t="shared" si="33"/>
        <v>0.15267175572519084</v>
      </c>
      <c r="M444" s="18">
        <f t="shared" si="34"/>
        <v>0.84732824427480913</v>
      </c>
    </row>
    <row r="445" spans="1:13" x14ac:dyDescent="0.3">
      <c r="A445" s="22">
        <v>74</v>
      </c>
      <c r="B445" s="22">
        <v>74</v>
      </c>
      <c r="C445" s="23">
        <v>1</v>
      </c>
      <c r="D445" s="22">
        <v>0</v>
      </c>
      <c r="E445" s="24">
        <v>1.5046296296296297E-4</v>
      </c>
      <c r="F445" s="24">
        <v>2.0254629629629629E-3</v>
      </c>
      <c r="G445" s="24">
        <v>1.3078703703703703E-3</v>
      </c>
      <c r="H445" s="24">
        <v>0.89190000000000003</v>
      </c>
      <c r="I445" s="18">
        <f t="shared" si="31"/>
        <v>0.01</v>
      </c>
      <c r="J445" s="18">
        <f t="shared" si="35"/>
        <v>8.9189999999999998E-3</v>
      </c>
      <c r="K445" s="19">
        <f t="shared" si="32"/>
        <v>0</v>
      </c>
      <c r="L445" s="18">
        <f t="shared" si="33"/>
        <v>0</v>
      </c>
      <c r="M445" s="18">
        <f t="shared" si="34"/>
        <v>1</v>
      </c>
    </row>
    <row r="446" spans="1:13" x14ac:dyDescent="0.3">
      <c r="A446" s="22">
        <v>24</v>
      </c>
      <c r="B446" s="22">
        <v>24</v>
      </c>
      <c r="C446" s="23">
        <v>1</v>
      </c>
      <c r="D446" s="22">
        <v>0</v>
      </c>
      <c r="E446" s="24">
        <v>1.3888888888888889E-4</v>
      </c>
      <c r="F446" s="24">
        <v>1.9328703703703704E-3</v>
      </c>
      <c r="G446" s="24">
        <v>6.5972222222222224E-4</v>
      </c>
      <c r="H446" s="24">
        <v>0.83330000000000004</v>
      </c>
      <c r="I446" s="18">
        <f t="shared" si="31"/>
        <v>0.01</v>
      </c>
      <c r="J446" s="18">
        <f t="shared" si="35"/>
        <v>8.3330000000000001E-3</v>
      </c>
      <c r="K446" s="19">
        <f t="shared" si="32"/>
        <v>0</v>
      </c>
      <c r="L446" s="18">
        <f t="shared" si="33"/>
        <v>0</v>
      </c>
      <c r="M446" s="18">
        <f t="shared" si="34"/>
        <v>1</v>
      </c>
    </row>
    <row r="447" spans="1:13" x14ac:dyDescent="0.3">
      <c r="A447" s="22">
        <v>11</v>
      </c>
      <c r="B447" s="22">
        <v>10</v>
      </c>
      <c r="C447" s="23">
        <v>0.90910000000000002</v>
      </c>
      <c r="D447" s="22">
        <v>1</v>
      </c>
      <c r="E447" s="24">
        <v>1.5046296296296297E-4</v>
      </c>
      <c r="F447" s="24">
        <v>1.6666666666666668E-3</v>
      </c>
      <c r="G447" s="24">
        <v>6.3657407407407413E-4</v>
      </c>
      <c r="H447" s="24">
        <v>0.81820000000000004</v>
      </c>
      <c r="I447" s="18">
        <f t="shared" si="31"/>
        <v>9.0910000000000001E-3</v>
      </c>
      <c r="J447" s="18">
        <f t="shared" si="35"/>
        <v>8.182E-3</v>
      </c>
      <c r="K447" s="19">
        <f t="shared" si="32"/>
        <v>1</v>
      </c>
      <c r="L447" s="18">
        <f t="shared" si="33"/>
        <v>9.0909090909090912E-2</v>
      </c>
      <c r="M447" s="18">
        <f t="shared" si="34"/>
        <v>0.90909090909090906</v>
      </c>
    </row>
    <row r="448" spans="1:13" x14ac:dyDescent="0.3">
      <c r="A448" s="22">
        <v>28</v>
      </c>
      <c r="B448" s="22">
        <v>26</v>
      </c>
      <c r="C448" s="23">
        <v>0.92859999999999998</v>
      </c>
      <c r="D448" s="22">
        <v>2</v>
      </c>
      <c r="E448" s="24">
        <v>1.1574074074074075E-4</v>
      </c>
      <c r="F448" s="24">
        <v>1.736111111111111E-3</v>
      </c>
      <c r="G448" s="24">
        <v>9.9537037037037042E-4</v>
      </c>
      <c r="H448" s="24">
        <v>0.81479999999999997</v>
      </c>
      <c r="I448" s="18">
        <f t="shared" si="31"/>
        <v>9.2859999999999991E-3</v>
      </c>
      <c r="J448" s="18">
        <f t="shared" si="35"/>
        <v>8.147999999999999E-3</v>
      </c>
      <c r="K448" s="19">
        <f t="shared" si="32"/>
        <v>2</v>
      </c>
      <c r="L448" s="18">
        <f t="shared" si="33"/>
        <v>7.1428571428571425E-2</v>
      </c>
      <c r="M448" s="18">
        <f t="shared" si="34"/>
        <v>0.9285714285714286</v>
      </c>
    </row>
    <row r="449" spans="1:13" x14ac:dyDescent="0.3">
      <c r="A449" s="22">
        <v>43</v>
      </c>
      <c r="B449" s="22">
        <v>43</v>
      </c>
      <c r="C449" s="23">
        <v>1</v>
      </c>
      <c r="D449" s="22">
        <v>0</v>
      </c>
      <c r="E449" s="24">
        <v>9.2592592592592588E-5</v>
      </c>
      <c r="F449" s="24">
        <v>1.6550925925925926E-3</v>
      </c>
      <c r="G449" s="24">
        <v>6.018518518518519E-4</v>
      </c>
      <c r="H449" s="24">
        <v>0.88370000000000004</v>
      </c>
      <c r="I449" s="18">
        <f t="shared" si="31"/>
        <v>0.01</v>
      </c>
      <c r="J449" s="18">
        <f t="shared" si="35"/>
        <v>8.8370000000000011E-3</v>
      </c>
      <c r="K449" s="19">
        <f t="shared" si="32"/>
        <v>0</v>
      </c>
      <c r="L449" s="18">
        <f t="shared" si="33"/>
        <v>0</v>
      </c>
      <c r="M449" s="18">
        <f t="shared" si="34"/>
        <v>1</v>
      </c>
    </row>
    <row r="450" spans="1:13" x14ac:dyDescent="0.3">
      <c r="A450" s="22">
        <v>62</v>
      </c>
      <c r="B450" s="22">
        <v>62</v>
      </c>
      <c r="C450" s="23">
        <v>1</v>
      </c>
      <c r="D450" s="22">
        <v>0</v>
      </c>
      <c r="E450" s="24">
        <v>1.9675925925925926E-4</v>
      </c>
      <c r="F450" s="24">
        <v>1.5277777777777779E-3</v>
      </c>
      <c r="G450" s="24">
        <v>9.9537037037037042E-4</v>
      </c>
      <c r="H450" s="24">
        <v>0.8226</v>
      </c>
      <c r="I450" s="18">
        <f t="shared" si="31"/>
        <v>0.01</v>
      </c>
      <c r="J450" s="18">
        <f t="shared" si="35"/>
        <v>8.2260000000000007E-3</v>
      </c>
      <c r="K450" s="19">
        <f t="shared" si="32"/>
        <v>0</v>
      </c>
      <c r="L450" s="18">
        <f t="shared" si="33"/>
        <v>0</v>
      </c>
      <c r="M450" s="18">
        <f t="shared" si="34"/>
        <v>1</v>
      </c>
    </row>
    <row r="451" spans="1:13" x14ac:dyDescent="0.3">
      <c r="A451" s="22">
        <v>70</v>
      </c>
      <c r="B451" s="22">
        <v>69</v>
      </c>
      <c r="C451" s="23">
        <v>0.98570000000000002</v>
      </c>
      <c r="D451" s="22">
        <v>1</v>
      </c>
      <c r="E451" s="24">
        <v>2.5462962962962961E-4</v>
      </c>
      <c r="F451" s="24">
        <v>1.4583333333333334E-3</v>
      </c>
      <c r="G451" s="24">
        <v>6.0185185185185185E-3</v>
      </c>
      <c r="H451" s="24">
        <v>0.81430000000000002</v>
      </c>
      <c r="I451" s="18">
        <f t="shared" ref="I451:I514" si="36">VALUE(SUBSTITUTE(C451,"%",""))/100</f>
        <v>9.8569999999999994E-3</v>
      </c>
      <c r="J451" s="18">
        <f t="shared" si="35"/>
        <v>8.1430000000000009E-3</v>
      </c>
      <c r="K451" s="19">
        <f t="shared" ref="K451:K514" si="37">A451-B451</f>
        <v>1</v>
      </c>
      <c r="L451" s="18">
        <f t="shared" ref="L451:L514" si="38">D451/A451</f>
        <v>1.4285714285714285E-2</v>
      </c>
      <c r="M451" s="18">
        <f t="shared" ref="M451:M514" si="39">B451/A451</f>
        <v>0.98571428571428577</v>
      </c>
    </row>
    <row r="452" spans="1:13" x14ac:dyDescent="0.3">
      <c r="A452" s="22">
        <v>107</v>
      </c>
      <c r="B452" s="22">
        <v>97</v>
      </c>
      <c r="C452" s="23">
        <v>0.90649999999999997</v>
      </c>
      <c r="D452" s="22">
        <v>10</v>
      </c>
      <c r="E452" s="24">
        <v>2.4305555555555555E-4</v>
      </c>
      <c r="F452" s="24">
        <v>1.6898148148148148E-3</v>
      </c>
      <c r="G452" s="24">
        <v>1.8518518518518519E-3</v>
      </c>
      <c r="H452" s="24">
        <v>0.68869999999999998</v>
      </c>
      <c r="I452" s="18">
        <f t="shared" si="36"/>
        <v>9.0650000000000001E-3</v>
      </c>
      <c r="J452" s="18">
        <f t="shared" si="35"/>
        <v>6.8869999999999999E-3</v>
      </c>
      <c r="K452" s="19">
        <f t="shared" si="37"/>
        <v>10</v>
      </c>
      <c r="L452" s="18">
        <f t="shared" si="38"/>
        <v>9.3457943925233641E-2</v>
      </c>
      <c r="M452" s="18">
        <f t="shared" si="39"/>
        <v>0.90654205607476634</v>
      </c>
    </row>
    <row r="453" spans="1:13" x14ac:dyDescent="0.3">
      <c r="A453" s="22">
        <v>91</v>
      </c>
      <c r="B453" s="22">
        <v>85</v>
      </c>
      <c r="C453" s="23">
        <v>0.93410000000000004</v>
      </c>
      <c r="D453" s="22">
        <v>6</v>
      </c>
      <c r="E453" s="24">
        <v>3.4722222222222224E-4</v>
      </c>
      <c r="F453" s="24">
        <v>1.7013888888888888E-3</v>
      </c>
      <c r="G453" s="24">
        <v>4.0393518518518521E-3</v>
      </c>
      <c r="H453" s="24">
        <v>0.62639999999999996</v>
      </c>
      <c r="I453" s="18">
        <f t="shared" si="36"/>
        <v>9.3410000000000003E-3</v>
      </c>
      <c r="J453" s="18">
        <f t="shared" si="35"/>
        <v>6.2639999999999996E-3</v>
      </c>
      <c r="K453" s="19">
        <f t="shared" si="37"/>
        <v>6</v>
      </c>
      <c r="L453" s="18">
        <f t="shared" si="38"/>
        <v>6.5934065934065936E-2</v>
      </c>
      <c r="M453" s="18">
        <f t="shared" si="39"/>
        <v>0.93406593406593408</v>
      </c>
    </row>
    <row r="454" spans="1:13" x14ac:dyDescent="0.3">
      <c r="A454" s="22">
        <v>25</v>
      </c>
      <c r="B454" s="22">
        <v>25</v>
      </c>
      <c r="C454" s="23">
        <v>1</v>
      </c>
      <c r="D454" s="22">
        <v>0</v>
      </c>
      <c r="E454" s="24">
        <v>1.273148148148148E-4</v>
      </c>
      <c r="F454" s="24">
        <v>1.8518518518518519E-3</v>
      </c>
      <c r="G454" s="24">
        <v>6.3657407407407413E-4</v>
      </c>
      <c r="H454" s="24">
        <v>0.84</v>
      </c>
      <c r="I454" s="18">
        <f t="shared" si="36"/>
        <v>0.01</v>
      </c>
      <c r="J454" s="18">
        <f t="shared" ref="J454:J517" si="40">VALUE(SUBSTITUTE(H454,"%",""))/100</f>
        <v>8.3999999999999995E-3</v>
      </c>
      <c r="K454" s="19">
        <f t="shared" si="37"/>
        <v>0</v>
      </c>
      <c r="L454" s="18">
        <f t="shared" si="38"/>
        <v>0</v>
      </c>
      <c r="M454" s="18">
        <f t="shared" si="39"/>
        <v>1</v>
      </c>
    </row>
    <row r="455" spans="1:13" x14ac:dyDescent="0.3">
      <c r="A455" s="22">
        <v>85</v>
      </c>
      <c r="B455" s="22">
        <v>79</v>
      </c>
      <c r="C455" s="23">
        <v>0.9294</v>
      </c>
      <c r="D455" s="22">
        <v>6</v>
      </c>
      <c r="E455" s="24">
        <v>2.7777777777777778E-4</v>
      </c>
      <c r="F455" s="24">
        <v>1.7476851851851852E-3</v>
      </c>
      <c r="G455" s="24">
        <v>2.1643518518518518E-3</v>
      </c>
      <c r="H455" s="24">
        <v>0.72289999999999999</v>
      </c>
      <c r="I455" s="18">
        <f t="shared" si="36"/>
        <v>9.2940000000000002E-3</v>
      </c>
      <c r="J455" s="18">
        <f t="shared" si="40"/>
        <v>7.2290000000000002E-3</v>
      </c>
      <c r="K455" s="19">
        <f t="shared" si="37"/>
        <v>6</v>
      </c>
      <c r="L455" s="18">
        <f t="shared" si="38"/>
        <v>7.0588235294117646E-2</v>
      </c>
      <c r="M455" s="18">
        <f t="shared" si="39"/>
        <v>0.92941176470588238</v>
      </c>
    </row>
    <row r="456" spans="1:13" x14ac:dyDescent="0.3">
      <c r="A456" s="22">
        <v>91</v>
      </c>
      <c r="B456" s="22">
        <v>83</v>
      </c>
      <c r="C456" s="23">
        <v>0.91210000000000002</v>
      </c>
      <c r="D456" s="22">
        <v>8</v>
      </c>
      <c r="E456" s="24">
        <v>3.0092592592592595E-4</v>
      </c>
      <c r="F456" s="24">
        <v>1.8171296296296297E-3</v>
      </c>
      <c r="G456" s="24">
        <v>2.5462962962962965E-3</v>
      </c>
      <c r="H456" s="24">
        <v>0.62639999999999996</v>
      </c>
      <c r="I456" s="18">
        <f t="shared" si="36"/>
        <v>9.1210000000000006E-3</v>
      </c>
      <c r="J456" s="18">
        <f t="shared" si="40"/>
        <v>6.2639999999999996E-3</v>
      </c>
      <c r="K456" s="19">
        <f t="shared" si="37"/>
        <v>8</v>
      </c>
      <c r="L456" s="18">
        <f t="shared" si="38"/>
        <v>8.7912087912087919E-2</v>
      </c>
      <c r="M456" s="18">
        <f t="shared" si="39"/>
        <v>0.91208791208791207</v>
      </c>
    </row>
    <row r="457" spans="1:13" x14ac:dyDescent="0.3">
      <c r="A457" s="22">
        <v>48</v>
      </c>
      <c r="B457" s="22">
        <v>46</v>
      </c>
      <c r="C457" s="23">
        <v>0.95830000000000004</v>
      </c>
      <c r="D457" s="22">
        <v>2</v>
      </c>
      <c r="E457" s="24">
        <v>1.273148148148148E-4</v>
      </c>
      <c r="F457" s="24">
        <v>1.5393518518518519E-3</v>
      </c>
      <c r="G457" s="24">
        <v>9.4907407407407408E-4</v>
      </c>
      <c r="H457" s="24">
        <v>0.82979999999999998</v>
      </c>
      <c r="I457" s="18">
        <f t="shared" si="36"/>
        <v>9.5830000000000012E-3</v>
      </c>
      <c r="J457" s="18">
        <f t="shared" si="40"/>
        <v>8.2979999999999998E-3</v>
      </c>
      <c r="K457" s="19">
        <f t="shared" si="37"/>
        <v>2</v>
      </c>
      <c r="L457" s="18">
        <f t="shared" si="38"/>
        <v>4.1666666666666664E-2</v>
      </c>
      <c r="M457" s="18">
        <f t="shared" si="39"/>
        <v>0.95833333333333337</v>
      </c>
    </row>
    <row r="458" spans="1:13" x14ac:dyDescent="0.3">
      <c r="A458" s="22">
        <v>14</v>
      </c>
      <c r="B458" s="22">
        <v>11</v>
      </c>
      <c r="C458" s="23">
        <v>0.78569999999999995</v>
      </c>
      <c r="D458" s="22">
        <v>3</v>
      </c>
      <c r="E458" s="24">
        <v>2.0833333333333335E-4</v>
      </c>
      <c r="F458" s="24">
        <v>1.7013888888888888E-3</v>
      </c>
      <c r="G458" s="24">
        <v>1.9097222222222222E-3</v>
      </c>
      <c r="H458" s="24">
        <v>0.61539999999999995</v>
      </c>
      <c r="I458" s="18">
        <f t="shared" si="36"/>
        <v>7.8569999999999994E-3</v>
      </c>
      <c r="J458" s="18">
        <f t="shared" si="40"/>
        <v>6.1539999999999997E-3</v>
      </c>
      <c r="K458" s="19">
        <f t="shared" si="37"/>
        <v>3</v>
      </c>
      <c r="L458" s="18">
        <f t="shared" si="38"/>
        <v>0.21428571428571427</v>
      </c>
      <c r="M458" s="18">
        <f t="shared" si="39"/>
        <v>0.7857142857142857</v>
      </c>
    </row>
    <row r="459" spans="1:13" x14ac:dyDescent="0.3">
      <c r="A459" s="22">
        <v>43</v>
      </c>
      <c r="B459" s="22">
        <v>42</v>
      </c>
      <c r="C459" s="23">
        <v>0.97670000000000001</v>
      </c>
      <c r="D459" s="22">
        <v>1</v>
      </c>
      <c r="E459" s="24">
        <v>2.5462962962962961E-4</v>
      </c>
      <c r="F459" s="24">
        <v>1.9328703703703704E-3</v>
      </c>
      <c r="G459" s="24">
        <v>2.2569444444444442E-3</v>
      </c>
      <c r="H459" s="24">
        <v>0.73809999999999998</v>
      </c>
      <c r="I459" s="18">
        <f t="shared" si="36"/>
        <v>9.7669999999999996E-3</v>
      </c>
      <c r="J459" s="18">
        <f t="shared" si="40"/>
        <v>7.3809999999999995E-3</v>
      </c>
      <c r="K459" s="19">
        <f t="shared" si="37"/>
        <v>1</v>
      </c>
      <c r="L459" s="18">
        <f t="shared" si="38"/>
        <v>2.3255813953488372E-2</v>
      </c>
      <c r="M459" s="18">
        <f t="shared" si="39"/>
        <v>0.97674418604651159</v>
      </c>
    </row>
    <row r="460" spans="1:13" x14ac:dyDescent="0.3">
      <c r="A460" s="22">
        <v>74</v>
      </c>
      <c r="B460" s="22">
        <v>69</v>
      </c>
      <c r="C460" s="23">
        <v>0.93240000000000001</v>
      </c>
      <c r="D460" s="22">
        <v>5</v>
      </c>
      <c r="E460" s="24">
        <v>2.6620370370370372E-4</v>
      </c>
      <c r="F460" s="24">
        <v>1.7476851851851852E-3</v>
      </c>
      <c r="G460" s="24">
        <v>3.3333333333333335E-3</v>
      </c>
      <c r="H460" s="24">
        <v>0.7671</v>
      </c>
      <c r="I460" s="18">
        <f t="shared" si="36"/>
        <v>9.3240000000000007E-3</v>
      </c>
      <c r="J460" s="18">
        <f t="shared" si="40"/>
        <v>7.6709999999999999E-3</v>
      </c>
      <c r="K460" s="19">
        <f t="shared" si="37"/>
        <v>5</v>
      </c>
      <c r="L460" s="18">
        <f t="shared" si="38"/>
        <v>6.7567567567567571E-2</v>
      </c>
      <c r="M460" s="18">
        <f t="shared" si="39"/>
        <v>0.93243243243243246</v>
      </c>
    </row>
    <row r="461" spans="1:13" x14ac:dyDescent="0.3">
      <c r="A461" s="22">
        <v>33</v>
      </c>
      <c r="B461" s="22">
        <v>33</v>
      </c>
      <c r="C461" s="23">
        <v>1</v>
      </c>
      <c r="D461" s="22">
        <v>0</v>
      </c>
      <c r="E461" s="24">
        <v>1.6203703703703703E-4</v>
      </c>
      <c r="F461" s="24">
        <v>1.6782407407407408E-3</v>
      </c>
      <c r="G461" s="24">
        <v>1.0300925925925926E-3</v>
      </c>
      <c r="H461" s="24">
        <v>0.81820000000000004</v>
      </c>
      <c r="I461" s="18">
        <f t="shared" si="36"/>
        <v>0.01</v>
      </c>
      <c r="J461" s="18">
        <f t="shared" si="40"/>
        <v>8.182E-3</v>
      </c>
      <c r="K461" s="19">
        <f t="shared" si="37"/>
        <v>0</v>
      </c>
      <c r="L461" s="18">
        <f t="shared" si="38"/>
        <v>0</v>
      </c>
      <c r="M461" s="18">
        <f t="shared" si="39"/>
        <v>1</v>
      </c>
    </row>
    <row r="462" spans="1:13" x14ac:dyDescent="0.3">
      <c r="A462" s="22">
        <v>124</v>
      </c>
      <c r="B462" s="22">
        <v>112</v>
      </c>
      <c r="C462" s="23">
        <v>0.9032</v>
      </c>
      <c r="D462" s="22">
        <v>12</v>
      </c>
      <c r="E462" s="24">
        <v>3.0092592592592595E-4</v>
      </c>
      <c r="F462" s="24">
        <v>1.8055555555555555E-3</v>
      </c>
      <c r="G462" s="24">
        <v>3.8194444444444443E-3</v>
      </c>
      <c r="H462" s="24">
        <v>0.64749999999999996</v>
      </c>
      <c r="I462" s="18">
        <f t="shared" si="36"/>
        <v>9.0320000000000001E-3</v>
      </c>
      <c r="J462" s="18">
        <f t="shared" si="40"/>
        <v>6.4749999999999999E-3</v>
      </c>
      <c r="K462" s="19">
        <f t="shared" si="37"/>
        <v>12</v>
      </c>
      <c r="L462" s="18">
        <f t="shared" si="38"/>
        <v>9.6774193548387094E-2</v>
      </c>
      <c r="M462" s="18">
        <f t="shared" si="39"/>
        <v>0.90322580645161288</v>
      </c>
    </row>
    <row r="463" spans="1:13" x14ac:dyDescent="0.3">
      <c r="A463" s="22">
        <v>130</v>
      </c>
      <c r="B463" s="22">
        <v>126</v>
      </c>
      <c r="C463" s="23">
        <v>0.96919999999999995</v>
      </c>
      <c r="D463" s="22">
        <v>4</v>
      </c>
      <c r="E463" s="24">
        <v>2.8935185185185184E-4</v>
      </c>
      <c r="F463" s="24">
        <v>1.736111111111111E-3</v>
      </c>
      <c r="G463" s="24">
        <v>2.0601851851851853E-3</v>
      </c>
      <c r="H463" s="24">
        <v>0.65890000000000004</v>
      </c>
      <c r="I463" s="18">
        <f t="shared" si="36"/>
        <v>9.6919999999999992E-3</v>
      </c>
      <c r="J463" s="18">
        <f t="shared" si="40"/>
        <v>6.5890000000000002E-3</v>
      </c>
      <c r="K463" s="19">
        <f t="shared" si="37"/>
        <v>4</v>
      </c>
      <c r="L463" s="18">
        <f t="shared" si="38"/>
        <v>3.0769230769230771E-2</v>
      </c>
      <c r="M463" s="18">
        <f t="shared" si="39"/>
        <v>0.96923076923076923</v>
      </c>
    </row>
    <row r="464" spans="1:13" x14ac:dyDescent="0.3">
      <c r="A464" s="22">
        <v>139</v>
      </c>
      <c r="B464" s="22">
        <v>139</v>
      </c>
      <c r="C464" s="23">
        <v>1</v>
      </c>
      <c r="D464" s="22">
        <v>0</v>
      </c>
      <c r="E464" s="24">
        <v>2.0833333333333335E-4</v>
      </c>
      <c r="F464" s="24">
        <v>1.8518518518518519E-3</v>
      </c>
      <c r="G464" s="24">
        <v>2.1180555555555558E-3</v>
      </c>
      <c r="H464" s="24">
        <v>0.77539999999999998</v>
      </c>
      <c r="I464" s="18">
        <f t="shared" si="36"/>
        <v>0.01</v>
      </c>
      <c r="J464" s="18">
        <f t="shared" si="40"/>
        <v>7.7539999999999996E-3</v>
      </c>
      <c r="K464" s="19">
        <f t="shared" si="37"/>
        <v>0</v>
      </c>
      <c r="L464" s="18">
        <f t="shared" si="38"/>
        <v>0</v>
      </c>
      <c r="M464" s="18">
        <f t="shared" si="39"/>
        <v>1</v>
      </c>
    </row>
    <row r="465" spans="1:13" x14ac:dyDescent="0.3">
      <c r="A465" s="22">
        <v>138</v>
      </c>
      <c r="B465" s="22">
        <v>130</v>
      </c>
      <c r="C465" s="23">
        <v>0.94199999999999995</v>
      </c>
      <c r="D465" s="22">
        <v>8</v>
      </c>
      <c r="E465" s="24">
        <v>3.0092592592592595E-4</v>
      </c>
      <c r="F465" s="24">
        <v>1.7013888888888888E-3</v>
      </c>
      <c r="G465" s="24">
        <v>1.2962962962962963E-3</v>
      </c>
      <c r="H465" s="24">
        <v>0.61480000000000001</v>
      </c>
      <c r="I465" s="18">
        <f t="shared" si="36"/>
        <v>9.4199999999999996E-3</v>
      </c>
      <c r="J465" s="18">
        <f t="shared" si="40"/>
        <v>6.1479999999999998E-3</v>
      </c>
      <c r="K465" s="19">
        <f t="shared" si="37"/>
        <v>8</v>
      </c>
      <c r="L465" s="18">
        <f t="shared" si="38"/>
        <v>5.7971014492753624E-2</v>
      </c>
      <c r="M465" s="18">
        <f t="shared" si="39"/>
        <v>0.94202898550724634</v>
      </c>
    </row>
    <row r="466" spans="1:13" x14ac:dyDescent="0.3">
      <c r="A466" s="22">
        <v>125</v>
      </c>
      <c r="B466" s="22">
        <v>119</v>
      </c>
      <c r="C466" s="23">
        <v>0.95199999999999996</v>
      </c>
      <c r="D466" s="22">
        <v>6</v>
      </c>
      <c r="E466" s="24">
        <v>2.5462962962962961E-4</v>
      </c>
      <c r="F466" s="24">
        <v>1.724537037037037E-3</v>
      </c>
      <c r="G466" s="24">
        <v>2.5462962962962965E-3</v>
      </c>
      <c r="H466" s="24">
        <v>0.68</v>
      </c>
      <c r="I466" s="18">
        <f t="shared" si="36"/>
        <v>9.5199999999999989E-3</v>
      </c>
      <c r="J466" s="18">
        <f t="shared" si="40"/>
        <v>6.8000000000000005E-3</v>
      </c>
      <c r="K466" s="19">
        <f t="shared" si="37"/>
        <v>6</v>
      </c>
      <c r="L466" s="18">
        <f t="shared" si="38"/>
        <v>4.8000000000000001E-2</v>
      </c>
      <c r="M466" s="18">
        <f t="shared" si="39"/>
        <v>0.95199999999999996</v>
      </c>
    </row>
    <row r="467" spans="1:13" x14ac:dyDescent="0.3">
      <c r="A467" s="22">
        <v>98</v>
      </c>
      <c r="B467" s="22">
        <v>96</v>
      </c>
      <c r="C467" s="23">
        <v>0.97960000000000003</v>
      </c>
      <c r="D467" s="22">
        <v>2</v>
      </c>
      <c r="E467" s="24">
        <v>2.3148148148148149E-4</v>
      </c>
      <c r="F467" s="24">
        <v>1.8055555555555555E-3</v>
      </c>
      <c r="G467" s="24">
        <v>2.0023148148148148E-3</v>
      </c>
      <c r="H467" s="24">
        <v>0.7732</v>
      </c>
      <c r="I467" s="18">
        <f t="shared" si="36"/>
        <v>9.7960000000000009E-3</v>
      </c>
      <c r="J467" s="18">
        <f t="shared" si="40"/>
        <v>7.7320000000000002E-3</v>
      </c>
      <c r="K467" s="19">
        <f t="shared" si="37"/>
        <v>2</v>
      </c>
      <c r="L467" s="18">
        <f t="shared" si="38"/>
        <v>2.0408163265306121E-2</v>
      </c>
      <c r="M467" s="18">
        <f t="shared" si="39"/>
        <v>0.97959183673469385</v>
      </c>
    </row>
    <row r="468" spans="1:13" x14ac:dyDescent="0.3">
      <c r="A468" s="22">
        <v>12</v>
      </c>
      <c r="B468" s="22">
        <v>12</v>
      </c>
      <c r="C468" s="23">
        <v>1</v>
      </c>
      <c r="D468" s="22">
        <v>0</v>
      </c>
      <c r="E468" s="24">
        <v>2.0833333333333335E-4</v>
      </c>
      <c r="F468" s="24">
        <v>2.1643518518518518E-3</v>
      </c>
      <c r="G468" s="24">
        <v>1.1111111111111111E-3</v>
      </c>
      <c r="H468" s="24">
        <v>0.83330000000000004</v>
      </c>
      <c r="I468" s="18">
        <f t="shared" si="36"/>
        <v>0.01</v>
      </c>
      <c r="J468" s="18">
        <f t="shared" si="40"/>
        <v>8.3330000000000001E-3</v>
      </c>
      <c r="K468" s="19">
        <f t="shared" si="37"/>
        <v>0</v>
      </c>
      <c r="L468" s="18">
        <f t="shared" si="38"/>
        <v>0</v>
      </c>
      <c r="M468" s="18">
        <f t="shared" si="39"/>
        <v>1</v>
      </c>
    </row>
    <row r="469" spans="1:13" x14ac:dyDescent="0.3">
      <c r="A469" s="22">
        <v>119</v>
      </c>
      <c r="B469" s="22">
        <v>117</v>
      </c>
      <c r="C469" s="23">
        <v>0.98319999999999996</v>
      </c>
      <c r="D469" s="22">
        <v>2</v>
      </c>
      <c r="E469" s="24">
        <v>2.0833333333333335E-4</v>
      </c>
      <c r="F469" s="24">
        <v>1.8402777777777777E-3</v>
      </c>
      <c r="G469" s="24">
        <v>1.8865740740740742E-3</v>
      </c>
      <c r="H469" s="24">
        <v>0.78149999999999997</v>
      </c>
      <c r="I469" s="18">
        <f t="shared" si="36"/>
        <v>9.8320000000000005E-3</v>
      </c>
      <c r="J469" s="18">
        <f t="shared" si="40"/>
        <v>7.814999999999999E-3</v>
      </c>
      <c r="K469" s="19">
        <f t="shared" si="37"/>
        <v>2</v>
      </c>
      <c r="L469" s="18">
        <f t="shared" si="38"/>
        <v>1.680672268907563E-2</v>
      </c>
      <c r="M469" s="18">
        <f t="shared" si="39"/>
        <v>0.98319327731092432</v>
      </c>
    </row>
    <row r="470" spans="1:13" x14ac:dyDescent="0.3">
      <c r="A470" s="22">
        <v>100</v>
      </c>
      <c r="B470" s="22">
        <v>96</v>
      </c>
      <c r="C470" s="23">
        <v>0.96</v>
      </c>
      <c r="D470" s="22">
        <v>4</v>
      </c>
      <c r="E470" s="24">
        <v>2.4305555555555555E-4</v>
      </c>
      <c r="F470" s="24">
        <v>1.8171296296296297E-3</v>
      </c>
      <c r="G470" s="24">
        <v>1.9097222222222222E-3</v>
      </c>
      <c r="H470" s="24">
        <v>0.76</v>
      </c>
      <c r="I470" s="18">
        <f t="shared" si="36"/>
        <v>9.5999999999999992E-3</v>
      </c>
      <c r="J470" s="18">
        <f t="shared" si="40"/>
        <v>7.6E-3</v>
      </c>
      <c r="K470" s="19">
        <f t="shared" si="37"/>
        <v>4</v>
      </c>
      <c r="L470" s="18">
        <f t="shared" si="38"/>
        <v>0.04</v>
      </c>
      <c r="M470" s="18">
        <f t="shared" si="39"/>
        <v>0.96</v>
      </c>
    </row>
    <row r="471" spans="1:13" x14ac:dyDescent="0.3">
      <c r="A471" s="22">
        <v>146</v>
      </c>
      <c r="B471" s="22">
        <v>133</v>
      </c>
      <c r="C471" s="23">
        <v>0.91100000000000003</v>
      </c>
      <c r="D471" s="22">
        <v>13</v>
      </c>
      <c r="E471" s="24">
        <v>3.5879629629629629E-4</v>
      </c>
      <c r="F471" s="24">
        <v>1.736111111111111E-3</v>
      </c>
      <c r="G471" s="24">
        <v>2.5462962962962965E-3</v>
      </c>
      <c r="H471" s="24">
        <v>0.57750000000000001</v>
      </c>
      <c r="I471" s="18">
        <f t="shared" si="36"/>
        <v>9.11E-3</v>
      </c>
      <c r="J471" s="18">
        <f t="shared" si="40"/>
        <v>5.7749999999999998E-3</v>
      </c>
      <c r="K471" s="19">
        <f t="shared" si="37"/>
        <v>13</v>
      </c>
      <c r="L471" s="18">
        <f t="shared" si="38"/>
        <v>8.9041095890410954E-2</v>
      </c>
      <c r="M471" s="18">
        <f t="shared" si="39"/>
        <v>0.91095890410958902</v>
      </c>
    </row>
    <row r="472" spans="1:13" x14ac:dyDescent="0.3">
      <c r="A472" s="22">
        <v>131</v>
      </c>
      <c r="B472" s="22">
        <v>127</v>
      </c>
      <c r="C472" s="23">
        <v>0.96950000000000003</v>
      </c>
      <c r="D472" s="22">
        <v>4</v>
      </c>
      <c r="E472" s="24">
        <v>2.5462962962962961E-4</v>
      </c>
      <c r="F472" s="24">
        <v>1.6782407407407408E-3</v>
      </c>
      <c r="G472" s="24">
        <v>1.712962962962963E-3</v>
      </c>
      <c r="H472" s="24">
        <v>0.72660000000000002</v>
      </c>
      <c r="I472" s="18">
        <f t="shared" si="36"/>
        <v>9.6950000000000005E-3</v>
      </c>
      <c r="J472" s="18">
        <f t="shared" si="40"/>
        <v>7.2659999999999999E-3</v>
      </c>
      <c r="K472" s="19">
        <f t="shared" si="37"/>
        <v>4</v>
      </c>
      <c r="L472" s="18">
        <f t="shared" si="38"/>
        <v>3.0534351145038167E-2</v>
      </c>
      <c r="M472" s="18">
        <f t="shared" si="39"/>
        <v>0.96946564885496178</v>
      </c>
    </row>
    <row r="473" spans="1:13" x14ac:dyDescent="0.3">
      <c r="A473" s="22">
        <v>107</v>
      </c>
      <c r="B473" s="22">
        <v>104</v>
      </c>
      <c r="C473" s="23">
        <v>0.97199999999999998</v>
      </c>
      <c r="D473" s="22">
        <v>3</v>
      </c>
      <c r="E473" s="24">
        <v>9.2592592592592588E-5</v>
      </c>
      <c r="F473" s="24">
        <v>1.7013888888888888E-3</v>
      </c>
      <c r="G473" s="24">
        <v>1.1111111111111111E-3</v>
      </c>
      <c r="H473" s="24">
        <v>0.92449999999999999</v>
      </c>
      <c r="I473" s="18">
        <f t="shared" si="36"/>
        <v>9.7199999999999995E-3</v>
      </c>
      <c r="J473" s="18">
        <f t="shared" si="40"/>
        <v>9.2449999999999997E-3</v>
      </c>
      <c r="K473" s="19">
        <f t="shared" si="37"/>
        <v>3</v>
      </c>
      <c r="L473" s="18">
        <f t="shared" si="38"/>
        <v>2.8037383177570093E-2</v>
      </c>
      <c r="M473" s="18">
        <f t="shared" si="39"/>
        <v>0.9719626168224299</v>
      </c>
    </row>
    <row r="474" spans="1:13" x14ac:dyDescent="0.3">
      <c r="A474" s="22">
        <v>112</v>
      </c>
      <c r="B474" s="22">
        <v>105</v>
      </c>
      <c r="C474" s="23">
        <v>0.9375</v>
      </c>
      <c r="D474" s="22">
        <v>7</v>
      </c>
      <c r="E474" s="24">
        <v>2.7777777777777778E-4</v>
      </c>
      <c r="F474" s="24">
        <v>1.8287037037037037E-3</v>
      </c>
      <c r="G474" s="24">
        <v>3.1018518518518517E-3</v>
      </c>
      <c r="H474" s="24">
        <v>0.67269999999999996</v>
      </c>
      <c r="I474" s="18">
        <f t="shared" si="36"/>
        <v>9.3749999999999997E-3</v>
      </c>
      <c r="J474" s="18">
        <f t="shared" si="40"/>
        <v>6.7269999999999995E-3</v>
      </c>
      <c r="K474" s="19">
        <f t="shared" si="37"/>
        <v>7</v>
      </c>
      <c r="L474" s="18">
        <f t="shared" si="38"/>
        <v>6.25E-2</v>
      </c>
      <c r="M474" s="18">
        <f t="shared" si="39"/>
        <v>0.9375</v>
      </c>
    </row>
    <row r="475" spans="1:13" x14ac:dyDescent="0.3">
      <c r="A475" s="22">
        <v>21</v>
      </c>
      <c r="B475" s="22">
        <v>21</v>
      </c>
      <c r="C475" s="23">
        <v>1</v>
      </c>
      <c r="D475" s="22">
        <v>0</v>
      </c>
      <c r="E475" s="24">
        <v>3.7037037037037035E-4</v>
      </c>
      <c r="F475" s="24">
        <v>1.7476851851851852E-3</v>
      </c>
      <c r="G475" s="24">
        <v>9.837962962962962E-4</v>
      </c>
      <c r="H475" s="24">
        <v>0.52380000000000004</v>
      </c>
      <c r="I475" s="18">
        <f t="shared" si="36"/>
        <v>0.01</v>
      </c>
      <c r="J475" s="18">
        <f t="shared" si="40"/>
        <v>5.2380000000000005E-3</v>
      </c>
      <c r="K475" s="19">
        <f t="shared" si="37"/>
        <v>0</v>
      </c>
      <c r="L475" s="18">
        <f t="shared" si="38"/>
        <v>0</v>
      </c>
      <c r="M475" s="18">
        <f t="shared" si="39"/>
        <v>1</v>
      </c>
    </row>
    <row r="476" spans="1:13" x14ac:dyDescent="0.3">
      <c r="A476" s="22">
        <v>125</v>
      </c>
      <c r="B476" s="22">
        <v>104</v>
      </c>
      <c r="C476" s="23">
        <v>0.83199999999999996</v>
      </c>
      <c r="D476" s="22">
        <v>21</v>
      </c>
      <c r="E476" s="24">
        <v>4.2824074074074075E-4</v>
      </c>
      <c r="F476" s="24">
        <v>1.8981481481481482E-3</v>
      </c>
      <c r="G476" s="24">
        <v>1.9097222222222222E-3</v>
      </c>
      <c r="H476" s="24">
        <v>0.44629999999999997</v>
      </c>
      <c r="I476" s="18">
        <f t="shared" si="36"/>
        <v>8.3199999999999993E-3</v>
      </c>
      <c r="J476" s="18">
        <f t="shared" si="40"/>
        <v>4.463E-3</v>
      </c>
      <c r="K476" s="19">
        <f t="shared" si="37"/>
        <v>21</v>
      </c>
      <c r="L476" s="18">
        <f t="shared" si="38"/>
        <v>0.16800000000000001</v>
      </c>
      <c r="M476" s="18">
        <f t="shared" si="39"/>
        <v>0.83199999999999996</v>
      </c>
    </row>
    <row r="477" spans="1:13" x14ac:dyDescent="0.3">
      <c r="A477" s="22">
        <v>35</v>
      </c>
      <c r="B477" s="22">
        <v>34</v>
      </c>
      <c r="C477" s="23">
        <v>0.97140000000000004</v>
      </c>
      <c r="D477" s="22">
        <v>1</v>
      </c>
      <c r="E477" s="24">
        <v>2.7777777777777778E-4</v>
      </c>
      <c r="F477" s="24">
        <v>1.5277777777777779E-3</v>
      </c>
      <c r="G477" s="24">
        <v>1.5740740740740741E-3</v>
      </c>
      <c r="H477" s="24">
        <v>0.7429</v>
      </c>
      <c r="I477" s="18">
        <f t="shared" si="36"/>
        <v>9.7140000000000004E-3</v>
      </c>
      <c r="J477" s="18">
        <f t="shared" si="40"/>
        <v>7.4289999999999998E-3</v>
      </c>
      <c r="K477" s="19">
        <f t="shared" si="37"/>
        <v>1</v>
      </c>
      <c r="L477" s="18">
        <f t="shared" si="38"/>
        <v>2.8571428571428571E-2</v>
      </c>
      <c r="M477" s="18">
        <f t="shared" si="39"/>
        <v>0.97142857142857142</v>
      </c>
    </row>
    <row r="478" spans="1:13" x14ac:dyDescent="0.3">
      <c r="A478" s="22">
        <v>121</v>
      </c>
      <c r="B478" s="22">
        <v>109</v>
      </c>
      <c r="C478" s="23">
        <v>0.90080000000000005</v>
      </c>
      <c r="D478" s="22">
        <v>12</v>
      </c>
      <c r="E478" s="24">
        <v>4.3981481481481481E-4</v>
      </c>
      <c r="F478" s="24">
        <v>1.7592592592592592E-3</v>
      </c>
      <c r="G478" s="24">
        <v>3.7152777777777778E-3</v>
      </c>
      <c r="H478" s="24">
        <v>0.53779999999999994</v>
      </c>
      <c r="I478" s="18">
        <f t="shared" si="36"/>
        <v>9.0080000000000004E-3</v>
      </c>
      <c r="J478" s="18">
        <f t="shared" si="40"/>
        <v>5.3779999999999991E-3</v>
      </c>
      <c r="K478" s="19">
        <f t="shared" si="37"/>
        <v>12</v>
      </c>
      <c r="L478" s="18">
        <f t="shared" si="38"/>
        <v>9.9173553719008267E-2</v>
      </c>
      <c r="M478" s="18">
        <f t="shared" si="39"/>
        <v>0.90082644628099173</v>
      </c>
    </row>
    <row r="479" spans="1:13" x14ac:dyDescent="0.3">
      <c r="A479" s="22">
        <v>135</v>
      </c>
      <c r="B479" s="22">
        <v>122</v>
      </c>
      <c r="C479" s="23">
        <v>0.90369999999999995</v>
      </c>
      <c r="D479" s="22">
        <v>13</v>
      </c>
      <c r="E479" s="24">
        <v>3.7037037037037035E-4</v>
      </c>
      <c r="F479" s="24">
        <v>1.7824074074074075E-3</v>
      </c>
      <c r="G479" s="24">
        <v>2.1759259259259258E-3</v>
      </c>
      <c r="H479" s="24">
        <v>0.57579999999999998</v>
      </c>
      <c r="I479" s="18">
        <f t="shared" si="36"/>
        <v>9.0369999999999999E-3</v>
      </c>
      <c r="J479" s="18">
        <f t="shared" si="40"/>
        <v>5.7580000000000001E-3</v>
      </c>
      <c r="K479" s="19">
        <f t="shared" si="37"/>
        <v>13</v>
      </c>
      <c r="L479" s="18">
        <f t="shared" si="38"/>
        <v>9.6296296296296297E-2</v>
      </c>
      <c r="M479" s="18">
        <f t="shared" si="39"/>
        <v>0.90370370370370368</v>
      </c>
    </row>
    <row r="480" spans="1:13" x14ac:dyDescent="0.3">
      <c r="A480" s="22">
        <v>117</v>
      </c>
      <c r="B480" s="22">
        <v>114</v>
      </c>
      <c r="C480" s="23">
        <v>0.97440000000000004</v>
      </c>
      <c r="D480" s="22">
        <v>3</v>
      </c>
      <c r="E480" s="24">
        <v>2.5462962962962961E-4</v>
      </c>
      <c r="F480" s="24">
        <v>1.8287037037037037E-3</v>
      </c>
      <c r="G480" s="24">
        <v>1.7013888888888888E-3</v>
      </c>
      <c r="H480" s="24">
        <v>0.75860000000000005</v>
      </c>
      <c r="I480" s="18">
        <f t="shared" si="36"/>
        <v>9.7440000000000009E-3</v>
      </c>
      <c r="J480" s="18">
        <f t="shared" si="40"/>
        <v>7.5860000000000007E-3</v>
      </c>
      <c r="K480" s="19">
        <f t="shared" si="37"/>
        <v>3</v>
      </c>
      <c r="L480" s="18">
        <f t="shared" si="38"/>
        <v>2.564102564102564E-2</v>
      </c>
      <c r="M480" s="18">
        <f t="shared" si="39"/>
        <v>0.97435897435897434</v>
      </c>
    </row>
    <row r="481" spans="1:13" x14ac:dyDescent="0.3">
      <c r="A481" s="22">
        <v>114</v>
      </c>
      <c r="B481" s="22">
        <v>97</v>
      </c>
      <c r="C481" s="23">
        <v>0.85089999999999999</v>
      </c>
      <c r="D481" s="22">
        <v>17</v>
      </c>
      <c r="E481" s="24">
        <v>4.5138888888888887E-4</v>
      </c>
      <c r="F481" s="24">
        <v>1.9675925925925924E-3</v>
      </c>
      <c r="G481" s="24">
        <v>5.7407407407407407E-3</v>
      </c>
      <c r="H481" s="24">
        <v>0.45129999999999998</v>
      </c>
      <c r="I481" s="18">
        <f t="shared" si="36"/>
        <v>8.5089999999999992E-3</v>
      </c>
      <c r="J481" s="18">
        <f t="shared" si="40"/>
        <v>4.5129999999999997E-3</v>
      </c>
      <c r="K481" s="19">
        <f t="shared" si="37"/>
        <v>17</v>
      </c>
      <c r="L481" s="18">
        <f t="shared" si="38"/>
        <v>0.14912280701754385</v>
      </c>
      <c r="M481" s="18">
        <f t="shared" si="39"/>
        <v>0.85087719298245612</v>
      </c>
    </row>
    <row r="482" spans="1:13" x14ac:dyDescent="0.3">
      <c r="A482" s="22">
        <v>50</v>
      </c>
      <c r="B482" s="22">
        <v>49</v>
      </c>
      <c r="C482" s="23">
        <v>0.98</v>
      </c>
      <c r="D482" s="22">
        <v>1</v>
      </c>
      <c r="E482" s="24">
        <v>4.0509259259259258E-4</v>
      </c>
      <c r="F482" s="24">
        <v>2.0254629629629629E-3</v>
      </c>
      <c r="G482" s="24">
        <v>1.6435185185185185E-3</v>
      </c>
      <c r="H482" s="24">
        <v>0.52</v>
      </c>
      <c r="I482" s="18">
        <f t="shared" si="36"/>
        <v>9.7999999999999997E-3</v>
      </c>
      <c r="J482" s="18">
        <f t="shared" si="40"/>
        <v>5.1999999999999998E-3</v>
      </c>
      <c r="K482" s="19">
        <f t="shared" si="37"/>
        <v>1</v>
      </c>
      <c r="L482" s="18">
        <f t="shared" si="38"/>
        <v>0.02</v>
      </c>
      <c r="M482" s="18">
        <f t="shared" si="39"/>
        <v>0.98</v>
      </c>
    </row>
    <row r="483" spans="1:13" x14ac:dyDescent="0.3">
      <c r="A483" s="22">
        <v>207</v>
      </c>
      <c r="B483" s="22">
        <v>198</v>
      </c>
      <c r="C483" s="23">
        <v>0.95650000000000002</v>
      </c>
      <c r="D483" s="22">
        <v>9</v>
      </c>
      <c r="E483" s="24">
        <v>1.8518518518518518E-4</v>
      </c>
      <c r="F483" s="24">
        <v>1.8865740740740742E-3</v>
      </c>
      <c r="G483" s="24">
        <v>2.673611111111111E-3</v>
      </c>
      <c r="H483" s="24">
        <v>0.80489999999999995</v>
      </c>
      <c r="I483" s="18">
        <f t="shared" si="36"/>
        <v>9.5650000000000006E-3</v>
      </c>
      <c r="J483" s="18">
        <f t="shared" si="40"/>
        <v>8.0489999999999989E-3</v>
      </c>
      <c r="K483" s="19">
        <f t="shared" si="37"/>
        <v>9</v>
      </c>
      <c r="L483" s="18">
        <f t="shared" si="38"/>
        <v>4.3478260869565216E-2</v>
      </c>
      <c r="M483" s="18">
        <f t="shared" si="39"/>
        <v>0.95652173913043481</v>
      </c>
    </row>
    <row r="484" spans="1:13" x14ac:dyDescent="0.3">
      <c r="A484" s="22">
        <v>189</v>
      </c>
      <c r="B484" s="22">
        <v>183</v>
      </c>
      <c r="C484" s="23">
        <v>0.96830000000000005</v>
      </c>
      <c r="D484" s="22">
        <v>6</v>
      </c>
      <c r="E484" s="24">
        <v>2.4305555555555555E-4</v>
      </c>
      <c r="F484" s="24">
        <v>1.7476851851851852E-3</v>
      </c>
      <c r="G484" s="24">
        <v>2.7546296296296294E-3</v>
      </c>
      <c r="H484" s="24">
        <v>0.7419</v>
      </c>
      <c r="I484" s="18">
        <f t="shared" si="36"/>
        <v>9.6830000000000006E-3</v>
      </c>
      <c r="J484" s="18">
        <f t="shared" si="40"/>
        <v>7.4190000000000002E-3</v>
      </c>
      <c r="K484" s="19">
        <f t="shared" si="37"/>
        <v>6</v>
      </c>
      <c r="L484" s="18">
        <f t="shared" si="38"/>
        <v>3.1746031746031744E-2</v>
      </c>
      <c r="M484" s="18">
        <f t="shared" si="39"/>
        <v>0.96825396825396826</v>
      </c>
    </row>
    <row r="485" spans="1:13" x14ac:dyDescent="0.3">
      <c r="A485" s="22">
        <v>162</v>
      </c>
      <c r="B485" s="22">
        <v>156</v>
      </c>
      <c r="C485" s="23">
        <v>0.96299999999999997</v>
      </c>
      <c r="D485" s="22">
        <v>6</v>
      </c>
      <c r="E485" s="24">
        <v>2.7777777777777778E-4</v>
      </c>
      <c r="F485" s="24">
        <v>1.6435185185185185E-3</v>
      </c>
      <c r="G485" s="24">
        <v>1.4814814814814814E-3</v>
      </c>
      <c r="H485" s="24">
        <v>0.66459999999999997</v>
      </c>
      <c r="I485" s="18">
        <f t="shared" si="36"/>
        <v>9.6299999999999997E-3</v>
      </c>
      <c r="J485" s="18">
        <f t="shared" si="40"/>
        <v>6.646E-3</v>
      </c>
      <c r="K485" s="19">
        <f t="shared" si="37"/>
        <v>6</v>
      </c>
      <c r="L485" s="18">
        <f t="shared" si="38"/>
        <v>3.7037037037037035E-2</v>
      </c>
      <c r="M485" s="18">
        <f t="shared" si="39"/>
        <v>0.96296296296296291</v>
      </c>
    </row>
    <row r="486" spans="1:13" x14ac:dyDescent="0.3">
      <c r="A486" s="22">
        <v>177</v>
      </c>
      <c r="B486" s="22">
        <v>165</v>
      </c>
      <c r="C486" s="23">
        <v>0.93220000000000003</v>
      </c>
      <c r="D486" s="22">
        <v>12</v>
      </c>
      <c r="E486" s="24">
        <v>3.0092592592592595E-4</v>
      </c>
      <c r="F486" s="24">
        <v>1.7476851851851852E-3</v>
      </c>
      <c r="G486" s="24">
        <v>2.662037037037037E-3</v>
      </c>
      <c r="H486" s="24">
        <v>0.66469999999999996</v>
      </c>
      <c r="I486" s="18">
        <f t="shared" si="36"/>
        <v>9.3220000000000004E-3</v>
      </c>
      <c r="J486" s="18">
        <f t="shared" si="40"/>
        <v>6.6469999999999993E-3</v>
      </c>
      <c r="K486" s="19">
        <f t="shared" si="37"/>
        <v>12</v>
      </c>
      <c r="L486" s="18">
        <f t="shared" si="38"/>
        <v>6.7796610169491525E-2</v>
      </c>
      <c r="M486" s="18">
        <f t="shared" si="39"/>
        <v>0.93220338983050843</v>
      </c>
    </row>
    <row r="487" spans="1:13" x14ac:dyDescent="0.3">
      <c r="A487" s="22">
        <v>177</v>
      </c>
      <c r="B487" s="22">
        <v>167</v>
      </c>
      <c r="C487" s="23">
        <v>0.94350000000000001</v>
      </c>
      <c r="D487" s="22">
        <v>10</v>
      </c>
      <c r="E487" s="24">
        <v>2.6620370370370372E-4</v>
      </c>
      <c r="F487" s="24">
        <v>1.7939814814814815E-3</v>
      </c>
      <c r="G487" s="24">
        <v>1.9097222222222222E-3</v>
      </c>
      <c r="H487" s="24">
        <v>0.68969999999999998</v>
      </c>
      <c r="I487" s="18">
        <f t="shared" si="36"/>
        <v>9.4350000000000007E-3</v>
      </c>
      <c r="J487" s="18">
        <f t="shared" si="40"/>
        <v>6.8969999999999995E-3</v>
      </c>
      <c r="K487" s="19">
        <f t="shared" si="37"/>
        <v>10</v>
      </c>
      <c r="L487" s="18">
        <f t="shared" si="38"/>
        <v>5.6497175141242938E-2</v>
      </c>
      <c r="M487" s="18">
        <f t="shared" si="39"/>
        <v>0.94350282485875703</v>
      </c>
    </row>
    <row r="488" spans="1:13" x14ac:dyDescent="0.3">
      <c r="A488" s="22">
        <v>163</v>
      </c>
      <c r="B488" s="22">
        <v>134</v>
      </c>
      <c r="C488" s="23">
        <v>0.82210000000000005</v>
      </c>
      <c r="D488" s="22">
        <v>29</v>
      </c>
      <c r="E488" s="24">
        <v>4.3981481481481481E-4</v>
      </c>
      <c r="F488" s="24">
        <v>1.8749999999999999E-3</v>
      </c>
      <c r="G488" s="24">
        <v>5.0462962962962961E-3</v>
      </c>
      <c r="H488" s="24">
        <v>0.47199999999999998</v>
      </c>
      <c r="I488" s="18">
        <f t="shared" si="36"/>
        <v>8.2210000000000009E-3</v>
      </c>
      <c r="J488" s="18">
        <f t="shared" si="40"/>
        <v>4.7199999999999994E-3</v>
      </c>
      <c r="K488" s="19">
        <f t="shared" si="37"/>
        <v>29</v>
      </c>
      <c r="L488" s="18">
        <f t="shared" si="38"/>
        <v>0.17791411042944785</v>
      </c>
      <c r="M488" s="18">
        <f t="shared" si="39"/>
        <v>0.82208588957055218</v>
      </c>
    </row>
    <row r="489" spans="1:13" x14ac:dyDescent="0.3">
      <c r="A489" s="22">
        <v>24</v>
      </c>
      <c r="B489" s="22">
        <v>20</v>
      </c>
      <c r="C489" s="23">
        <v>0.83330000000000004</v>
      </c>
      <c r="D489" s="22">
        <v>4</v>
      </c>
      <c r="E489" s="24">
        <v>3.0092592592592595E-4</v>
      </c>
      <c r="F489" s="24">
        <v>2.3495370370370371E-3</v>
      </c>
      <c r="G489" s="24">
        <v>1.5740740740740741E-3</v>
      </c>
      <c r="H489" s="24">
        <v>0.6522</v>
      </c>
      <c r="I489" s="18">
        <f t="shared" si="36"/>
        <v>8.3330000000000001E-3</v>
      </c>
      <c r="J489" s="18">
        <f t="shared" si="40"/>
        <v>6.522E-3</v>
      </c>
      <c r="K489" s="19">
        <f t="shared" si="37"/>
        <v>4</v>
      </c>
      <c r="L489" s="18">
        <f t="shared" si="38"/>
        <v>0.16666666666666666</v>
      </c>
      <c r="M489" s="18">
        <f t="shared" si="39"/>
        <v>0.83333333333333337</v>
      </c>
    </row>
    <row r="490" spans="1:13" x14ac:dyDescent="0.3">
      <c r="A490" s="22">
        <v>146</v>
      </c>
      <c r="B490" s="22">
        <v>139</v>
      </c>
      <c r="C490" s="23">
        <v>0.95209999999999995</v>
      </c>
      <c r="D490" s="22">
        <v>7</v>
      </c>
      <c r="E490" s="24">
        <v>2.0833333333333335E-4</v>
      </c>
      <c r="F490" s="24">
        <v>1.7824074074074075E-3</v>
      </c>
      <c r="G490" s="24">
        <v>4.409722222222222E-3</v>
      </c>
      <c r="H490" s="24">
        <v>0.75860000000000005</v>
      </c>
      <c r="I490" s="18">
        <f t="shared" si="36"/>
        <v>9.5209999999999999E-3</v>
      </c>
      <c r="J490" s="18">
        <f t="shared" si="40"/>
        <v>7.5860000000000007E-3</v>
      </c>
      <c r="K490" s="19">
        <f t="shared" si="37"/>
        <v>7</v>
      </c>
      <c r="L490" s="18">
        <f t="shared" si="38"/>
        <v>4.7945205479452052E-2</v>
      </c>
      <c r="M490" s="18">
        <f t="shared" si="39"/>
        <v>0.95205479452054798</v>
      </c>
    </row>
    <row r="491" spans="1:13" x14ac:dyDescent="0.3">
      <c r="A491" s="22">
        <v>143</v>
      </c>
      <c r="B491" s="22">
        <v>141</v>
      </c>
      <c r="C491" s="23">
        <v>0.98599999999999999</v>
      </c>
      <c r="D491" s="22">
        <v>2</v>
      </c>
      <c r="E491" s="24">
        <v>2.5462962962962961E-4</v>
      </c>
      <c r="F491" s="24">
        <v>1.9097222222222222E-3</v>
      </c>
      <c r="G491" s="24">
        <v>1.9097222222222222E-3</v>
      </c>
      <c r="H491" s="24">
        <v>0.72030000000000005</v>
      </c>
      <c r="I491" s="18">
        <f t="shared" si="36"/>
        <v>9.8600000000000007E-3</v>
      </c>
      <c r="J491" s="18">
        <f t="shared" si="40"/>
        <v>7.2030000000000002E-3</v>
      </c>
      <c r="K491" s="19">
        <f t="shared" si="37"/>
        <v>2</v>
      </c>
      <c r="L491" s="18">
        <f t="shared" si="38"/>
        <v>1.3986013986013986E-2</v>
      </c>
      <c r="M491" s="18">
        <f t="shared" si="39"/>
        <v>0.98601398601398604</v>
      </c>
    </row>
    <row r="492" spans="1:13" x14ac:dyDescent="0.3">
      <c r="A492" s="22">
        <v>132</v>
      </c>
      <c r="B492" s="22">
        <v>122</v>
      </c>
      <c r="C492" s="23">
        <v>0.92420000000000002</v>
      </c>
      <c r="D492" s="22">
        <v>10</v>
      </c>
      <c r="E492" s="24">
        <v>3.5879629629629629E-4</v>
      </c>
      <c r="F492" s="24">
        <v>1.712962962962963E-3</v>
      </c>
      <c r="G492" s="24">
        <v>3.1944444444444446E-3</v>
      </c>
      <c r="H492" s="24">
        <v>0.56489999999999996</v>
      </c>
      <c r="I492" s="18">
        <f t="shared" si="36"/>
        <v>9.2420000000000002E-3</v>
      </c>
      <c r="J492" s="18">
        <f t="shared" si="40"/>
        <v>5.6489999999999995E-3</v>
      </c>
      <c r="K492" s="19">
        <f t="shared" si="37"/>
        <v>10</v>
      </c>
      <c r="L492" s="18">
        <f t="shared" si="38"/>
        <v>7.575757575757576E-2</v>
      </c>
      <c r="M492" s="18">
        <f t="shared" si="39"/>
        <v>0.9242424242424242</v>
      </c>
    </row>
    <row r="493" spans="1:13" x14ac:dyDescent="0.3">
      <c r="A493" s="22">
        <v>137</v>
      </c>
      <c r="B493" s="22">
        <v>130</v>
      </c>
      <c r="C493" s="23">
        <v>0.94889999999999997</v>
      </c>
      <c r="D493" s="22">
        <v>7</v>
      </c>
      <c r="E493" s="24">
        <v>3.0092592592592595E-4</v>
      </c>
      <c r="F493" s="24">
        <v>1.6782407407407408E-3</v>
      </c>
      <c r="G493" s="24">
        <v>1.4583333333333334E-3</v>
      </c>
      <c r="H493" s="24">
        <v>0.64439999999999997</v>
      </c>
      <c r="I493" s="18">
        <f t="shared" si="36"/>
        <v>9.4889999999999992E-3</v>
      </c>
      <c r="J493" s="18">
        <f t="shared" si="40"/>
        <v>6.4440000000000001E-3</v>
      </c>
      <c r="K493" s="19">
        <f t="shared" si="37"/>
        <v>7</v>
      </c>
      <c r="L493" s="18">
        <f t="shared" si="38"/>
        <v>5.1094890510948905E-2</v>
      </c>
      <c r="M493" s="18">
        <f t="shared" si="39"/>
        <v>0.94890510948905105</v>
      </c>
    </row>
    <row r="494" spans="1:13" x14ac:dyDescent="0.3">
      <c r="A494" s="22">
        <v>112</v>
      </c>
      <c r="B494" s="22">
        <v>104</v>
      </c>
      <c r="C494" s="23">
        <v>0.92859999999999998</v>
      </c>
      <c r="D494" s="22">
        <v>8</v>
      </c>
      <c r="E494" s="24">
        <v>4.9768518518518521E-4</v>
      </c>
      <c r="F494" s="24">
        <v>1.8171296296296297E-3</v>
      </c>
      <c r="G494" s="24">
        <v>2.8587962962962963E-3</v>
      </c>
      <c r="H494" s="24">
        <v>0.40910000000000002</v>
      </c>
      <c r="I494" s="18">
        <f t="shared" si="36"/>
        <v>9.2859999999999991E-3</v>
      </c>
      <c r="J494" s="18">
        <f t="shared" si="40"/>
        <v>4.091E-3</v>
      </c>
      <c r="K494" s="19">
        <f t="shared" si="37"/>
        <v>8</v>
      </c>
      <c r="L494" s="18">
        <f t="shared" si="38"/>
        <v>7.1428571428571425E-2</v>
      </c>
      <c r="M494" s="18">
        <f t="shared" si="39"/>
        <v>0.9285714285714286</v>
      </c>
    </row>
    <row r="495" spans="1:13" x14ac:dyDescent="0.3">
      <c r="A495" s="22">
        <v>110</v>
      </c>
      <c r="B495" s="22">
        <v>91</v>
      </c>
      <c r="C495" s="23">
        <v>0.82730000000000004</v>
      </c>
      <c r="D495" s="22">
        <v>19</v>
      </c>
      <c r="E495" s="24">
        <v>5.7870370370370367E-4</v>
      </c>
      <c r="F495" s="24">
        <v>1.8287037037037037E-3</v>
      </c>
      <c r="G495" s="24">
        <v>3.6111111111111109E-3</v>
      </c>
      <c r="H495" s="24">
        <v>0.36699999999999999</v>
      </c>
      <c r="I495" s="18">
        <f t="shared" si="36"/>
        <v>8.2730000000000008E-3</v>
      </c>
      <c r="J495" s="18">
        <f t="shared" si="40"/>
        <v>3.6700000000000001E-3</v>
      </c>
      <c r="K495" s="19">
        <f t="shared" si="37"/>
        <v>19</v>
      </c>
      <c r="L495" s="18">
        <f t="shared" si="38"/>
        <v>0.17272727272727273</v>
      </c>
      <c r="M495" s="18">
        <f t="shared" si="39"/>
        <v>0.82727272727272727</v>
      </c>
    </row>
    <row r="496" spans="1:13" x14ac:dyDescent="0.3">
      <c r="A496" s="22">
        <v>24</v>
      </c>
      <c r="B496" s="22">
        <v>22</v>
      </c>
      <c r="C496" s="23">
        <v>0.91669999999999996</v>
      </c>
      <c r="D496" s="22">
        <v>2</v>
      </c>
      <c r="E496" s="24">
        <v>3.7037037037037035E-4</v>
      </c>
      <c r="F496" s="24">
        <v>1.5509259259259259E-3</v>
      </c>
      <c r="G496" s="24">
        <v>3.3101851851851851E-3</v>
      </c>
      <c r="H496" s="24">
        <v>0.58330000000000004</v>
      </c>
      <c r="I496" s="18">
        <f t="shared" si="36"/>
        <v>9.1669999999999998E-3</v>
      </c>
      <c r="J496" s="18">
        <f t="shared" si="40"/>
        <v>5.8330000000000005E-3</v>
      </c>
      <c r="K496" s="19">
        <f t="shared" si="37"/>
        <v>2</v>
      </c>
      <c r="L496" s="18">
        <f t="shared" si="38"/>
        <v>8.3333333333333329E-2</v>
      </c>
      <c r="M496" s="18">
        <f t="shared" si="39"/>
        <v>0.91666666666666663</v>
      </c>
    </row>
    <row r="497" spans="1:13" x14ac:dyDescent="0.3">
      <c r="A497" s="22">
        <v>168</v>
      </c>
      <c r="B497" s="22">
        <v>154</v>
      </c>
      <c r="C497" s="23">
        <v>0.91669999999999996</v>
      </c>
      <c r="D497" s="22">
        <v>14</v>
      </c>
      <c r="E497" s="24">
        <v>4.1666666666666669E-4</v>
      </c>
      <c r="F497" s="24">
        <v>1.8981481481481482E-3</v>
      </c>
      <c r="G497" s="24">
        <v>2.685185185185185E-3</v>
      </c>
      <c r="H497" s="24">
        <v>0.49399999999999999</v>
      </c>
      <c r="I497" s="18">
        <f t="shared" si="36"/>
        <v>9.1669999999999998E-3</v>
      </c>
      <c r="J497" s="18">
        <f t="shared" si="40"/>
        <v>4.9399999999999999E-3</v>
      </c>
      <c r="K497" s="19">
        <f t="shared" si="37"/>
        <v>14</v>
      </c>
      <c r="L497" s="18">
        <f t="shared" si="38"/>
        <v>8.3333333333333329E-2</v>
      </c>
      <c r="M497" s="18">
        <f t="shared" si="39"/>
        <v>0.91666666666666663</v>
      </c>
    </row>
    <row r="498" spans="1:13" x14ac:dyDescent="0.3">
      <c r="A498" s="22">
        <v>146</v>
      </c>
      <c r="B498" s="22">
        <v>116</v>
      </c>
      <c r="C498" s="23">
        <v>0.79449999999999998</v>
      </c>
      <c r="D498" s="22">
        <v>30</v>
      </c>
      <c r="E498" s="24">
        <v>4.861111111111111E-4</v>
      </c>
      <c r="F498" s="24">
        <v>1.712962962962963E-3</v>
      </c>
      <c r="G498" s="24">
        <v>1.0416666666666666E-2</v>
      </c>
      <c r="H498" s="24">
        <v>0.54930000000000001</v>
      </c>
      <c r="I498" s="18">
        <f t="shared" si="36"/>
        <v>7.9450000000000007E-3</v>
      </c>
      <c r="J498" s="18">
        <f t="shared" si="40"/>
        <v>5.4930000000000005E-3</v>
      </c>
      <c r="K498" s="19">
        <f t="shared" si="37"/>
        <v>30</v>
      </c>
      <c r="L498" s="18">
        <f t="shared" si="38"/>
        <v>0.20547945205479451</v>
      </c>
      <c r="M498" s="18">
        <f t="shared" si="39"/>
        <v>0.79452054794520544</v>
      </c>
    </row>
    <row r="499" spans="1:13" x14ac:dyDescent="0.3">
      <c r="A499" s="22">
        <v>100</v>
      </c>
      <c r="B499" s="22">
        <v>95</v>
      </c>
      <c r="C499" s="23">
        <v>0.95</v>
      </c>
      <c r="D499" s="22">
        <v>5</v>
      </c>
      <c r="E499" s="24">
        <v>3.5879629629629629E-4</v>
      </c>
      <c r="F499" s="24">
        <v>1.8287037037037037E-3</v>
      </c>
      <c r="G499" s="24">
        <v>2.0023148148148148E-3</v>
      </c>
      <c r="H499" s="24">
        <v>0.56999999999999995</v>
      </c>
      <c r="I499" s="18">
        <f t="shared" si="36"/>
        <v>9.4999999999999998E-3</v>
      </c>
      <c r="J499" s="18">
        <f t="shared" si="40"/>
        <v>5.6999999999999993E-3</v>
      </c>
      <c r="K499" s="19">
        <f t="shared" si="37"/>
        <v>5</v>
      </c>
      <c r="L499" s="18">
        <f t="shared" si="38"/>
        <v>0.05</v>
      </c>
      <c r="M499" s="18">
        <f t="shared" si="39"/>
        <v>0.95</v>
      </c>
    </row>
    <row r="500" spans="1:13" x14ac:dyDescent="0.3">
      <c r="A500" s="22">
        <v>144</v>
      </c>
      <c r="B500" s="22">
        <v>131</v>
      </c>
      <c r="C500" s="23">
        <v>0.90969999999999995</v>
      </c>
      <c r="D500" s="22">
        <v>13</v>
      </c>
      <c r="E500" s="24">
        <v>3.0092592592592595E-4</v>
      </c>
      <c r="F500" s="24">
        <v>1.7013888888888888E-3</v>
      </c>
      <c r="G500" s="24">
        <v>1.8171296296296297E-3</v>
      </c>
      <c r="H500" s="24">
        <v>0.63570000000000004</v>
      </c>
      <c r="I500" s="18">
        <f t="shared" si="36"/>
        <v>9.0969999999999992E-3</v>
      </c>
      <c r="J500" s="18">
        <f t="shared" si="40"/>
        <v>6.3570000000000007E-3</v>
      </c>
      <c r="K500" s="19">
        <f t="shared" si="37"/>
        <v>13</v>
      </c>
      <c r="L500" s="18">
        <f t="shared" si="38"/>
        <v>9.0277777777777776E-2</v>
      </c>
      <c r="M500" s="18">
        <f t="shared" si="39"/>
        <v>0.90972222222222221</v>
      </c>
    </row>
    <row r="501" spans="1:13" x14ac:dyDescent="0.3">
      <c r="A501" s="22">
        <v>110</v>
      </c>
      <c r="B501" s="22">
        <v>104</v>
      </c>
      <c r="C501" s="23">
        <v>0.94550000000000001</v>
      </c>
      <c r="D501" s="22">
        <v>6</v>
      </c>
      <c r="E501" s="24">
        <v>2.7777777777777778E-4</v>
      </c>
      <c r="F501" s="24">
        <v>1.6898148148148148E-3</v>
      </c>
      <c r="G501" s="24">
        <v>1.6435185185185185E-3</v>
      </c>
      <c r="H501" s="24">
        <v>0.64219999999999999</v>
      </c>
      <c r="I501" s="18">
        <f t="shared" si="36"/>
        <v>9.4549999999999999E-3</v>
      </c>
      <c r="J501" s="18">
        <f t="shared" si="40"/>
        <v>6.4219999999999998E-3</v>
      </c>
      <c r="K501" s="19">
        <f t="shared" si="37"/>
        <v>6</v>
      </c>
      <c r="L501" s="18">
        <f t="shared" si="38"/>
        <v>5.4545454545454543E-2</v>
      </c>
      <c r="M501" s="18">
        <f t="shared" si="39"/>
        <v>0.94545454545454544</v>
      </c>
    </row>
    <row r="502" spans="1:13" x14ac:dyDescent="0.3">
      <c r="A502" s="22">
        <v>126</v>
      </c>
      <c r="B502" s="22">
        <v>111</v>
      </c>
      <c r="C502" s="23">
        <v>0.88100000000000001</v>
      </c>
      <c r="D502" s="22">
        <v>15</v>
      </c>
      <c r="E502" s="24">
        <v>3.5879629629629629E-4</v>
      </c>
      <c r="F502" s="24">
        <v>1.8287037037037037E-3</v>
      </c>
      <c r="G502" s="24">
        <v>3.1944444444444446E-3</v>
      </c>
      <c r="H502" s="24">
        <v>0.52800000000000002</v>
      </c>
      <c r="I502" s="18">
        <f t="shared" si="36"/>
        <v>8.8100000000000001E-3</v>
      </c>
      <c r="J502" s="18">
        <f t="shared" si="40"/>
        <v>5.28E-3</v>
      </c>
      <c r="K502" s="19">
        <f t="shared" si="37"/>
        <v>15</v>
      </c>
      <c r="L502" s="18">
        <f t="shared" si="38"/>
        <v>0.11904761904761904</v>
      </c>
      <c r="M502" s="18">
        <f t="shared" si="39"/>
        <v>0.88095238095238093</v>
      </c>
    </row>
    <row r="503" spans="1:13" x14ac:dyDescent="0.3">
      <c r="A503" s="22">
        <v>24</v>
      </c>
      <c r="B503" s="22">
        <v>24</v>
      </c>
      <c r="C503" s="23">
        <v>1</v>
      </c>
      <c r="D503" s="22">
        <v>0</v>
      </c>
      <c r="E503" s="24">
        <v>5.5555555555555556E-4</v>
      </c>
      <c r="F503" s="24">
        <v>2.0138888888888888E-3</v>
      </c>
      <c r="G503" s="24">
        <v>3.2870370370370371E-3</v>
      </c>
      <c r="H503" s="24">
        <v>0.41670000000000001</v>
      </c>
      <c r="I503" s="18">
        <f t="shared" si="36"/>
        <v>0.01</v>
      </c>
      <c r="J503" s="18">
        <f t="shared" si="40"/>
        <v>4.1670000000000006E-3</v>
      </c>
      <c r="K503" s="19">
        <f t="shared" si="37"/>
        <v>0</v>
      </c>
      <c r="L503" s="18">
        <f t="shared" si="38"/>
        <v>0</v>
      </c>
      <c r="M503" s="18">
        <f t="shared" si="39"/>
        <v>1</v>
      </c>
    </row>
    <row r="504" spans="1:13" x14ac:dyDescent="0.3">
      <c r="A504" s="22">
        <v>128</v>
      </c>
      <c r="B504" s="22">
        <v>122</v>
      </c>
      <c r="C504" s="23">
        <v>0.95309999999999995</v>
      </c>
      <c r="D504" s="22">
        <v>6</v>
      </c>
      <c r="E504" s="24">
        <v>4.0509259259259258E-4</v>
      </c>
      <c r="F504" s="24">
        <v>2.0717592592592593E-3</v>
      </c>
      <c r="G504" s="24">
        <v>1.8749999999999999E-3</v>
      </c>
      <c r="H504" s="24">
        <v>0.51559999999999995</v>
      </c>
      <c r="I504" s="18">
        <f t="shared" si="36"/>
        <v>9.5309999999999995E-3</v>
      </c>
      <c r="J504" s="18">
        <f t="shared" si="40"/>
        <v>5.1559999999999991E-3</v>
      </c>
      <c r="K504" s="19">
        <f t="shared" si="37"/>
        <v>6</v>
      </c>
      <c r="L504" s="18">
        <f t="shared" si="38"/>
        <v>4.6875E-2</v>
      </c>
      <c r="M504" s="18">
        <f t="shared" si="39"/>
        <v>0.953125</v>
      </c>
    </row>
    <row r="505" spans="1:13" x14ac:dyDescent="0.3">
      <c r="A505" s="22">
        <v>185</v>
      </c>
      <c r="B505" s="22">
        <v>176</v>
      </c>
      <c r="C505" s="23">
        <v>0.95140000000000002</v>
      </c>
      <c r="D505" s="22">
        <v>9</v>
      </c>
      <c r="E505" s="24">
        <v>3.1250000000000001E-4</v>
      </c>
      <c r="F505" s="24">
        <v>1.6550925925925926E-3</v>
      </c>
      <c r="G505" s="24">
        <v>3.5300925925925925E-3</v>
      </c>
      <c r="H505" s="24">
        <v>0.67930000000000001</v>
      </c>
      <c r="I505" s="18">
        <f t="shared" si="36"/>
        <v>9.5139999999999999E-3</v>
      </c>
      <c r="J505" s="18">
        <f t="shared" si="40"/>
        <v>6.7930000000000004E-3</v>
      </c>
      <c r="K505" s="19">
        <f t="shared" si="37"/>
        <v>9</v>
      </c>
      <c r="L505" s="18">
        <f t="shared" si="38"/>
        <v>4.8648648648648651E-2</v>
      </c>
      <c r="M505" s="18">
        <f t="shared" si="39"/>
        <v>0.9513513513513514</v>
      </c>
    </row>
    <row r="506" spans="1:13" x14ac:dyDescent="0.3">
      <c r="A506" s="22">
        <v>136</v>
      </c>
      <c r="B506" s="22">
        <v>114</v>
      </c>
      <c r="C506" s="23">
        <v>0.83819999999999995</v>
      </c>
      <c r="D506" s="22">
        <v>22</v>
      </c>
      <c r="E506" s="24">
        <v>6.5972222222222224E-4</v>
      </c>
      <c r="F506" s="24">
        <v>1.6782407407407408E-3</v>
      </c>
      <c r="G506" s="24">
        <v>3.8310185185185183E-3</v>
      </c>
      <c r="H506" s="24">
        <v>0.28789999999999999</v>
      </c>
      <c r="I506" s="18">
        <f t="shared" si="36"/>
        <v>8.3819999999999988E-3</v>
      </c>
      <c r="J506" s="18">
        <f t="shared" si="40"/>
        <v>2.879E-3</v>
      </c>
      <c r="K506" s="19">
        <f t="shared" si="37"/>
        <v>22</v>
      </c>
      <c r="L506" s="18">
        <f t="shared" si="38"/>
        <v>0.16176470588235295</v>
      </c>
      <c r="M506" s="18">
        <f t="shared" si="39"/>
        <v>0.83823529411764708</v>
      </c>
    </row>
    <row r="507" spans="1:13" x14ac:dyDescent="0.3">
      <c r="A507" s="22">
        <v>130</v>
      </c>
      <c r="B507" s="22">
        <v>116</v>
      </c>
      <c r="C507" s="23">
        <v>0.89229999999999998</v>
      </c>
      <c r="D507" s="22">
        <v>14</v>
      </c>
      <c r="E507" s="24">
        <v>5.0925925925925921E-4</v>
      </c>
      <c r="F507" s="24">
        <v>1.8634259259259259E-3</v>
      </c>
      <c r="G507" s="24">
        <v>4.1666666666666666E-3</v>
      </c>
      <c r="H507" s="24">
        <v>0.44440000000000002</v>
      </c>
      <c r="I507" s="18">
        <f t="shared" si="36"/>
        <v>8.9230000000000004E-3</v>
      </c>
      <c r="J507" s="18">
        <f t="shared" si="40"/>
        <v>4.444E-3</v>
      </c>
      <c r="K507" s="19">
        <f t="shared" si="37"/>
        <v>14</v>
      </c>
      <c r="L507" s="18">
        <f t="shared" si="38"/>
        <v>0.1076923076923077</v>
      </c>
      <c r="M507" s="18">
        <f t="shared" si="39"/>
        <v>0.89230769230769236</v>
      </c>
    </row>
    <row r="508" spans="1:13" x14ac:dyDescent="0.3">
      <c r="A508" s="22">
        <v>103</v>
      </c>
      <c r="B508" s="22">
        <v>101</v>
      </c>
      <c r="C508" s="23">
        <v>0.98060000000000003</v>
      </c>
      <c r="D508" s="22">
        <v>2</v>
      </c>
      <c r="E508" s="24">
        <v>2.0833333333333335E-4</v>
      </c>
      <c r="F508" s="24">
        <v>1.8749999999999999E-3</v>
      </c>
      <c r="G508" s="24">
        <v>1.6550925925925926E-3</v>
      </c>
      <c r="H508" s="24">
        <v>0.77449999999999997</v>
      </c>
      <c r="I508" s="18">
        <f t="shared" si="36"/>
        <v>9.8060000000000005E-3</v>
      </c>
      <c r="J508" s="18">
        <f t="shared" si="40"/>
        <v>7.7449999999999993E-3</v>
      </c>
      <c r="K508" s="19">
        <f t="shared" si="37"/>
        <v>2</v>
      </c>
      <c r="L508" s="18">
        <f t="shared" si="38"/>
        <v>1.9417475728155338E-2</v>
      </c>
      <c r="M508" s="18">
        <f t="shared" si="39"/>
        <v>0.98058252427184467</v>
      </c>
    </row>
    <row r="509" spans="1:13" x14ac:dyDescent="0.3">
      <c r="A509" s="22">
        <v>99</v>
      </c>
      <c r="B509" s="22">
        <v>89</v>
      </c>
      <c r="C509" s="23">
        <v>0.89900000000000002</v>
      </c>
      <c r="D509" s="22">
        <v>10</v>
      </c>
      <c r="E509" s="24">
        <v>2.3148148148148149E-4</v>
      </c>
      <c r="F509" s="24">
        <v>1.7013888888888888E-3</v>
      </c>
      <c r="G509" s="24">
        <v>1.0416666666666667E-3</v>
      </c>
      <c r="H509" s="24">
        <v>0.73680000000000001</v>
      </c>
      <c r="I509" s="18">
        <f t="shared" si="36"/>
        <v>8.9899999999999997E-3</v>
      </c>
      <c r="J509" s="18">
        <f t="shared" si="40"/>
        <v>7.3680000000000004E-3</v>
      </c>
      <c r="K509" s="19">
        <f t="shared" si="37"/>
        <v>10</v>
      </c>
      <c r="L509" s="18">
        <f t="shared" si="38"/>
        <v>0.10101010101010101</v>
      </c>
      <c r="M509" s="18">
        <f t="shared" si="39"/>
        <v>0.89898989898989901</v>
      </c>
    </row>
    <row r="510" spans="1:13" x14ac:dyDescent="0.3">
      <c r="A510" s="22">
        <v>26</v>
      </c>
      <c r="B510" s="22">
        <v>24</v>
      </c>
      <c r="C510" s="23">
        <v>0.92310000000000003</v>
      </c>
      <c r="D510" s="22">
        <v>2</v>
      </c>
      <c r="E510" s="24">
        <v>2.6620370370370372E-4</v>
      </c>
      <c r="F510" s="24">
        <v>1.3888888888888889E-3</v>
      </c>
      <c r="G510" s="24">
        <v>1.3078703703703703E-3</v>
      </c>
      <c r="H510" s="24">
        <v>0.68</v>
      </c>
      <c r="I510" s="18">
        <f t="shared" si="36"/>
        <v>9.2309999999999996E-3</v>
      </c>
      <c r="J510" s="18">
        <f t="shared" si="40"/>
        <v>6.8000000000000005E-3</v>
      </c>
      <c r="K510" s="19">
        <f t="shared" si="37"/>
        <v>2</v>
      </c>
      <c r="L510" s="18">
        <f t="shared" si="38"/>
        <v>7.6923076923076927E-2</v>
      </c>
      <c r="M510" s="18">
        <f t="shared" si="39"/>
        <v>0.92307692307692313</v>
      </c>
    </row>
    <row r="511" spans="1:13" x14ac:dyDescent="0.3">
      <c r="A511" s="22">
        <v>95</v>
      </c>
      <c r="B511" s="22">
        <v>94</v>
      </c>
      <c r="C511" s="23">
        <v>0.98950000000000005</v>
      </c>
      <c r="D511" s="22">
        <v>1</v>
      </c>
      <c r="E511" s="24">
        <v>2.4305555555555555E-4</v>
      </c>
      <c r="F511" s="24">
        <v>1.7476851851851852E-3</v>
      </c>
      <c r="G511" s="24">
        <v>2.476851851851852E-3</v>
      </c>
      <c r="H511" s="24">
        <v>0.75529999999999997</v>
      </c>
      <c r="I511" s="18">
        <f t="shared" si="36"/>
        <v>9.895000000000001E-3</v>
      </c>
      <c r="J511" s="18">
        <f t="shared" si="40"/>
        <v>7.5529999999999998E-3</v>
      </c>
      <c r="K511" s="19">
        <f t="shared" si="37"/>
        <v>1</v>
      </c>
      <c r="L511" s="18">
        <f t="shared" si="38"/>
        <v>1.0526315789473684E-2</v>
      </c>
      <c r="M511" s="18">
        <f t="shared" si="39"/>
        <v>0.98947368421052628</v>
      </c>
    </row>
    <row r="512" spans="1:13" x14ac:dyDescent="0.3">
      <c r="A512" s="22">
        <v>136</v>
      </c>
      <c r="B512" s="22">
        <v>131</v>
      </c>
      <c r="C512" s="23">
        <v>0.96319999999999995</v>
      </c>
      <c r="D512" s="22">
        <v>5</v>
      </c>
      <c r="E512" s="24">
        <v>1.9675925925925926E-4</v>
      </c>
      <c r="F512" s="24">
        <v>1.724537037037037E-3</v>
      </c>
      <c r="G512" s="24">
        <v>1.6319444444444445E-3</v>
      </c>
      <c r="H512" s="24">
        <v>0.81059999999999999</v>
      </c>
      <c r="I512" s="18">
        <f t="shared" si="36"/>
        <v>9.6319999999999999E-3</v>
      </c>
      <c r="J512" s="18">
        <f t="shared" si="40"/>
        <v>8.1060000000000004E-3</v>
      </c>
      <c r="K512" s="19">
        <f t="shared" si="37"/>
        <v>5</v>
      </c>
      <c r="L512" s="18">
        <f t="shared" si="38"/>
        <v>3.6764705882352942E-2</v>
      </c>
      <c r="M512" s="18">
        <f t="shared" si="39"/>
        <v>0.96323529411764708</v>
      </c>
    </row>
    <row r="513" spans="1:13" x14ac:dyDescent="0.3">
      <c r="A513" s="22">
        <v>37</v>
      </c>
      <c r="B513" s="22">
        <v>34</v>
      </c>
      <c r="C513" s="23">
        <v>0.91890000000000005</v>
      </c>
      <c r="D513" s="22">
        <v>3</v>
      </c>
      <c r="E513" s="24">
        <v>4.7453703703703704E-4</v>
      </c>
      <c r="F513" s="24">
        <v>1.5162037037037036E-3</v>
      </c>
      <c r="G513" s="24">
        <v>4.0046296296296297E-3</v>
      </c>
      <c r="H513" s="24">
        <v>0.64859999999999995</v>
      </c>
      <c r="I513" s="18">
        <f t="shared" si="36"/>
        <v>9.189000000000001E-3</v>
      </c>
      <c r="J513" s="18">
        <f t="shared" si="40"/>
        <v>6.4859999999999996E-3</v>
      </c>
      <c r="K513" s="19">
        <f t="shared" si="37"/>
        <v>3</v>
      </c>
      <c r="L513" s="18">
        <f t="shared" si="38"/>
        <v>8.1081081081081086E-2</v>
      </c>
      <c r="M513" s="18">
        <f t="shared" si="39"/>
        <v>0.91891891891891897</v>
      </c>
    </row>
    <row r="514" spans="1:13" x14ac:dyDescent="0.3">
      <c r="A514" s="22">
        <v>105</v>
      </c>
      <c r="B514" s="22">
        <v>100</v>
      </c>
      <c r="C514" s="23">
        <v>0.95240000000000002</v>
      </c>
      <c r="D514" s="22">
        <v>5</v>
      </c>
      <c r="E514" s="24">
        <v>2.5462962962962961E-4</v>
      </c>
      <c r="F514" s="24">
        <v>1.736111111111111E-3</v>
      </c>
      <c r="G514" s="24">
        <v>1.5277777777777779E-3</v>
      </c>
      <c r="H514" s="24">
        <v>0.7228</v>
      </c>
      <c r="I514" s="18">
        <f t="shared" si="36"/>
        <v>9.5239999999999995E-3</v>
      </c>
      <c r="J514" s="18">
        <f t="shared" si="40"/>
        <v>7.228E-3</v>
      </c>
      <c r="K514" s="19">
        <f t="shared" si="37"/>
        <v>5</v>
      </c>
      <c r="L514" s="18">
        <f t="shared" si="38"/>
        <v>4.7619047619047616E-2</v>
      </c>
      <c r="M514" s="18">
        <f t="shared" si="39"/>
        <v>0.95238095238095233</v>
      </c>
    </row>
    <row r="515" spans="1:13" x14ac:dyDescent="0.3">
      <c r="A515" s="22">
        <v>100</v>
      </c>
      <c r="B515" s="22">
        <v>92</v>
      </c>
      <c r="C515" s="23">
        <v>0.92</v>
      </c>
      <c r="D515" s="22">
        <v>8</v>
      </c>
      <c r="E515" s="24">
        <v>3.4722222222222224E-4</v>
      </c>
      <c r="F515" s="24">
        <v>1.7013888888888888E-3</v>
      </c>
      <c r="G515" s="24">
        <v>3.1828703703703702E-3</v>
      </c>
      <c r="H515" s="24">
        <v>0.63270000000000004</v>
      </c>
      <c r="I515" s="18">
        <f t="shared" ref="I515:I578" si="41">VALUE(SUBSTITUTE(C515,"%",""))/100</f>
        <v>9.1999999999999998E-3</v>
      </c>
      <c r="J515" s="18">
        <f t="shared" si="40"/>
        <v>6.3270000000000002E-3</v>
      </c>
      <c r="K515" s="19">
        <f t="shared" ref="K515:K578" si="42">A515-B515</f>
        <v>8</v>
      </c>
      <c r="L515" s="18">
        <f t="shared" ref="L515:L578" si="43">D515/A515</f>
        <v>0.08</v>
      </c>
      <c r="M515" s="18">
        <f t="shared" ref="M515:M578" si="44">B515/A515</f>
        <v>0.92</v>
      </c>
    </row>
    <row r="516" spans="1:13" x14ac:dyDescent="0.3">
      <c r="A516" s="22">
        <v>115</v>
      </c>
      <c r="B516" s="22">
        <v>103</v>
      </c>
      <c r="C516" s="23">
        <v>0.89570000000000005</v>
      </c>
      <c r="D516" s="22">
        <v>12</v>
      </c>
      <c r="E516" s="24">
        <v>5.0925925925925921E-4</v>
      </c>
      <c r="F516" s="24">
        <v>1.9212962962962964E-3</v>
      </c>
      <c r="G516" s="24">
        <v>3.1828703703703702E-3</v>
      </c>
      <c r="H516" s="24">
        <v>0.37169999999999997</v>
      </c>
      <c r="I516" s="18">
        <f t="shared" si="41"/>
        <v>8.9569999999999997E-3</v>
      </c>
      <c r="J516" s="18">
        <f t="shared" si="40"/>
        <v>3.7169999999999998E-3</v>
      </c>
      <c r="K516" s="19">
        <f t="shared" si="42"/>
        <v>12</v>
      </c>
      <c r="L516" s="18">
        <f t="shared" si="43"/>
        <v>0.10434782608695652</v>
      </c>
      <c r="M516" s="18">
        <f t="shared" si="44"/>
        <v>0.89565217391304353</v>
      </c>
    </row>
    <row r="517" spans="1:13" x14ac:dyDescent="0.3">
      <c r="A517" s="22">
        <v>38</v>
      </c>
      <c r="B517" s="22">
        <v>36</v>
      </c>
      <c r="C517" s="23">
        <v>0.94740000000000002</v>
      </c>
      <c r="D517" s="22">
        <v>2</v>
      </c>
      <c r="E517" s="24">
        <v>4.5138888888888887E-4</v>
      </c>
      <c r="F517" s="24">
        <v>2.0370370370370369E-3</v>
      </c>
      <c r="G517" s="24">
        <v>2.0138888888888888E-3</v>
      </c>
      <c r="H517" s="24">
        <v>0.52629999999999999</v>
      </c>
      <c r="I517" s="18">
        <f t="shared" si="41"/>
        <v>9.4739999999999998E-3</v>
      </c>
      <c r="J517" s="18">
        <f t="shared" si="40"/>
        <v>5.2630000000000003E-3</v>
      </c>
      <c r="K517" s="19">
        <f t="shared" si="42"/>
        <v>2</v>
      </c>
      <c r="L517" s="18">
        <f t="shared" si="43"/>
        <v>5.2631578947368418E-2</v>
      </c>
      <c r="M517" s="18">
        <f t="shared" si="44"/>
        <v>0.94736842105263153</v>
      </c>
    </row>
    <row r="518" spans="1:13" x14ac:dyDescent="0.3">
      <c r="A518" s="22">
        <v>108</v>
      </c>
      <c r="B518" s="22">
        <v>95</v>
      </c>
      <c r="C518" s="23">
        <v>0.87960000000000005</v>
      </c>
      <c r="D518" s="22">
        <v>13</v>
      </c>
      <c r="E518" s="24">
        <v>3.0092592592592595E-4</v>
      </c>
      <c r="F518" s="24">
        <v>1.9560185185185184E-3</v>
      </c>
      <c r="G518" s="24">
        <v>1.9212962962962964E-3</v>
      </c>
      <c r="H518" s="24">
        <v>0.6381</v>
      </c>
      <c r="I518" s="18">
        <f t="shared" si="41"/>
        <v>8.796E-3</v>
      </c>
      <c r="J518" s="18">
        <f t="shared" ref="J518:J581" si="45">VALUE(SUBSTITUTE(H518,"%",""))/100</f>
        <v>6.3810000000000004E-3</v>
      </c>
      <c r="K518" s="19">
        <f t="shared" si="42"/>
        <v>13</v>
      </c>
      <c r="L518" s="18">
        <f t="shared" si="43"/>
        <v>0.12037037037037036</v>
      </c>
      <c r="M518" s="18">
        <f t="shared" si="44"/>
        <v>0.87962962962962965</v>
      </c>
    </row>
    <row r="519" spans="1:13" x14ac:dyDescent="0.3">
      <c r="A519" s="22">
        <v>124</v>
      </c>
      <c r="B519" s="22">
        <v>118</v>
      </c>
      <c r="C519" s="23">
        <v>0.9516</v>
      </c>
      <c r="D519" s="22">
        <v>6</v>
      </c>
      <c r="E519" s="24">
        <v>2.6620370370370372E-4</v>
      </c>
      <c r="F519" s="24">
        <v>1.7476851851851852E-3</v>
      </c>
      <c r="G519" s="24">
        <v>2.0949074074074073E-3</v>
      </c>
      <c r="H519" s="24">
        <v>0.73770000000000002</v>
      </c>
      <c r="I519" s="18">
        <f t="shared" si="41"/>
        <v>9.5160000000000002E-3</v>
      </c>
      <c r="J519" s="18">
        <f t="shared" si="45"/>
        <v>7.3769999999999999E-3</v>
      </c>
      <c r="K519" s="19">
        <f t="shared" si="42"/>
        <v>6</v>
      </c>
      <c r="L519" s="18">
        <f t="shared" si="43"/>
        <v>4.8387096774193547E-2</v>
      </c>
      <c r="M519" s="18">
        <f t="shared" si="44"/>
        <v>0.95161290322580649</v>
      </c>
    </row>
    <row r="520" spans="1:13" x14ac:dyDescent="0.3">
      <c r="A520" s="22">
        <v>97</v>
      </c>
      <c r="B520" s="22">
        <v>92</v>
      </c>
      <c r="C520" s="23">
        <v>0.94850000000000001</v>
      </c>
      <c r="D520" s="22">
        <v>5</v>
      </c>
      <c r="E520" s="24">
        <v>2.8935185185185184E-4</v>
      </c>
      <c r="F520" s="24">
        <v>1.8055555555555555E-3</v>
      </c>
      <c r="G520" s="24">
        <v>1.6550925925925926E-3</v>
      </c>
      <c r="H520" s="24">
        <v>0.67710000000000004</v>
      </c>
      <c r="I520" s="18">
        <f t="shared" si="41"/>
        <v>9.4850000000000004E-3</v>
      </c>
      <c r="J520" s="18">
        <f t="shared" si="45"/>
        <v>6.7710000000000001E-3</v>
      </c>
      <c r="K520" s="19">
        <f t="shared" si="42"/>
        <v>5</v>
      </c>
      <c r="L520" s="18">
        <f t="shared" si="43"/>
        <v>5.1546391752577317E-2</v>
      </c>
      <c r="M520" s="18">
        <f t="shared" si="44"/>
        <v>0.94845360824742264</v>
      </c>
    </row>
    <row r="521" spans="1:13" x14ac:dyDescent="0.3">
      <c r="A521" s="22">
        <v>117</v>
      </c>
      <c r="B521" s="22">
        <v>108</v>
      </c>
      <c r="C521" s="23">
        <v>0.92310000000000003</v>
      </c>
      <c r="D521" s="22">
        <v>9</v>
      </c>
      <c r="E521" s="24">
        <v>4.2824074074074075E-4</v>
      </c>
      <c r="F521" s="24">
        <v>1.2268518518518518E-3</v>
      </c>
      <c r="G521" s="24">
        <v>2.8124999999999999E-3</v>
      </c>
      <c r="H521" s="24">
        <v>0.48670000000000002</v>
      </c>
      <c r="I521" s="18">
        <f t="shared" si="41"/>
        <v>9.2309999999999996E-3</v>
      </c>
      <c r="J521" s="18">
        <f t="shared" si="45"/>
        <v>4.8669999999999998E-3</v>
      </c>
      <c r="K521" s="19">
        <f t="shared" si="42"/>
        <v>9</v>
      </c>
      <c r="L521" s="18">
        <f t="shared" si="43"/>
        <v>7.6923076923076927E-2</v>
      </c>
      <c r="M521" s="18">
        <f t="shared" si="44"/>
        <v>0.92307692307692313</v>
      </c>
    </row>
    <row r="522" spans="1:13" x14ac:dyDescent="0.3">
      <c r="A522" s="22">
        <v>34</v>
      </c>
      <c r="B522" s="22">
        <v>31</v>
      </c>
      <c r="C522" s="23">
        <v>0.91180000000000005</v>
      </c>
      <c r="D522" s="22">
        <v>3</v>
      </c>
      <c r="E522" s="24">
        <v>3.1250000000000001E-4</v>
      </c>
      <c r="F522" s="24">
        <v>1.8171296296296297E-3</v>
      </c>
      <c r="G522" s="24">
        <v>1.7592592592592592E-3</v>
      </c>
      <c r="H522" s="24">
        <v>0.64710000000000001</v>
      </c>
      <c r="I522" s="18">
        <f t="shared" si="41"/>
        <v>9.1180000000000011E-3</v>
      </c>
      <c r="J522" s="18">
        <f t="shared" si="45"/>
        <v>6.4710000000000002E-3</v>
      </c>
      <c r="K522" s="19">
        <f t="shared" si="42"/>
        <v>3</v>
      </c>
      <c r="L522" s="18">
        <f t="shared" si="43"/>
        <v>8.8235294117647065E-2</v>
      </c>
      <c r="M522" s="18">
        <f t="shared" si="44"/>
        <v>0.91176470588235292</v>
      </c>
    </row>
    <row r="523" spans="1:13" x14ac:dyDescent="0.3">
      <c r="A523" s="22">
        <v>53</v>
      </c>
      <c r="B523" s="22">
        <v>50</v>
      </c>
      <c r="C523" s="23">
        <v>0.94340000000000002</v>
      </c>
      <c r="D523" s="22">
        <v>3</v>
      </c>
      <c r="E523" s="24">
        <v>3.2407407407407406E-4</v>
      </c>
      <c r="F523" s="24">
        <v>1.5162037037037036E-3</v>
      </c>
      <c r="G523" s="24">
        <v>2.2685185185185187E-3</v>
      </c>
      <c r="H523" s="24">
        <v>0.66039999999999999</v>
      </c>
      <c r="I523" s="18">
        <f t="shared" si="41"/>
        <v>9.4339999999999997E-3</v>
      </c>
      <c r="J523" s="18">
        <f t="shared" si="45"/>
        <v>6.6039999999999996E-3</v>
      </c>
      <c r="K523" s="19">
        <f t="shared" si="42"/>
        <v>3</v>
      </c>
      <c r="L523" s="18">
        <f t="shared" si="43"/>
        <v>5.6603773584905662E-2</v>
      </c>
      <c r="M523" s="18">
        <f t="shared" si="44"/>
        <v>0.94339622641509435</v>
      </c>
    </row>
    <row r="524" spans="1:13" x14ac:dyDescent="0.3">
      <c r="A524" s="22">
        <v>29</v>
      </c>
      <c r="B524" s="22">
        <v>23</v>
      </c>
      <c r="C524" s="23">
        <v>0.79310000000000003</v>
      </c>
      <c r="D524" s="22">
        <v>6</v>
      </c>
      <c r="E524" s="24">
        <v>4.861111111111111E-4</v>
      </c>
      <c r="F524" s="24">
        <v>1.9328703703703704E-3</v>
      </c>
      <c r="G524" s="24">
        <v>2.5462962962962965E-3</v>
      </c>
      <c r="H524" s="24">
        <v>0.32140000000000002</v>
      </c>
      <c r="I524" s="18">
        <f t="shared" si="41"/>
        <v>7.9310000000000005E-3</v>
      </c>
      <c r="J524" s="18">
        <f t="shared" si="45"/>
        <v>3.2140000000000003E-3</v>
      </c>
      <c r="K524" s="19">
        <f t="shared" si="42"/>
        <v>6</v>
      </c>
      <c r="L524" s="18">
        <f t="shared" si="43"/>
        <v>0.20689655172413793</v>
      </c>
      <c r="M524" s="18">
        <f t="shared" si="44"/>
        <v>0.7931034482758621</v>
      </c>
    </row>
    <row r="525" spans="1:13" x14ac:dyDescent="0.3">
      <c r="A525" s="22">
        <v>120</v>
      </c>
      <c r="B525" s="22">
        <v>107</v>
      </c>
      <c r="C525" s="23">
        <v>0.89170000000000005</v>
      </c>
      <c r="D525" s="22">
        <v>13</v>
      </c>
      <c r="E525" s="24">
        <v>3.9351851851851852E-4</v>
      </c>
      <c r="F525" s="24">
        <v>1.8402777777777777E-3</v>
      </c>
      <c r="G525" s="24">
        <v>2.3263888888888887E-3</v>
      </c>
      <c r="H525" s="24">
        <v>0.44069999999999998</v>
      </c>
      <c r="I525" s="18">
        <f t="shared" si="41"/>
        <v>8.9170000000000013E-3</v>
      </c>
      <c r="J525" s="18">
        <f t="shared" si="45"/>
        <v>4.4069999999999995E-3</v>
      </c>
      <c r="K525" s="19">
        <f t="shared" si="42"/>
        <v>13</v>
      </c>
      <c r="L525" s="18">
        <f t="shared" si="43"/>
        <v>0.10833333333333334</v>
      </c>
      <c r="M525" s="18">
        <f t="shared" si="44"/>
        <v>0.89166666666666672</v>
      </c>
    </row>
    <row r="526" spans="1:13" x14ac:dyDescent="0.3">
      <c r="A526" s="22">
        <v>107</v>
      </c>
      <c r="B526" s="22">
        <v>100</v>
      </c>
      <c r="C526" s="23">
        <v>0.93459999999999999</v>
      </c>
      <c r="D526" s="22">
        <v>7</v>
      </c>
      <c r="E526" s="24">
        <v>3.8194444444444446E-4</v>
      </c>
      <c r="F526" s="24">
        <v>1.7708333333333332E-3</v>
      </c>
      <c r="G526" s="24">
        <v>1.4814814814814814E-3</v>
      </c>
      <c r="H526" s="24">
        <v>0.51429999999999998</v>
      </c>
      <c r="I526" s="18">
        <f t="shared" si="41"/>
        <v>9.3460000000000001E-3</v>
      </c>
      <c r="J526" s="18">
        <f t="shared" si="45"/>
        <v>5.143E-3</v>
      </c>
      <c r="K526" s="19">
        <f t="shared" si="42"/>
        <v>7</v>
      </c>
      <c r="L526" s="18">
        <f t="shared" si="43"/>
        <v>6.5420560747663545E-2</v>
      </c>
      <c r="M526" s="18">
        <f t="shared" si="44"/>
        <v>0.93457943925233644</v>
      </c>
    </row>
    <row r="527" spans="1:13" x14ac:dyDescent="0.3">
      <c r="A527" s="22">
        <v>173</v>
      </c>
      <c r="B527" s="22">
        <v>159</v>
      </c>
      <c r="C527" s="23">
        <v>0.91910000000000003</v>
      </c>
      <c r="D527" s="22">
        <v>14</v>
      </c>
      <c r="E527" s="24">
        <v>5.4398148148148144E-4</v>
      </c>
      <c r="F527" s="24">
        <v>1.8981481481481482E-3</v>
      </c>
      <c r="G527" s="24">
        <v>3.8194444444444443E-3</v>
      </c>
      <c r="H527" s="24">
        <v>0.39410000000000001</v>
      </c>
      <c r="I527" s="18">
        <f t="shared" si="41"/>
        <v>9.1909999999999995E-3</v>
      </c>
      <c r="J527" s="18">
        <f t="shared" si="45"/>
        <v>3.9410000000000001E-3</v>
      </c>
      <c r="K527" s="19">
        <f t="shared" si="42"/>
        <v>14</v>
      </c>
      <c r="L527" s="18">
        <f t="shared" si="43"/>
        <v>8.0924855491329481E-2</v>
      </c>
      <c r="M527" s="18">
        <f t="shared" si="44"/>
        <v>0.91907514450867056</v>
      </c>
    </row>
    <row r="528" spans="1:13" x14ac:dyDescent="0.3">
      <c r="A528" s="22">
        <v>256</v>
      </c>
      <c r="B528" s="22">
        <v>213</v>
      </c>
      <c r="C528" s="23">
        <v>0.83199999999999996</v>
      </c>
      <c r="D528" s="22">
        <v>43</v>
      </c>
      <c r="E528" s="24">
        <v>5.0925925925925921E-4</v>
      </c>
      <c r="F528" s="24">
        <v>1.9097222222222222E-3</v>
      </c>
      <c r="G528" s="24">
        <v>3.6805555555555554E-3</v>
      </c>
      <c r="H528" s="24">
        <v>0.41699999999999998</v>
      </c>
      <c r="I528" s="18">
        <f t="shared" si="41"/>
        <v>8.3199999999999993E-3</v>
      </c>
      <c r="J528" s="18">
        <f t="shared" si="45"/>
        <v>4.1700000000000001E-3</v>
      </c>
      <c r="K528" s="19">
        <f t="shared" si="42"/>
        <v>43</v>
      </c>
      <c r="L528" s="18">
        <f t="shared" si="43"/>
        <v>0.16796875</v>
      </c>
      <c r="M528" s="18">
        <f t="shared" si="44"/>
        <v>0.83203125</v>
      </c>
    </row>
    <row r="529" spans="1:13" x14ac:dyDescent="0.3">
      <c r="A529" s="22">
        <v>199</v>
      </c>
      <c r="B529" s="22">
        <v>174</v>
      </c>
      <c r="C529" s="23">
        <v>0.87439999999999996</v>
      </c>
      <c r="D529" s="22">
        <v>25</v>
      </c>
      <c r="E529" s="24">
        <v>4.1666666666666669E-4</v>
      </c>
      <c r="F529" s="24">
        <v>1.7939814814814815E-3</v>
      </c>
      <c r="G529" s="24">
        <v>3.1828703703703702E-3</v>
      </c>
      <c r="H529" s="24">
        <v>0.53059999999999996</v>
      </c>
      <c r="I529" s="18">
        <f t="shared" si="41"/>
        <v>8.744E-3</v>
      </c>
      <c r="J529" s="18">
        <f t="shared" si="45"/>
        <v>5.306E-3</v>
      </c>
      <c r="K529" s="19">
        <f t="shared" si="42"/>
        <v>25</v>
      </c>
      <c r="L529" s="18">
        <f t="shared" si="43"/>
        <v>0.12562814070351758</v>
      </c>
      <c r="M529" s="18">
        <f t="shared" si="44"/>
        <v>0.87437185929648242</v>
      </c>
    </row>
    <row r="530" spans="1:13" x14ac:dyDescent="0.3">
      <c r="A530" s="22">
        <v>182</v>
      </c>
      <c r="B530" s="22">
        <v>170</v>
      </c>
      <c r="C530" s="23">
        <v>0.93410000000000004</v>
      </c>
      <c r="D530" s="22">
        <v>12</v>
      </c>
      <c r="E530" s="24">
        <v>4.6296296296296298E-4</v>
      </c>
      <c r="F530" s="24">
        <v>1.8981481481481482E-3</v>
      </c>
      <c r="G530" s="24">
        <v>2.3958333333333331E-3</v>
      </c>
      <c r="H530" s="24">
        <v>0.45810000000000001</v>
      </c>
      <c r="I530" s="18">
        <f t="shared" si="41"/>
        <v>9.3410000000000003E-3</v>
      </c>
      <c r="J530" s="18">
        <f t="shared" si="45"/>
        <v>4.581E-3</v>
      </c>
      <c r="K530" s="19">
        <f t="shared" si="42"/>
        <v>12</v>
      </c>
      <c r="L530" s="18">
        <f t="shared" si="43"/>
        <v>6.5934065934065936E-2</v>
      </c>
      <c r="M530" s="18">
        <f t="shared" si="44"/>
        <v>0.93406593406593408</v>
      </c>
    </row>
    <row r="531" spans="1:13" x14ac:dyDescent="0.3">
      <c r="A531" s="22">
        <v>42</v>
      </c>
      <c r="B531" s="22">
        <v>41</v>
      </c>
      <c r="C531" s="23">
        <v>0.97619999999999996</v>
      </c>
      <c r="D531" s="22">
        <v>1</v>
      </c>
      <c r="E531" s="24">
        <v>4.861111111111111E-4</v>
      </c>
      <c r="F531" s="24">
        <v>2.0023148148148148E-3</v>
      </c>
      <c r="G531" s="24">
        <v>2.5462962962962965E-3</v>
      </c>
      <c r="H531" s="24">
        <v>0.56100000000000005</v>
      </c>
      <c r="I531" s="18">
        <f t="shared" si="41"/>
        <v>9.7619999999999998E-3</v>
      </c>
      <c r="J531" s="18">
        <f t="shared" si="45"/>
        <v>5.6100000000000004E-3</v>
      </c>
      <c r="K531" s="19">
        <f t="shared" si="42"/>
        <v>1</v>
      </c>
      <c r="L531" s="18">
        <f t="shared" si="43"/>
        <v>2.3809523809523808E-2</v>
      </c>
      <c r="M531" s="18">
        <f t="shared" si="44"/>
        <v>0.97619047619047616</v>
      </c>
    </row>
    <row r="532" spans="1:13" x14ac:dyDescent="0.3">
      <c r="A532" s="22">
        <v>181</v>
      </c>
      <c r="B532" s="22">
        <v>168</v>
      </c>
      <c r="C532" s="23">
        <v>0.92820000000000003</v>
      </c>
      <c r="D532" s="22">
        <v>13</v>
      </c>
      <c r="E532" s="24">
        <v>3.9351851851851852E-4</v>
      </c>
      <c r="F532" s="24">
        <v>1.7939814814814815E-3</v>
      </c>
      <c r="G532" s="24">
        <v>1.8865740740740742E-3</v>
      </c>
      <c r="H532" s="24">
        <v>0.51690000000000003</v>
      </c>
      <c r="I532" s="18">
        <f t="shared" si="41"/>
        <v>9.2820000000000003E-3</v>
      </c>
      <c r="J532" s="18">
        <f t="shared" si="45"/>
        <v>5.169E-3</v>
      </c>
      <c r="K532" s="19">
        <f t="shared" si="42"/>
        <v>13</v>
      </c>
      <c r="L532" s="18">
        <f t="shared" si="43"/>
        <v>7.18232044198895E-2</v>
      </c>
      <c r="M532" s="18">
        <f t="shared" si="44"/>
        <v>0.92817679558011046</v>
      </c>
    </row>
    <row r="533" spans="1:13" x14ac:dyDescent="0.3">
      <c r="A533" s="22">
        <v>159</v>
      </c>
      <c r="B533" s="22">
        <v>147</v>
      </c>
      <c r="C533" s="23">
        <v>0.92449999999999999</v>
      </c>
      <c r="D533" s="22">
        <v>12</v>
      </c>
      <c r="E533" s="24">
        <v>3.4722222222222224E-4</v>
      </c>
      <c r="F533" s="24">
        <v>1.8055555555555555E-3</v>
      </c>
      <c r="G533" s="24">
        <v>3.2291666666666666E-3</v>
      </c>
      <c r="H533" s="24">
        <v>0.58709999999999996</v>
      </c>
      <c r="I533" s="18">
        <f t="shared" si="41"/>
        <v>9.2449999999999997E-3</v>
      </c>
      <c r="J533" s="18">
        <f t="shared" si="45"/>
        <v>5.8709999999999995E-3</v>
      </c>
      <c r="K533" s="19">
        <f t="shared" si="42"/>
        <v>12</v>
      </c>
      <c r="L533" s="18">
        <f t="shared" si="43"/>
        <v>7.5471698113207544E-2</v>
      </c>
      <c r="M533" s="18">
        <f t="shared" si="44"/>
        <v>0.92452830188679247</v>
      </c>
    </row>
    <row r="534" spans="1:13" x14ac:dyDescent="0.3">
      <c r="A534" s="22">
        <v>142</v>
      </c>
      <c r="B534" s="22">
        <v>134</v>
      </c>
      <c r="C534" s="23">
        <v>0.94369999999999998</v>
      </c>
      <c r="D534" s="22">
        <v>8</v>
      </c>
      <c r="E534" s="24">
        <v>3.0092592592592595E-4</v>
      </c>
      <c r="F534" s="24">
        <v>1.9675925925925924E-3</v>
      </c>
      <c r="G534" s="24">
        <v>1.2731481481481483E-3</v>
      </c>
      <c r="H534" s="24">
        <v>0.61870000000000003</v>
      </c>
      <c r="I534" s="18">
        <f t="shared" si="41"/>
        <v>9.4369999999999992E-3</v>
      </c>
      <c r="J534" s="18">
        <f t="shared" si="45"/>
        <v>6.1870000000000007E-3</v>
      </c>
      <c r="K534" s="19">
        <f t="shared" si="42"/>
        <v>8</v>
      </c>
      <c r="L534" s="18">
        <f t="shared" si="43"/>
        <v>5.6338028169014086E-2</v>
      </c>
      <c r="M534" s="18">
        <f t="shared" si="44"/>
        <v>0.94366197183098588</v>
      </c>
    </row>
    <row r="535" spans="1:13" x14ac:dyDescent="0.3">
      <c r="A535" s="22">
        <v>194</v>
      </c>
      <c r="B535" s="22">
        <v>163</v>
      </c>
      <c r="C535" s="23">
        <v>0.84019999999999995</v>
      </c>
      <c r="D535" s="22">
        <v>31</v>
      </c>
      <c r="E535" s="24">
        <v>3.4722222222222224E-4</v>
      </c>
      <c r="F535" s="24">
        <v>1.8287037037037037E-3</v>
      </c>
      <c r="G535" s="24">
        <v>3.8310185185185183E-3</v>
      </c>
      <c r="H535" s="24">
        <v>0.51039999999999996</v>
      </c>
      <c r="I535" s="18">
        <f t="shared" si="41"/>
        <v>8.4019999999999997E-3</v>
      </c>
      <c r="J535" s="18">
        <f t="shared" si="45"/>
        <v>5.104E-3</v>
      </c>
      <c r="K535" s="19">
        <f t="shared" si="42"/>
        <v>31</v>
      </c>
      <c r="L535" s="18">
        <f t="shared" si="43"/>
        <v>0.15979381443298968</v>
      </c>
      <c r="M535" s="18">
        <f t="shared" si="44"/>
        <v>0.84020618556701032</v>
      </c>
    </row>
    <row r="536" spans="1:13" x14ac:dyDescent="0.3">
      <c r="A536" s="22">
        <v>235</v>
      </c>
      <c r="B536" s="22">
        <v>210</v>
      </c>
      <c r="C536" s="23">
        <v>0.89359999999999995</v>
      </c>
      <c r="D536" s="22">
        <v>25</v>
      </c>
      <c r="E536" s="24">
        <v>4.3981481481481481E-4</v>
      </c>
      <c r="F536" s="24">
        <v>2.0023148148148148E-3</v>
      </c>
      <c r="G536" s="24">
        <v>3.1828703703703702E-3</v>
      </c>
      <c r="H536" s="24">
        <v>0.48899999999999999</v>
      </c>
      <c r="I536" s="18">
        <f t="shared" si="41"/>
        <v>8.9359999999999995E-3</v>
      </c>
      <c r="J536" s="18">
        <f t="shared" si="45"/>
        <v>4.8900000000000002E-3</v>
      </c>
      <c r="K536" s="19">
        <f t="shared" si="42"/>
        <v>25</v>
      </c>
      <c r="L536" s="18">
        <f t="shared" si="43"/>
        <v>0.10638297872340426</v>
      </c>
      <c r="M536" s="18">
        <f t="shared" si="44"/>
        <v>0.8936170212765957</v>
      </c>
    </row>
    <row r="537" spans="1:13" x14ac:dyDescent="0.3">
      <c r="A537" s="22">
        <v>206</v>
      </c>
      <c r="B537" s="22">
        <v>180</v>
      </c>
      <c r="C537" s="23">
        <v>0.87380000000000002</v>
      </c>
      <c r="D537" s="22">
        <v>26</v>
      </c>
      <c r="E537" s="24">
        <v>5.9027777777777778E-4</v>
      </c>
      <c r="F537" s="24">
        <v>1.9328703703703704E-3</v>
      </c>
      <c r="G537" s="24">
        <v>4.8958333333333336E-3</v>
      </c>
      <c r="H537" s="24">
        <v>0.3861</v>
      </c>
      <c r="I537" s="18">
        <f t="shared" si="41"/>
        <v>8.738000000000001E-3</v>
      </c>
      <c r="J537" s="18">
        <f t="shared" si="45"/>
        <v>3.8609999999999998E-3</v>
      </c>
      <c r="K537" s="19">
        <f t="shared" si="42"/>
        <v>26</v>
      </c>
      <c r="L537" s="18">
        <f t="shared" si="43"/>
        <v>0.12621359223300971</v>
      </c>
      <c r="M537" s="18">
        <f t="shared" si="44"/>
        <v>0.87378640776699024</v>
      </c>
    </row>
    <row r="538" spans="1:13" x14ac:dyDescent="0.3">
      <c r="A538" s="22">
        <v>58</v>
      </c>
      <c r="B538" s="22">
        <v>47</v>
      </c>
      <c r="C538" s="23">
        <v>0.81030000000000002</v>
      </c>
      <c r="D538" s="22">
        <v>11</v>
      </c>
      <c r="E538" s="24">
        <v>5.5555555555555556E-4</v>
      </c>
      <c r="F538" s="24">
        <v>1.8055555555555555E-3</v>
      </c>
      <c r="G538" s="24">
        <v>3.1828703703703702E-3</v>
      </c>
      <c r="H538" s="24">
        <v>0.42109999999999997</v>
      </c>
      <c r="I538" s="18">
        <f t="shared" si="41"/>
        <v>8.1030000000000008E-3</v>
      </c>
      <c r="J538" s="18">
        <f t="shared" si="45"/>
        <v>4.2109999999999995E-3</v>
      </c>
      <c r="K538" s="19">
        <f t="shared" si="42"/>
        <v>11</v>
      </c>
      <c r="L538" s="18">
        <f t="shared" si="43"/>
        <v>0.18965517241379309</v>
      </c>
      <c r="M538" s="18">
        <f t="shared" si="44"/>
        <v>0.81034482758620685</v>
      </c>
    </row>
    <row r="539" spans="1:13" x14ac:dyDescent="0.3">
      <c r="A539" s="22">
        <v>212</v>
      </c>
      <c r="B539" s="22">
        <v>194</v>
      </c>
      <c r="C539" s="23">
        <v>0.91510000000000002</v>
      </c>
      <c r="D539" s="22">
        <v>18</v>
      </c>
      <c r="E539" s="24">
        <v>4.3981481481481481E-4</v>
      </c>
      <c r="F539" s="24">
        <v>1.7708333333333332E-3</v>
      </c>
      <c r="G539" s="24">
        <v>3.0208333333333333E-3</v>
      </c>
      <c r="H539" s="24">
        <v>0.51200000000000001</v>
      </c>
      <c r="I539" s="18">
        <f t="shared" si="41"/>
        <v>9.1509999999999994E-3</v>
      </c>
      <c r="J539" s="18">
        <f t="shared" si="45"/>
        <v>5.1200000000000004E-3</v>
      </c>
      <c r="K539" s="19">
        <f t="shared" si="42"/>
        <v>18</v>
      </c>
      <c r="L539" s="18">
        <f t="shared" si="43"/>
        <v>8.4905660377358486E-2</v>
      </c>
      <c r="M539" s="18">
        <f t="shared" si="44"/>
        <v>0.91509433962264153</v>
      </c>
    </row>
    <row r="540" spans="1:13" x14ac:dyDescent="0.3">
      <c r="A540" s="22">
        <v>232</v>
      </c>
      <c r="B540" s="22">
        <v>214</v>
      </c>
      <c r="C540" s="23">
        <v>0.9224</v>
      </c>
      <c r="D540" s="22">
        <v>18</v>
      </c>
      <c r="E540" s="24">
        <v>3.9351851851851852E-4</v>
      </c>
      <c r="F540" s="24">
        <v>1.8055555555555555E-3</v>
      </c>
      <c r="G540" s="24">
        <v>3.8194444444444443E-3</v>
      </c>
      <c r="H540" s="24">
        <v>0.55900000000000005</v>
      </c>
      <c r="I540" s="18">
        <f t="shared" si="41"/>
        <v>9.2239999999999996E-3</v>
      </c>
      <c r="J540" s="18">
        <f t="shared" si="45"/>
        <v>5.5900000000000004E-3</v>
      </c>
      <c r="K540" s="19">
        <f t="shared" si="42"/>
        <v>18</v>
      </c>
      <c r="L540" s="18">
        <f t="shared" si="43"/>
        <v>7.7586206896551727E-2</v>
      </c>
      <c r="M540" s="18">
        <f t="shared" si="44"/>
        <v>0.92241379310344829</v>
      </c>
    </row>
    <row r="541" spans="1:13" x14ac:dyDescent="0.3">
      <c r="A541" s="22">
        <v>348</v>
      </c>
      <c r="B541" s="22">
        <v>327</v>
      </c>
      <c r="C541" s="23">
        <v>0.93969999999999998</v>
      </c>
      <c r="D541" s="22">
        <v>21</v>
      </c>
      <c r="E541" s="24">
        <v>3.7037037037037035E-4</v>
      </c>
      <c r="F541" s="24">
        <v>1.712962962962963E-3</v>
      </c>
      <c r="G541" s="24">
        <v>5.092592592592593E-3</v>
      </c>
      <c r="H541" s="24">
        <v>0.54620000000000002</v>
      </c>
      <c r="I541" s="18">
        <f t="shared" si="41"/>
        <v>9.3969999999999991E-3</v>
      </c>
      <c r="J541" s="18">
        <f t="shared" si="45"/>
        <v>5.4619999999999998E-3</v>
      </c>
      <c r="K541" s="19">
        <f t="shared" si="42"/>
        <v>21</v>
      </c>
      <c r="L541" s="18">
        <f t="shared" si="43"/>
        <v>6.0344827586206899E-2</v>
      </c>
      <c r="M541" s="18">
        <f t="shared" si="44"/>
        <v>0.93965517241379315</v>
      </c>
    </row>
    <row r="542" spans="1:13" x14ac:dyDescent="0.3">
      <c r="A542" s="22">
        <v>167</v>
      </c>
      <c r="B542" s="22">
        <v>156</v>
      </c>
      <c r="C542" s="23">
        <v>0.93410000000000004</v>
      </c>
      <c r="D542" s="22">
        <v>11</v>
      </c>
      <c r="E542" s="24">
        <v>3.7037037037037035E-4</v>
      </c>
      <c r="F542" s="24">
        <v>1.8865740740740742E-3</v>
      </c>
      <c r="G542" s="24">
        <v>2.0486111111111113E-3</v>
      </c>
      <c r="H542" s="24">
        <v>0.56789999999999996</v>
      </c>
      <c r="I542" s="18">
        <f t="shared" si="41"/>
        <v>9.3410000000000003E-3</v>
      </c>
      <c r="J542" s="18">
        <f t="shared" si="45"/>
        <v>5.679E-3</v>
      </c>
      <c r="K542" s="19">
        <f t="shared" si="42"/>
        <v>11</v>
      </c>
      <c r="L542" s="18">
        <f t="shared" si="43"/>
        <v>6.5868263473053898E-2</v>
      </c>
      <c r="M542" s="18">
        <f t="shared" si="44"/>
        <v>0.93413173652694614</v>
      </c>
    </row>
    <row r="543" spans="1:13" x14ac:dyDescent="0.3">
      <c r="A543" s="22">
        <v>167</v>
      </c>
      <c r="B543" s="22">
        <v>157</v>
      </c>
      <c r="C543" s="23">
        <v>0.94010000000000005</v>
      </c>
      <c r="D543" s="22">
        <v>10</v>
      </c>
      <c r="E543" s="24">
        <v>3.1250000000000001E-4</v>
      </c>
      <c r="F543" s="24">
        <v>2.0486111111111113E-3</v>
      </c>
      <c r="G543" s="24">
        <v>3.6921296296296298E-3</v>
      </c>
      <c r="H543" s="24">
        <v>0.67479999999999996</v>
      </c>
      <c r="I543" s="18">
        <f t="shared" si="41"/>
        <v>9.4009999999999996E-3</v>
      </c>
      <c r="J543" s="18">
        <f t="shared" si="45"/>
        <v>6.7479999999999997E-3</v>
      </c>
      <c r="K543" s="19">
        <f t="shared" si="42"/>
        <v>10</v>
      </c>
      <c r="L543" s="18">
        <f t="shared" si="43"/>
        <v>5.9880239520958084E-2</v>
      </c>
      <c r="M543" s="18">
        <f t="shared" si="44"/>
        <v>0.94011976047904189</v>
      </c>
    </row>
    <row r="544" spans="1:13" x14ac:dyDescent="0.3">
      <c r="A544" s="22">
        <v>166</v>
      </c>
      <c r="B544" s="22">
        <v>161</v>
      </c>
      <c r="C544" s="23">
        <v>0.96989999999999998</v>
      </c>
      <c r="D544" s="22">
        <v>5</v>
      </c>
      <c r="E544" s="24">
        <v>2.4305555555555555E-4</v>
      </c>
      <c r="F544" s="24">
        <v>1.9097222222222222E-3</v>
      </c>
      <c r="G544" s="24">
        <v>1.0648148148148149E-3</v>
      </c>
      <c r="H544" s="24">
        <v>0.73329999999999995</v>
      </c>
      <c r="I544" s="18">
        <f t="shared" si="41"/>
        <v>9.6989999999999993E-3</v>
      </c>
      <c r="J544" s="18">
        <f t="shared" si="45"/>
        <v>7.3329999999999992E-3</v>
      </c>
      <c r="K544" s="19">
        <f t="shared" si="42"/>
        <v>5</v>
      </c>
      <c r="L544" s="18">
        <f t="shared" si="43"/>
        <v>3.0120481927710843E-2</v>
      </c>
      <c r="M544" s="18">
        <f t="shared" si="44"/>
        <v>0.96987951807228912</v>
      </c>
    </row>
    <row r="545" spans="1:13" x14ac:dyDescent="0.3">
      <c r="A545" s="22">
        <v>32</v>
      </c>
      <c r="B545" s="22">
        <v>28</v>
      </c>
      <c r="C545" s="23">
        <v>0.875</v>
      </c>
      <c r="D545" s="22">
        <v>4</v>
      </c>
      <c r="E545" s="24">
        <v>2.5462962962962961E-4</v>
      </c>
      <c r="F545" s="24">
        <v>1.8865740740740742E-3</v>
      </c>
      <c r="G545" s="24">
        <v>5.2662037037037035E-3</v>
      </c>
      <c r="H545" s="24">
        <v>0.6452</v>
      </c>
      <c r="I545" s="18">
        <f t="shared" si="41"/>
        <v>8.7500000000000008E-3</v>
      </c>
      <c r="J545" s="18">
        <f t="shared" si="45"/>
        <v>6.4520000000000003E-3</v>
      </c>
      <c r="K545" s="19">
        <f t="shared" si="42"/>
        <v>4</v>
      </c>
      <c r="L545" s="18">
        <f t="shared" si="43"/>
        <v>0.125</v>
      </c>
      <c r="M545" s="18">
        <f t="shared" si="44"/>
        <v>0.875</v>
      </c>
    </row>
    <row r="546" spans="1:13" x14ac:dyDescent="0.3">
      <c r="A546" s="22">
        <v>52</v>
      </c>
      <c r="B546" s="22">
        <v>49</v>
      </c>
      <c r="C546" s="23">
        <v>0.94230000000000003</v>
      </c>
      <c r="D546" s="22">
        <v>3</v>
      </c>
      <c r="E546" s="24">
        <v>3.7037037037037035E-4</v>
      </c>
      <c r="F546" s="24">
        <v>2.0601851851851853E-3</v>
      </c>
      <c r="G546" s="24">
        <v>2.1064814814814813E-3</v>
      </c>
      <c r="H546" s="24">
        <v>0.63460000000000005</v>
      </c>
      <c r="I546" s="18">
        <f t="shared" si="41"/>
        <v>9.4230000000000008E-3</v>
      </c>
      <c r="J546" s="18">
        <f t="shared" si="45"/>
        <v>6.3460000000000009E-3</v>
      </c>
      <c r="K546" s="19">
        <f t="shared" si="42"/>
        <v>3</v>
      </c>
      <c r="L546" s="18">
        <f t="shared" si="43"/>
        <v>5.7692307692307696E-2</v>
      </c>
      <c r="M546" s="18">
        <f t="shared" si="44"/>
        <v>0.94230769230769229</v>
      </c>
    </row>
    <row r="547" spans="1:13" x14ac:dyDescent="0.3">
      <c r="A547" s="22">
        <v>154</v>
      </c>
      <c r="B547" s="22">
        <v>149</v>
      </c>
      <c r="C547" s="23">
        <v>0.96750000000000003</v>
      </c>
      <c r="D547" s="22">
        <v>5</v>
      </c>
      <c r="E547" s="24">
        <v>3.0092592592592595E-4</v>
      </c>
      <c r="F547" s="24">
        <v>1.9907407407407408E-3</v>
      </c>
      <c r="G547" s="24">
        <v>1.2731481481481483E-3</v>
      </c>
      <c r="H547" s="24">
        <v>0.64900000000000002</v>
      </c>
      <c r="I547" s="18">
        <f t="shared" si="41"/>
        <v>9.6749999999999996E-3</v>
      </c>
      <c r="J547" s="18">
        <f t="shared" si="45"/>
        <v>6.4900000000000001E-3</v>
      </c>
      <c r="K547" s="19">
        <f t="shared" si="42"/>
        <v>5</v>
      </c>
      <c r="L547" s="18">
        <f t="shared" si="43"/>
        <v>3.2467532467532464E-2</v>
      </c>
      <c r="M547" s="18">
        <f t="shared" si="44"/>
        <v>0.96753246753246758</v>
      </c>
    </row>
    <row r="548" spans="1:13" x14ac:dyDescent="0.3">
      <c r="A548" s="22">
        <v>223</v>
      </c>
      <c r="B548" s="22">
        <v>218</v>
      </c>
      <c r="C548" s="23">
        <v>0.97760000000000002</v>
      </c>
      <c r="D548" s="22">
        <v>5</v>
      </c>
      <c r="E548" s="24">
        <v>2.0833333333333335E-4</v>
      </c>
      <c r="F548" s="24">
        <v>1.4699074074074074E-3</v>
      </c>
      <c r="G548" s="24">
        <v>1.3888888888888889E-3</v>
      </c>
      <c r="H548" s="24">
        <v>0.80089999999999995</v>
      </c>
      <c r="I548" s="18">
        <f t="shared" si="41"/>
        <v>9.776E-3</v>
      </c>
      <c r="J548" s="18">
        <f t="shared" si="45"/>
        <v>8.0089999999999988E-3</v>
      </c>
      <c r="K548" s="19">
        <f t="shared" si="42"/>
        <v>5</v>
      </c>
      <c r="L548" s="18">
        <f t="shared" si="43"/>
        <v>2.2421524663677129E-2</v>
      </c>
      <c r="M548" s="18">
        <f t="shared" si="44"/>
        <v>0.97757847533632292</v>
      </c>
    </row>
    <row r="549" spans="1:13" x14ac:dyDescent="0.3">
      <c r="A549" s="22">
        <v>170</v>
      </c>
      <c r="B549" s="22">
        <v>157</v>
      </c>
      <c r="C549" s="23">
        <v>0.92349999999999999</v>
      </c>
      <c r="D549" s="22">
        <v>13</v>
      </c>
      <c r="E549" s="24">
        <v>1.9675925925925926E-4</v>
      </c>
      <c r="F549" s="24">
        <v>2.1296296296296298E-3</v>
      </c>
      <c r="G549" s="24">
        <v>4.4560185185185189E-3</v>
      </c>
      <c r="H549" s="24">
        <v>0.78439999999999999</v>
      </c>
      <c r="I549" s="18">
        <f t="shared" si="41"/>
        <v>9.2350000000000002E-3</v>
      </c>
      <c r="J549" s="18">
        <f t="shared" si="45"/>
        <v>7.8440000000000003E-3</v>
      </c>
      <c r="K549" s="19">
        <f t="shared" si="42"/>
        <v>13</v>
      </c>
      <c r="L549" s="18">
        <f t="shared" si="43"/>
        <v>7.6470588235294124E-2</v>
      </c>
      <c r="M549" s="18">
        <f t="shared" si="44"/>
        <v>0.92352941176470593</v>
      </c>
    </row>
    <row r="550" spans="1:13" x14ac:dyDescent="0.3">
      <c r="A550" s="22">
        <v>145</v>
      </c>
      <c r="B550" s="22">
        <v>133</v>
      </c>
      <c r="C550" s="23">
        <v>0.91720000000000002</v>
      </c>
      <c r="D550" s="22">
        <v>12</v>
      </c>
      <c r="E550" s="24">
        <v>3.0092592592592595E-4</v>
      </c>
      <c r="F550" s="24">
        <v>2.0370370370370369E-3</v>
      </c>
      <c r="G550" s="24">
        <v>2.5347222222222221E-3</v>
      </c>
      <c r="H550" s="24">
        <v>0.69230000000000003</v>
      </c>
      <c r="I550" s="18">
        <f t="shared" si="41"/>
        <v>9.1719999999999996E-3</v>
      </c>
      <c r="J550" s="18">
        <f t="shared" si="45"/>
        <v>6.9230000000000003E-3</v>
      </c>
      <c r="K550" s="19">
        <f t="shared" si="42"/>
        <v>12</v>
      </c>
      <c r="L550" s="18">
        <f t="shared" si="43"/>
        <v>8.2758620689655171E-2</v>
      </c>
      <c r="M550" s="18">
        <f t="shared" si="44"/>
        <v>0.91724137931034477</v>
      </c>
    </row>
    <row r="551" spans="1:13" x14ac:dyDescent="0.3">
      <c r="A551" s="22">
        <v>144</v>
      </c>
      <c r="B551" s="22">
        <v>138</v>
      </c>
      <c r="C551" s="23">
        <v>0.95830000000000004</v>
      </c>
      <c r="D551" s="22">
        <v>6</v>
      </c>
      <c r="E551" s="24">
        <v>1.9675925925925926E-4</v>
      </c>
      <c r="F551" s="24">
        <v>2.0023148148148148E-3</v>
      </c>
      <c r="G551" s="24">
        <v>1.9097222222222222E-3</v>
      </c>
      <c r="H551" s="24">
        <v>0.83799999999999997</v>
      </c>
      <c r="I551" s="18">
        <f t="shared" si="41"/>
        <v>9.5830000000000012E-3</v>
      </c>
      <c r="J551" s="18">
        <f t="shared" si="45"/>
        <v>8.3800000000000003E-3</v>
      </c>
      <c r="K551" s="19">
        <f t="shared" si="42"/>
        <v>6</v>
      </c>
      <c r="L551" s="18">
        <f t="shared" si="43"/>
        <v>4.1666666666666664E-2</v>
      </c>
      <c r="M551" s="18">
        <f t="shared" si="44"/>
        <v>0.95833333333333337</v>
      </c>
    </row>
    <row r="552" spans="1:13" x14ac:dyDescent="0.3">
      <c r="A552" s="22">
        <v>16</v>
      </c>
      <c r="B552" s="22">
        <v>15</v>
      </c>
      <c r="C552" s="23">
        <v>0.9375</v>
      </c>
      <c r="D552" s="22">
        <v>1</v>
      </c>
      <c r="E552" s="24">
        <v>1.9675925925925926E-4</v>
      </c>
      <c r="F552" s="24">
        <v>2.0833333333333333E-3</v>
      </c>
      <c r="G552" s="24">
        <v>1.9097222222222222E-3</v>
      </c>
      <c r="H552" s="24">
        <v>0.6875</v>
      </c>
      <c r="I552" s="18">
        <f t="shared" si="41"/>
        <v>9.3749999999999997E-3</v>
      </c>
      <c r="J552" s="18">
        <f t="shared" si="45"/>
        <v>6.875E-3</v>
      </c>
      <c r="K552" s="19">
        <f t="shared" si="42"/>
        <v>1</v>
      </c>
      <c r="L552" s="18">
        <f t="shared" si="43"/>
        <v>6.25E-2</v>
      </c>
      <c r="M552" s="18">
        <f t="shared" si="44"/>
        <v>0.9375</v>
      </c>
    </row>
    <row r="553" spans="1:13" x14ac:dyDescent="0.3">
      <c r="A553" s="22">
        <v>135</v>
      </c>
      <c r="B553" s="22">
        <v>131</v>
      </c>
      <c r="C553" s="23">
        <v>0.97040000000000004</v>
      </c>
      <c r="D553" s="22">
        <v>4</v>
      </c>
      <c r="E553" s="24">
        <v>2.3148148148148149E-4</v>
      </c>
      <c r="F553" s="24">
        <v>1.8171296296296297E-3</v>
      </c>
      <c r="G553" s="24">
        <v>1.3888888888888889E-3</v>
      </c>
      <c r="H553" s="24">
        <v>0.76119999999999999</v>
      </c>
      <c r="I553" s="18">
        <f t="shared" si="41"/>
        <v>9.7040000000000008E-3</v>
      </c>
      <c r="J553" s="18">
        <f t="shared" si="45"/>
        <v>7.6119999999999998E-3</v>
      </c>
      <c r="K553" s="19">
        <f t="shared" si="42"/>
        <v>4</v>
      </c>
      <c r="L553" s="18">
        <f t="shared" si="43"/>
        <v>2.9629629629629631E-2</v>
      </c>
      <c r="M553" s="18">
        <f t="shared" si="44"/>
        <v>0.97037037037037033</v>
      </c>
    </row>
    <row r="554" spans="1:13" x14ac:dyDescent="0.3">
      <c r="A554" s="22">
        <v>137</v>
      </c>
      <c r="B554" s="22">
        <v>133</v>
      </c>
      <c r="C554" s="23">
        <v>0.9708</v>
      </c>
      <c r="D554" s="22">
        <v>4</v>
      </c>
      <c r="E554" s="24">
        <v>2.7777777777777778E-4</v>
      </c>
      <c r="F554" s="24">
        <v>1.9560185185185184E-3</v>
      </c>
      <c r="G554" s="24">
        <v>1.9212962962962964E-3</v>
      </c>
      <c r="H554" s="24">
        <v>0.69120000000000004</v>
      </c>
      <c r="I554" s="18">
        <f t="shared" si="41"/>
        <v>9.7079999999999996E-3</v>
      </c>
      <c r="J554" s="18">
        <f t="shared" si="45"/>
        <v>6.9120000000000006E-3</v>
      </c>
      <c r="K554" s="19">
        <f t="shared" si="42"/>
        <v>4</v>
      </c>
      <c r="L554" s="18">
        <f t="shared" si="43"/>
        <v>2.9197080291970802E-2</v>
      </c>
      <c r="M554" s="18">
        <f t="shared" si="44"/>
        <v>0.97080291970802923</v>
      </c>
    </row>
    <row r="555" spans="1:13" x14ac:dyDescent="0.3">
      <c r="A555" s="22">
        <v>149</v>
      </c>
      <c r="B555" s="22">
        <v>144</v>
      </c>
      <c r="C555" s="23">
        <v>0.96640000000000004</v>
      </c>
      <c r="D555" s="22">
        <v>5</v>
      </c>
      <c r="E555" s="24">
        <v>1.9675925925925926E-4</v>
      </c>
      <c r="F555" s="24">
        <v>1.8402777777777777E-3</v>
      </c>
      <c r="G555" s="24">
        <v>1.4120370370370369E-3</v>
      </c>
      <c r="H555" s="24">
        <v>0.8276</v>
      </c>
      <c r="I555" s="18">
        <f t="shared" si="41"/>
        <v>9.6640000000000007E-3</v>
      </c>
      <c r="J555" s="18">
        <f t="shared" si="45"/>
        <v>8.2760000000000004E-3</v>
      </c>
      <c r="K555" s="19">
        <f t="shared" si="42"/>
        <v>5</v>
      </c>
      <c r="L555" s="18">
        <f t="shared" si="43"/>
        <v>3.3557046979865772E-2</v>
      </c>
      <c r="M555" s="18">
        <f t="shared" si="44"/>
        <v>0.96644295302013428</v>
      </c>
    </row>
    <row r="556" spans="1:13" x14ac:dyDescent="0.3">
      <c r="A556" s="22">
        <v>155</v>
      </c>
      <c r="B556" s="22">
        <v>143</v>
      </c>
      <c r="C556" s="23">
        <v>0.92259999999999998</v>
      </c>
      <c r="D556" s="22">
        <v>12</v>
      </c>
      <c r="E556" s="24">
        <v>1.8518518518518518E-4</v>
      </c>
      <c r="F556" s="24">
        <v>1.8634259259259259E-3</v>
      </c>
      <c r="G556" s="24">
        <v>4.4560185185185189E-3</v>
      </c>
      <c r="H556" s="24">
        <v>0.8014</v>
      </c>
      <c r="I556" s="18">
        <f t="shared" si="41"/>
        <v>9.2259999999999998E-3</v>
      </c>
      <c r="J556" s="18">
        <f t="shared" si="45"/>
        <v>8.0140000000000003E-3</v>
      </c>
      <c r="K556" s="19">
        <f t="shared" si="42"/>
        <v>12</v>
      </c>
      <c r="L556" s="18">
        <f t="shared" si="43"/>
        <v>7.7419354838709681E-2</v>
      </c>
      <c r="M556" s="18">
        <f t="shared" si="44"/>
        <v>0.92258064516129035</v>
      </c>
    </row>
    <row r="557" spans="1:13" x14ac:dyDescent="0.3">
      <c r="A557" s="22">
        <v>128</v>
      </c>
      <c r="B557" s="22">
        <v>121</v>
      </c>
      <c r="C557" s="23">
        <v>0.94530000000000003</v>
      </c>
      <c r="D557" s="22">
        <v>7</v>
      </c>
      <c r="E557" s="24">
        <v>2.199074074074074E-4</v>
      </c>
      <c r="F557" s="24">
        <v>2.0254629629629629E-3</v>
      </c>
      <c r="G557" s="24">
        <v>3.1828703703703702E-3</v>
      </c>
      <c r="H557" s="24">
        <v>0.77780000000000005</v>
      </c>
      <c r="I557" s="18">
        <f t="shared" si="41"/>
        <v>9.4529999999999996E-3</v>
      </c>
      <c r="J557" s="18">
        <f t="shared" si="45"/>
        <v>7.7780000000000002E-3</v>
      </c>
      <c r="K557" s="19">
        <f t="shared" si="42"/>
        <v>7</v>
      </c>
      <c r="L557" s="18">
        <f t="shared" si="43"/>
        <v>5.46875E-2</v>
      </c>
      <c r="M557" s="18">
        <f t="shared" si="44"/>
        <v>0.9453125</v>
      </c>
    </row>
    <row r="558" spans="1:13" x14ac:dyDescent="0.3">
      <c r="A558" s="22">
        <v>134</v>
      </c>
      <c r="B558" s="22">
        <v>125</v>
      </c>
      <c r="C558" s="23">
        <v>0.93279999999999996</v>
      </c>
      <c r="D558" s="22">
        <v>9</v>
      </c>
      <c r="E558" s="24">
        <v>2.4305555555555555E-4</v>
      </c>
      <c r="F558" s="24">
        <v>1.8287037037037037E-3</v>
      </c>
      <c r="G558" s="24">
        <v>2.2916666666666667E-3</v>
      </c>
      <c r="H558" s="24">
        <v>0.72519999999999996</v>
      </c>
      <c r="I558" s="18">
        <f t="shared" si="41"/>
        <v>9.3279999999999995E-3</v>
      </c>
      <c r="J558" s="18">
        <f t="shared" si="45"/>
        <v>7.2519999999999998E-3</v>
      </c>
      <c r="K558" s="19">
        <f t="shared" si="42"/>
        <v>9</v>
      </c>
      <c r="L558" s="18">
        <f t="shared" si="43"/>
        <v>6.7164179104477612E-2</v>
      </c>
      <c r="M558" s="18">
        <f t="shared" si="44"/>
        <v>0.93283582089552242</v>
      </c>
    </row>
    <row r="559" spans="1:13" x14ac:dyDescent="0.3">
      <c r="A559" s="22">
        <v>21</v>
      </c>
      <c r="B559" s="22">
        <v>21</v>
      </c>
      <c r="C559" s="23">
        <v>1</v>
      </c>
      <c r="D559" s="22">
        <v>0</v>
      </c>
      <c r="E559" s="24">
        <v>2.6620370370370372E-4</v>
      </c>
      <c r="F559" s="24">
        <v>1.8171296296296297E-3</v>
      </c>
      <c r="G559" s="24">
        <v>1.9675925925925924E-3</v>
      </c>
      <c r="H559" s="24">
        <v>0.76190000000000002</v>
      </c>
      <c r="I559" s="18">
        <f t="shared" si="41"/>
        <v>0.01</v>
      </c>
      <c r="J559" s="18">
        <f t="shared" si="45"/>
        <v>7.6189999999999999E-3</v>
      </c>
      <c r="K559" s="19">
        <f t="shared" si="42"/>
        <v>0</v>
      </c>
      <c r="L559" s="18">
        <f t="shared" si="43"/>
        <v>0</v>
      </c>
      <c r="M559" s="18">
        <f t="shared" si="44"/>
        <v>1</v>
      </c>
    </row>
    <row r="560" spans="1:13" x14ac:dyDescent="0.3">
      <c r="A560" s="22">
        <v>150</v>
      </c>
      <c r="B560" s="22">
        <v>138</v>
      </c>
      <c r="C560" s="23">
        <v>0.92</v>
      </c>
      <c r="D560" s="22">
        <v>12</v>
      </c>
      <c r="E560" s="24">
        <v>3.4722222222222224E-4</v>
      </c>
      <c r="F560" s="24">
        <v>1.9907407407407408E-3</v>
      </c>
      <c r="G560" s="24">
        <v>2.9629629629629628E-3</v>
      </c>
      <c r="H560" s="24">
        <v>0.5867</v>
      </c>
      <c r="I560" s="18">
        <f t="shared" si="41"/>
        <v>9.1999999999999998E-3</v>
      </c>
      <c r="J560" s="18">
        <f t="shared" si="45"/>
        <v>5.8669999999999998E-3</v>
      </c>
      <c r="K560" s="19">
        <f t="shared" si="42"/>
        <v>12</v>
      </c>
      <c r="L560" s="18">
        <f t="shared" si="43"/>
        <v>0.08</v>
      </c>
      <c r="M560" s="18">
        <f t="shared" si="44"/>
        <v>0.92</v>
      </c>
    </row>
    <row r="561" spans="1:13" x14ac:dyDescent="0.3">
      <c r="A561" s="22">
        <v>163</v>
      </c>
      <c r="B561" s="22">
        <v>158</v>
      </c>
      <c r="C561" s="23">
        <v>0.96930000000000005</v>
      </c>
      <c r="D561" s="22">
        <v>5</v>
      </c>
      <c r="E561" s="24">
        <v>1.6203703703703703E-4</v>
      </c>
      <c r="F561" s="24">
        <v>1.712962962962963E-3</v>
      </c>
      <c r="G561" s="24">
        <v>1.4004629629629629E-3</v>
      </c>
      <c r="H561" s="24">
        <v>0.81989999999999996</v>
      </c>
      <c r="I561" s="18">
        <f t="shared" si="41"/>
        <v>9.6930000000000002E-3</v>
      </c>
      <c r="J561" s="18">
        <f t="shared" si="45"/>
        <v>8.1989999999999997E-3</v>
      </c>
      <c r="K561" s="19">
        <f t="shared" si="42"/>
        <v>5</v>
      </c>
      <c r="L561" s="18">
        <f t="shared" si="43"/>
        <v>3.0674846625766871E-2</v>
      </c>
      <c r="M561" s="18">
        <f t="shared" si="44"/>
        <v>0.96932515337423308</v>
      </c>
    </row>
    <row r="562" spans="1:13" x14ac:dyDescent="0.3">
      <c r="A562" s="22">
        <v>160</v>
      </c>
      <c r="B562" s="22">
        <v>151</v>
      </c>
      <c r="C562" s="23">
        <v>0.94379999999999997</v>
      </c>
      <c r="D562" s="22">
        <v>9</v>
      </c>
      <c r="E562" s="24">
        <v>1.3888888888888889E-4</v>
      </c>
      <c r="F562" s="24">
        <v>1.8402777777777777E-3</v>
      </c>
      <c r="G562" s="24">
        <v>2.0486111111111113E-3</v>
      </c>
      <c r="H562" s="24">
        <v>0.87180000000000002</v>
      </c>
      <c r="I562" s="18">
        <f t="shared" si="41"/>
        <v>9.4380000000000002E-3</v>
      </c>
      <c r="J562" s="18">
        <f t="shared" si="45"/>
        <v>8.7180000000000001E-3</v>
      </c>
      <c r="K562" s="19">
        <f t="shared" si="42"/>
        <v>9</v>
      </c>
      <c r="L562" s="18">
        <f t="shared" si="43"/>
        <v>5.6250000000000001E-2</v>
      </c>
      <c r="M562" s="18">
        <f t="shared" si="44"/>
        <v>0.94374999999999998</v>
      </c>
    </row>
    <row r="563" spans="1:13" x14ac:dyDescent="0.3">
      <c r="A563" s="22">
        <v>132</v>
      </c>
      <c r="B563" s="22">
        <v>125</v>
      </c>
      <c r="C563" s="23">
        <v>0.94699999999999995</v>
      </c>
      <c r="D563" s="22">
        <v>7</v>
      </c>
      <c r="E563" s="24">
        <v>3.4722222222222224E-4</v>
      </c>
      <c r="F563" s="24">
        <v>1.9212962962962964E-3</v>
      </c>
      <c r="G563" s="24">
        <v>2.627314814814815E-3</v>
      </c>
      <c r="H563" s="24">
        <v>0.6462</v>
      </c>
      <c r="I563" s="18">
        <f t="shared" si="41"/>
        <v>9.4699999999999993E-3</v>
      </c>
      <c r="J563" s="18">
        <f t="shared" si="45"/>
        <v>6.4619999999999999E-3</v>
      </c>
      <c r="K563" s="19">
        <f t="shared" si="42"/>
        <v>7</v>
      </c>
      <c r="L563" s="18">
        <f t="shared" si="43"/>
        <v>5.3030303030303032E-2</v>
      </c>
      <c r="M563" s="18">
        <f t="shared" si="44"/>
        <v>0.94696969696969702</v>
      </c>
    </row>
    <row r="564" spans="1:13" x14ac:dyDescent="0.3">
      <c r="A564" s="22">
        <v>131</v>
      </c>
      <c r="B564" s="22">
        <v>126</v>
      </c>
      <c r="C564" s="23">
        <v>0.96179999999999999</v>
      </c>
      <c r="D564" s="22">
        <v>5</v>
      </c>
      <c r="E564" s="24">
        <v>1.9675925925925926E-4</v>
      </c>
      <c r="F564" s="24">
        <v>1.9328703703703704E-3</v>
      </c>
      <c r="G564" s="24">
        <v>1.7939814814814815E-3</v>
      </c>
      <c r="H564" s="24">
        <v>0.78290000000000004</v>
      </c>
      <c r="I564" s="18">
        <f t="shared" si="41"/>
        <v>9.6179999999999998E-3</v>
      </c>
      <c r="J564" s="18">
        <f t="shared" si="45"/>
        <v>7.8290000000000009E-3</v>
      </c>
      <c r="K564" s="19">
        <f t="shared" si="42"/>
        <v>5</v>
      </c>
      <c r="L564" s="18">
        <f t="shared" si="43"/>
        <v>3.8167938931297711E-2</v>
      </c>
      <c r="M564" s="18">
        <f t="shared" si="44"/>
        <v>0.96183206106870234</v>
      </c>
    </row>
    <row r="565" spans="1:13" x14ac:dyDescent="0.3">
      <c r="A565" s="22">
        <v>158</v>
      </c>
      <c r="B565" s="22">
        <v>146</v>
      </c>
      <c r="C565" s="23">
        <v>0.92410000000000003</v>
      </c>
      <c r="D565" s="22">
        <v>12</v>
      </c>
      <c r="E565" s="24">
        <v>2.4305555555555555E-4</v>
      </c>
      <c r="F565" s="24">
        <v>1.8749999999999999E-3</v>
      </c>
      <c r="G565" s="24">
        <v>2.5462962962962965E-3</v>
      </c>
      <c r="H565" s="24">
        <v>0.75319999999999998</v>
      </c>
      <c r="I565" s="18">
        <f t="shared" si="41"/>
        <v>9.2410000000000009E-3</v>
      </c>
      <c r="J565" s="18">
        <f t="shared" si="45"/>
        <v>7.5319999999999996E-3</v>
      </c>
      <c r="K565" s="19">
        <f t="shared" si="42"/>
        <v>12</v>
      </c>
      <c r="L565" s="18">
        <f t="shared" si="43"/>
        <v>7.5949367088607597E-2</v>
      </c>
      <c r="M565" s="18">
        <f t="shared" si="44"/>
        <v>0.92405063291139244</v>
      </c>
    </row>
    <row r="566" spans="1:13" x14ac:dyDescent="0.3">
      <c r="A566" s="22">
        <v>19</v>
      </c>
      <c r="B566" s="22">
        <v>16</v>
      </c>
      <c r="C566" s="23">
        <v>0.84209999999999996</v>
      </c>
      <c r="D566" s="22">
        <v>3</v>
      </c>
      <c r="E566" s="24">
        <v>5.9027777777777778E-4</v>
      </c>
      <c r="F566" s="24">
        <v>1.9212962962962964E-3</v>
      </c>
      <c r="G566" s="24">
        <v>2.9398148148148148E-3</v>
      </c>
      <c r="H566" s="24">
        <v>0.47370000000000001</v>
      </c>
      <c r="I566" s="18">
        <f t="shared" si="41"/>
        <v>8.4209999999999997E-3</v>
      </c>
      <c r="J566" s="18">
        <f t="shared" si="45"/>
        <v>4.7369999999999999E-3</v>
      </c>
      <c r="K566" s="19">
        <f t="shared" si="42"/>
        <v>3</v>
      </c>
      <c r="L566" s="18">
        <f t="shared" si="43"/>
        <v>0.15789473684210525</v>
      </c>
      <c r="M566" s="18">
        <f t="shared" si="44"/>
        <v>0.84210526315789469</v>
      </c>
    </row>
    <row r="567" spans="1:13" x14ac:dyDescent="0.3">
      <c r="A567" s="22">
        <v>151</v>
      </c>
      <c r="B567" s="22">
        <v>128</v>
      </c>
      <c r="C567" s="23">
        <v>0.84770000000000001</v>
      </c>
      <c r="D567" s="22">
        <v>23</v>
      </c>
      <c r="E567" s="24">
        <v>6.018518518518519E-4</v>
      </c>
      <c r="F567" s="24">
        <v>1.736111111111111E-3</v>
      </c>
      <c r="G567" s="24">
        <v>3.9120370370370368E-3</v>
      </c>
      <c r="H567" s="24">
        <v>0.37930000000000003</v>
      </c>
      <c r="I567" s="18">
        <f t="shared" si="41"/>
        <v>8.4770000000000002E-3</v>
      </c>
      <c r="J567" s="18">
        <f t="shared" si="45"/>
        <v>3.7930000000000004E-3</v>
      </c>
      <c r="K567" s="19">
        <f t="shared" si="42"/>
        <v>23</v>
      </c>
      <c r="L567" s="18">
        <f t="shared" si="43"/>
        <v>0.15231788079470199</v>
      </c>
      <c r="M567" s="18">
        <f t="shared" si="44"/>
        <v>0.84768211920529801</v>
      </c>
    </row>
    <row r="568" spans="1:13" x14ac:dyDescent="0.3">
      <c r="A568" s="22">
        <v>139</v>
      </c>
      <c r="B568" s="22">
        <v>128</v>
      </c>
      <c r="C568" s="23">
        <v>0.92090000000000005</v>
      </c>
      <c r="D568" s="22">
        <v>11</v>
      </c>
      <c r="E568" s="24">
        <v>3.7037037037037035E-4</v>
      </c>
      <c r="F568" s="24">
        <v>1.8981481481481482E-3</v>
      </c>
      <c r="G568" s="24">
        <v>2.476851851851852E-3</v>
      </c>
      <c r="H568" s="24">
        <v>0.51800000000000002</v>
      </c>
      <c r="I568" s="18">
        <f t="shared" si="41"/>
        <v>9.2090000000000002E-3</v>
      </c>
      <c r="J568" s="18">
        <f t="shared" si="45"/>
        <v>5.1800000000000006E-3</v>
      </c>
      <c r="K568" s="19">
        <f t="shared" si="42"/>
        <v>11</v>
      </c>
      <c r="L568" s="18">
        <f t="shared" si="43"/>
        <v>7.9136690647482008E-2</v>
      </c>
      <c r="M568" s="18">
        <f t="shared" si="44"/>
        <v>0.92086330935251803</v>
      </c>
    </row>
    <row r="569" spans="1:13" x14ac:dyDescent="0.3">
      <c r="A569" s="22">
        <v>166</v>
      </c>
      <c r="B569" s="22">
        <v>135</v>
      </c>
      <c r="C569" s="23">
        <v>0.81330000000000002</v>
      </c>
      <c r="D569" s="22">
        <v>31</v>
      </c>
      <c r="E569" s="24">
        <v>4.7453703703703704E-4</v>
      </c>
      <c r="F569" s="24">
        <v>1.8518518518518519E-3</v>
      </c>
      <c r="G569" s="24">
        <v>3.5763888888888889E-3</v>
      </c>
      <c r="H569" s="24">
        <v>0.46500000000000002</v>
      </c>
      <c r="I569" s="18">
        <f t="shared" si="41"/>
        <v>8.1329999999999996E-3</v>
      </c>
      <c r="J569" s="18">
        <f t="shared" si="45"/>
        <v>4.6500000000000005E-3</v>
      </c>
      <c r="K569" s="19">
        <f t="shared" si="42"/>
        <v>31</v>
      </c>
      <c r="L569" s="18">
        <f t="shared" si="43"/>
        <v>0.18674698795180722</v>
      </c>
      <c r="M569" s="18">
        <f t="shared" si="44"/>
        <v>0.81325301204819278</v>
      </c>
    </row>
    <row r="570" spans="1:13" x14ac:dyDescent="0.3">
      <c r="A570" s="22">
        <v>258</v>
      </c>
      <c r="B570" s="22">
        <v>196</v>
      </c>
      <c r="C570" s="23">
        <v>0.75970000000000004</v>
      </c>
      <c r="D570" s="22">
        <v>62</v>
      </c>
      <c r="E570" s="24">
        <v>8.1018518518518516E-4</v>
      </c>
      <c r="F570" s="24">
        <v>1.736111111111111E-3</v>
      </c>
      <c r="G570" s="24">
        <v>5.4513888888888893E-3</v>
      </c>
      <c r="H570" s="24">
        <v>0.2429</v>
      </c>
      <c r="I570" s="18">
        <f t="shared" si="41"/>
        <v>7.5970000000000005E-3</v>
      </c>
      <c r="J570" s="18">
        <f t="shared" si="45"/>
        <v>2.4290000000000002E-3</v>
      </c>
      <c r="K570" s="19">
        <f t="shared" si="42"/>
        <v>62</v>
      </c>
      <c r="L570" s="18">
        <f t="shared" si="43"/>
        <v>0.24031007751937986</v>
      </c>
      <c r="M570" s="18">
        <f t="shared" si="44"/>
        <v>0.75968992248062017</v>
      </c>
    </row>
    <row r="571" spans="1:13" x14ac:dyDescent="0.3">
      <c r="A571" s="22">
        <v>203</v>
      </c>
      <c r="B571" s="22">
        <v>176</v>
      </c>
      <c r="C571" s="23">
        <v>0.86699999999999999</v>
      </c>
      <c r="D571" s="22">
        <v>27</v>
      </c>
      <c r="E571" s="24">
        <v>4.6296296296296298E-4</v>
      </c>
      <c r="F571" s="24">
        <v>1.736111111111111E-3</v>
      </c>
      <c r="G571" s="24">
        <v>6.3541666666666668E-3</v>
      </c>
      <c r="H571" s="24">
        <v>0.44779999999999998</v>
      </c>
      <c r="I571" s="18">
        <f t="shared" si="41"/>
        <v>8.6700000000000006E-3</v>
      </c>
      <c r="J571" s="18">
        <f t="shared" si="45"/>
        <v>4.4779999999999993E-3</v>
      </c>
      <c r="K571" s="19">
        <f t="shared" si="42"/>
        <v>27</v>
      </c>
      <c r="L571" s="18">
        <f t="shared" si="43"/>
        <v>0.13300492610837439</v>
      </c>
      <c r="M571" s="18">
        <f t="shared" si="44"/>
        <v>0.86699507389162567</v>
      </c>
    </row>
    <row r="572" spans="1:13" x14ac:dyDescent="0.3">
      <c r="A572" s="22">
        <v>182</v>
      </c>
      <c r="B572" s="22">
        <v>162</v>
      </c>
      <c r="C572" s="23">
        <v>0.8901</v>
      </c>
      <c r="D572" s="22">
        <v>20</v>
      </c>
      <c r="E572" s="24">
        <v>2.8935185185185184E-4</v>
      </c>
      <c r="F572" s="24">
        <v>1.9444444444444444E-3</v>
      </c>
      <c r="G572" s="24">
        <v>2.5462962962962965E-3</v>
      </c>
      <c r="H572" s="24">
        <v>0.59430000000000005</v>
      </c>
      <c r="I572" s="18">
        <f t="shared" si="41"/>
        <v>8.9009999999999992E-3</v>
      </c>
      <c r="J572" s="18">
        <f t="shared" si="45"/>
        <v>5.9430000000000004E-3</v>
      </c>
      <c r="K572" s="19">
        <f t="shared" si="42"/>
        <v>20</v>
      </c>
      <c r="L572" s="18">
        <f t="shared" si="43"/>
        <v>0.10989010989010989</v>
      </c>
      <c r="M572" s="18">
        <f t="shared" si="44"/>
        <v>0.89010989010989006</v>
      </c>
    </row>
    <row r="573" spans="1:13" x14ac:dyDescent="0.3">
      <c r="A573" s="22">
        <v>18</v>
      </c>
      <c r="B573" s="22">
        <v>17</v>
      </c>
      <c r="C573" s="23">
        <v>0.94440000000000002</v>
      </c>
      <c r="D573" s="22">
        <v>1</v>
      </c>
      <c r="E573" s="24">
        <v>6.3657407407407413E-4</v>
      </c>
      <c r="F573" s="24">
        <v>2.7893518518518519E-3</v>
      </c>
      <c r="G573" s="24">
        <v>4.0046296296296297E-3</v>
      </c>
      <c r="H573" s="24">
        <v>0.5</v>
      </c>
      <c r="I573" s="18">
        <f t="shared" si="41"/>
        <v>9.444000000000001E-3</v>
      </c>
      <c r="J573" s="18">
        <f t="shared" si="45"/>
        <v>5.0000000000000001E-3</v>
      </c>
      <c r="K573" s="19">
        <f t="shared" si="42"/>
        <v>1</v>
      </c>
      <c r="L573" s="18">
        <f t="shared" si="43"/>
        <v>5.5555555555555552E-2</v>
      </c>
      <c r="M573" s="18">
        <f t="shared" si="44"/>
        <v>0.94444444444444442</v>
      </c>
    </row>
    <row r="574" spans="1:13" x14ac:dyDescent="0.3">
      <c r="A574" s="22">
        <v>215</v>
      </c>
      <c r="B574" s="22">
        <v>170</v>
      </c>
      <c r="C574" s="23">
        <v>0.79069999999999996</v>
      </c>
      <c r="D574" s="22">
        <v>45</v>
      </c>
      <c r="E574" s="24">
        <v>6.3657407407407413E-4</v>
      </c>
      <c r="F574" s="24">
        <v>1.9560185185185184E-3</v>
      </c>
      <c r="G574" s="24">
        <v>5.162037037037037E-3</v>
      </c>
      <c r="H574" s="24">
        <v>0.43059999999999998</v>
      </c>
      <c r="I574" s="18">
        <f t="shared" si="41"/>
        <v>7.9069999999999991E-3</v>
      </c>
      <c r="J574" s="18">
        <f t="shared" si="45"/>
        <v>4.3059999999999999E-3</v>
      </c>
      <c r="K574" s="19">
        <f t="shared" si="42"/>
        <v>45</v>
      </c>
      <c r="L574" s="18">
        <f t="shared" si="43"/>
        <v>0.20930232558139536</v>
      </c>
      <c r="M574" s="18">
        <f t="shared" si="44"/>
        <v>0.79069767441860461</v>
      </c>
    </row>
    <row r="575" spans="1:13" x14ac:dyDescent="0.3">
      <c r="A575" s="22">
        <v>209</v>
      </c>
      <c r="B575" s="22">
        <v>203</v>
      </c>
      <c r="C575" s="23">
        <v>0.97130000000000005</v>
      </c>
      <c r="D575" s="22">
        <v>6</v>
      </c>
      <c r="E575" s="24">
        <v>2.8935185185185184E-4</v>
      </c>
      <c r="F575" s="24">
        <v>1.8749999999999999E-3</v>
      </c>
      <c r="G575" s="24">
        <v>2.5462962962962965E-3</v>
      </c>
      <c r="H575" s="24">
        <v>0.74880000000000002</v>
      </c>
      <c r="I575" s="18">
        <f t="shared" si="41"/>
        <v>9.7130000000000011E-3</v>
      </c>
      <c r="J575" s="18">
        <f t="shared" si="45"/>
        <v>7.4879999999999999E-3</v>
      </c>
      <c r="K575" s="19">
        <f t="shared" si="42"/>
        <v>6</v>
      </c>
      <c r="L575" s="18">
        <f t="shared" si="43"/>
        <v>2.8708133971291867E-2</v>
      </c>
      <c r="M575" s="18">
        <f t="shared" si="44"/>
        <v>0.9712918660287081</v>
      </c>
    </row>
    <row r="576" spans="1:13" x14ac:dyDescent="0.3">
      <c r="A576" s="22">
        <v>140</v>
      </c>
      <c r="B576" s="22">
        <v>134</v>
      </c>
      <c r="C576" s="23">
        <v>0.95709999999999995</v>
      </c>
      <c r="D576" s="22">
        <v>6</v>
      </c>
      <c r="E576" s="24">
        <v>2.3148148148148149E-4</v>
      </c>
      <c r="F576" s="24">
        <v>2.0717592592592593E-3</v>
      </c>
      <c r="G576" s="24">
        <v>2.3263888888888887E-3</v>
      </c>
      <c r="H576" s="24">
        <v>0.76259999999999994</v>
      </c>
      <c r="I576" s="18">
        <f t="shared" si="41"/>
        <v>9.5709999999999996E-3</v>
      </c>
      <c r="J576" s="18">
        <f t="shared" si="45"/>
        <v>7.6259999999999991E-3</v>
      </c>
      <c r="K576" s="19">
        <f t="shared" si="42"/>
        <v>6</v>
      </c>
      <c r="L576" s="18">
        <f t="shared" si="43"/>
        <v>4.2857142857142858E-2</v>
      </c>
      <c r="M576" s="18">
        <f t="shared" si="44"/>
        <v>0.95714285714285718</v>
      </c>
    </row>
    <row r="577" spans="1:13" x14ac:dyDescent="0.3">
      <c r="A577" s="22">
        <v>124</v>
      </c>
      <c r="B577" s="22">
        <v>110</v>
      </c>
      <c r="C577" s="23">
        <v>0.8871</v>
      </c>
      <c r="D577" s="22">
        <v>14</v>
      </c>
      <c r="E577" s="24">
        <v>1.7361111111111112E-4</v>
      </c>
      <c r="F577" s="24">
        <v>2.0370370370370369E-3</v>
      </c>
      <c r="G577" s="24">
        <v>5.7407407407407407E-3</v>
      </c>
      <c r="H577" s="24">
        <v>0.81820000000000004</v>
      </c>
      <c r="I577" s="18">
        <f t="shared" si="41"/>
        <v>8.8710000000000004E-3</v>
      </c>
      <c r="J577" s="18">
        <f t="shared" si="45"/>
        <v>8.182E-3</v>
      </c>
      <c r="K577" s="19">
        <f t="shared" si="42"/>
        <v>14</v>
      </c>
      <c r="L577" s="18">
        <f t="shared" si="43"/>
        <v>0.11290322580645161</v>
      </c>
      <c r="M577" s="18">
        <f t="shared" si="44"/>
        <v>0.88709677419354838</v>
      </c>
    </row>
    <row r="578" spans="1:13" x14ac:dyDescent="0.3">
      <c r="A578" s="22">
        <v>179</v>
      </c>
      <c r="B578" s="22">
        <v>163</v>
      </c>
      <c r="C578" s="23">
        <v>0.91059999999999997</v>
      </c>
      <c r="D578" s="22">
        <v>16</v>
      </c>
      <c r="E578" s="24">
        <v>2.6620370370370372E-4</v>
      </c>
      <c r="F578" s="24">
        <v>1.8981481481481482E-3</v>
      </c>
      <c r="G578" s="24">
        <v>2.9745370370370373E-3</v>
      </c>
      <c r="H578" s="24">
        <v>0.71589999999999998</v>
      </c>
      <c r="I578" s="18">
        <f t="shared" si="41"/>
        <v>9.1059999999999995E-3</v>
      </c>
      <c r="J578" s="18">
        <f t="shared" si="45"/>
        <v>7.1589999999999996E-3</v>
      </c>
      <c r="K578" s="19">
        <f t="shared" si="42"/>
        <v>16</v>
      </c>
      <c r="L578" s="18">
        <f t="shared" si="43"/>
        <v>8.9385474860335198E-2</v>
      </c>
      <c r="M578" s="18">
        <f t="shared" si="44"/>
        <v>0.91061452513966479</v>
      </c>
    </row>
    <row r="579" spans="1:13" x14ac:dyDescent="0.3">
      <c r="A579" s="22">
        <v>163</v>
      </c>
      <c r="B579" s="22">
        <v>161</v>
      </c>
      <c r="C579" s="23">
        <v>0.98770000000000002</v>
      </c>
      <c r="D579" s="22">
        <v>2</v>
      </c>
      <c r="E579" s="24">
        <v>1.1574074074074075E-4</v>
      </c>
      <c r="F579" s="24">
        <v>1.8518518518518519E-3</v>
      </c>
      <c r="G579" s="24">
        <v>1.2847222222222223E-3</v>
      </c>
      <c r="H579" s="24">
        <v>0.94410000000000005</v>
      </c>
      <c r="I579" s="18">
        <f t="shared" ref="I579:I642" si="46">VALUE(SUBSTITUTE(C579,"%",""))/100</f>
        <v>9.8770000000000004E-3</v>
      </c>
      <c r="J579" s="18">
        <f t="shared" si="45"/>
        <v>9.4409999999999997E-3</v>
      </c>
      <c r="K579" s="19">
        <f t="shared" ref="K579:K642" si="47">A579-B579</f>
        <v>2</v>
      </c>
      <c r="L579" s="18">
        <f t="shared" ref="L579:L642" si="48">D579/A579</f>
        <v>1.2269938650306749E-2</v>
      </c>
      <c r="M579" s="18">
        <f t="shared" ref="M579:M642" si="49">B579/A579</f>
        <v>0.98773006134969321</v>
      </c>
    </row>
    <row r="580" spans="1:13" x14ac:dyDescent="0.3">
      <c r="A580" s="22">
        <v>27</v>
      </c>
      <c r="B580" s="22">
        <v>27</v>
      </c>
      <c r="C580" s="23">
        <v>1</v>
      </c>
      <c r="D580" s="22">
        <v>0</v>
      </c>
      <c r="E580" s="24">
        <v>5.7870370370370373E-5</v>
      </c>
      <c r="F580" s="24">
        <v>1.9444444444444444E-3</v>
      </c>
      <c r="G580" s="24">
        <v>2.199074074074074E-4</v>
      </c>
      <c r="H580" s="24">
        <v>1</v>
      </c>
      <c r="I580" s="18">
        <f t="shared" si="46"/>
        <v>0.01</v>
      </c>
      <c r="J580" s="18">
        <f t="shared" si="45"/>
        <v>0.01</v>
      </c>
      <c r="K580" s="19">
        <f t="shared" si="47"/>
        <v>0</v>
      </c>
      <c r="L580" s="18">
        <f t="shared" si="48"/>
        <v>0</v>
      </c>
      <c r="M580" s="18">
        <f t="shared" si="49"/>
        <v>1</v>
      </c>
    </row>
    <row r="581" spans="1:13" x14ac:dyDescent="0.3">
      <c r="A581" s="22">
        <v>182</v>
      </c>
      <c r="B581" s="22">
        <v>175</v>
      </c>
      <c r="C581" s="23">
        <v>0.96150000000000002</v>
      </c>
      <c r="D581" s="22">
        <v>7</v>
      </c>
      <c r="E581" s="24">
        <v>2.199074074074074E-4</v>
      </c>
      <c r="F581" s="24">
        <v>1.8287037037037037E-3</v>
      </c>
      <c r="G581" s="24">
        <v>2.1759259259259258E-3</v>
      </c>
      <c r="H581" s="24">
        <v>0.79890000000000005</v>
      </c>
      <c r="I581" s="18">
        <f t="shared" si="46"/>
        <v>9.6150000000000003E-3</v>
      </c>
      <c r="J581" s="18">
        <f t="shared" si="45"/>
        <v>7.9890000000000013E-3</v>
      </c>
      <c r="K581" s="19">
        <f t="shared" si="47"/>
        <v>7</v>
      </c>
      <c r="L581" s="18">
        <f t="shared" si="48"/>
        <v>3.8461538461538464E-2</v>
      </c>
      <c r="M581" s="18">
        <f t="shared" si="49"/>
        <v>0.96153846153846156</v>
      </c>
    </row>
    <row r="582" spans="1:13" x14ac:dyDescent="0.3">
      <c r="A582" s="22">
        <v>164</v>
      </c>
      <c r="B582" s="22">
        <v>159</v>
      </c>
      <c r="C582" s="23">
        <v>0.96950000000000003</v>
      </c>
      <c r="D582" s="22">
        <v>5</v>
      </c>
      <c r="E582" s="24">
        <v>1.273148148148148E-4</v>
      </c>
      <c r="F582" s="24">
        <v>1.6550925925925926E-3</v>
      </c>
      <c r="G582" s="24">
        <v>4.4907407407407405E-3</v>
      </c>
      <c r="H582" s="24">
        <v>0.90180000000000005</v>
      </c>
      <c r="I582" s="18">
        <f t="shared" si="46"/>
        <v>9.6950000000000005E-3</v>
      </c>
      <c r="J582" s="18">
        <f t="shared" ref="J582:J645" si="50">VALUE(SUBSTITUTE(H582,"%",""))/100</f>
        <v>9.018E-3</v>
      </c>
      <c r="K582" s="19">
        <f t="shared" si="47"/>
        <v>5</v>
      </c>
      <c r="L582" s="18">
        <f t="shared" si="48"/>
        <v>3.048780487804878E-2</v>
      </c>
      <c r="M582" s="18">
        <f t="shared" si="49"/>
        <v>0.96951219512195119</v>
      </c>
    </row>
    <row r="583" spans="1:13" x14ac:dyDescent="0.3">
      <c r="A583" s="22">
        <v>160</v>
      </c>
      <c r="B583" s="22">
        <v>159</v>
      </c>
      <c r="C583" s="23">
        <v>0.99380000000000002</v>
      </c>
      <c r="D583" s="22">
        <v>1</v>
      </c>
      <c r="E583" s="24">
        <v>5.7870370370370373E-5</v>
      </c>
      <c r="F583" s="24">
        <v>1.8518518518518519E-3</v>
      </c>
      <c r="G583" s="24">
        <v>6.7129629629629625E-4</v>
      </c>
      <c r="H583" s="24">
        <v>0.98740000000000006</v>
      </c>
      <c r="I583" s="18">
        <f t="shared" si="46"/>
        <v>9.9380000000000007E-3</v>
      </c>
      <c r="J583" s="18">
        <f t="shared" si="50"/>
        <v>9.8740000000000008E-3</v>
      </c>
      <c r="K583" s="19">
        <f t="shared" si="47"/>
        <v>1</v>
      </c>
      <c r="L583" s="18">
        <f t="shared" si="48"/>
        <v>6.2500000000000003E-3</v>
      </c>
      <c r="M583" s="18">
        <f t="shared" si="49"/>
        <v>0.99375000000000002</v>
      </c>
    </row>
    <row r="584" spans="1:13" x14ac:dyDescent="0.3">
      <c r="A584" s="22">
        <v>174</v>
      </c>
      <c r="B584" s="22">
        <v>155</v>
      </c>
      <c r="C584" s="23">
        <v>0.89080000000000004</v>
      </c>
      <c r="D584" s="22">
        <v>19</v>
      </c>
      <c r="E584" s="24">
        <v>1.8518518518518518E-4</v>
      </c>
      <c r="F584" s="24">
        <v>1.8634259259259259E-3</v>
      </c>
      <c r="G584" s="24">
        <v>4.6180555555555558E-3</v>
      </c>
      <c r="H584" s="24">
        <v>0.77059999999999995</v>
      </c>
      <c r="I584" s="18">
        <f t="shared" si="46"/>
        <v>8.908000000000001E-3</v>
      </c>
      <c r="J584" s="18">
        <f t="shared" si="50"/>
        <v>7.7059999999999993E-3</v>
      </c>
      <c r="K584" s="19">
        <f t="shared" si="47"/>
        <v>19</v>
      </c>
      <c r="L584" s="18">
        <f t="shared" si="48"/>
        <v>0.10919540229885058</v>
      </c>
      <c r="M584" s="18">
        <f t="shared" si="49"/>
        <v>0.89080459770114939</v>
      </c>
    </row>
    <row r="585" spans="1:13" x14ac:dyDescent="0.3">
      <c r="A585" s="22">
        <v>235</v>
      </c>
      <c r="B585" s="22">
        <v>230</v>
      </c>
      <c r="C585" s="23">
        <v>0.97870000000000001</v>
      </c>
      <c r="D585" s="22">
        <v>5</v>
      </c>
      <c r="E585" s="24">
        <v>5.7870370370370373E-5</v>
      </c>
      <c r="F585" s="24">
        <v>1.7013888888888888E-3</v>
      </c>
      <c r="G585" s="24">
        <v>1.2731481481481483E-3</v>
      </c>
      <c r="H585" s="24">
        <v>0.95740000000000003</v>
      </c>
      <c r="I585" s="18">
        <f t="shared" si="46"/>
        <v>9.7870000000000006E-3</v>
      </c>
      <c r="J585" s="18">
        <f t="shared" si="50"/>
        <v>9.5740000000000009E-3</v>
      </c>
      <c r="K585" s="19">
        <f t="shared" si="47"/>
        <v>5</v>
      </c>
      <c r="L585" s="18">
        <f t="shared" si="48"/>
        <v>2.1276595744680851E-2</v>
      </c>
      <c r="M585" s="18">
        <f t="shared" si="49"/>
        <v>0.97872340425531912</v>
      </c>
    </row>
    <row r="586" spans="1:13" x14ac:dyDescent="0.3">
      <c r="A586" s="22">
        <v>175</v>
      </c>
      <c r="B586" s="22">
        <v>174</v>
      </c>
      <c r="C586" s="23">
        <v>0.99429999999999996</v>
      </c>
      <c r="D586" s="22">
        <v>1</v>
      </c>
      <c r="E586" s="24">
        <v>4.6296296296296294E-5</v>
      </c>
      <c r="F586" s="24">
        <v>1.6898148148148148E-3</v>
      </c>
      <c r="G586" s="24">
        <v>1.3078703703703703E-3</v>
      </c>
      <c r="H586" s="24">
        <v>0.98860000000000003</v>
      </c>
      <c r="I586" s="18">
        <f t="shared" si="46"/>
        <v>9.9430000000000004E-3</v>
      </c>
      <c r="J586" s="18">
        <f t="shared" si="50"/>
        <v>9.8860000000000007E-3</v>
      </c>
      <c r="K586" s="19">
        <f t="shared" si="47"/>
        <v>1</v>
      </c>
      <c r="L586" s="18">
        <f t="shared" si="48"/>
        <v>5.7142857142857143E-3</v>
      </c>
      <c r="M586" s="18">
        <f t="shared" si="49"/>
        <v>0.99428571428571433</v>
      </c>
    </row>
    <row r="587" spans="1:13" x14ac:dyDescent="0.3">
      <c r="A587" s="22">
        <v>25</v>
      </c>
      <c r="B587" s="22">
        <v>25</v>
      </c>
      <c r="C587" s="23">
        <v>1</v>
      </c>
      <c r="D587" s="22">
        <v>0</v>
      </c>
      <c r="E587" s="24">
        <v>4.6296296296296294E-5</v>
      </c>
      <c r="F587" s="24">
        <v>2.2569444444444442E-3</v>
      </c>
      <c r="G587" s="24">
        <v>6.3657407407407413E-4</v>
      </c>
      <c r="H587" s="24">
        <v>0.96</v>
      </c>
      <c r="I587" s="18">
        <f t="shared" si="46"/>
        <v>0.01</v>
      </c>
      <c r="J587" s="18">
        <f t="shared" si="50"/>
        <v>9.5999999999999992E-3</v>
      </c>
      <c r="K587" s="19">
        <f t="shared" si="47"/>
        <v>0</v>
      </c>
      <c r="L587" s="18">
        <f t="shared" si="48"/>
        <v>0</v>
      </c>
      <c r="M587" s="18">
        <f t="shared" si="49"/>
        <v>1</v>
      </c>
    </row>
    <row r="588" spans="1:13" x14ac:dyDescent="0.3">
      <c r="A588" s="22">
        <v>170</v>
      </c>
      <c r="B588" s="22">
        <v>167</v>
      </c>
      <c r="C588" s="23">
        <v>0.98240000000000005</v>
      </c>
      <c r="D588" s="22">
        <v>3</v>
      </c>
      <c r="E588" s="24">
        <v>6.9444444444444444E-5</v>
      </c>
      <c r="F588" s="24">
        <v>1.7939814814814815E-3</v>
      </c>
      <c r="G588" s="24">
        <v>2.5462962962962965E-3</v>
      </c>
      <c r="H588" s="24">
        <v>0.94079999999999997</v>
      </c>
      <c r="I588" s="18">
        <f t="shared" si="46"/>
        <v>9.8240000000000011E-3</v>
      </c>
      <c r="J588" s="18">
        <f t="shared" si="50"/>
        <v>9.4079999999999997E-3</v>
      </c>
      <c r="K588" s="19">
        <f t="shared" si="47"/>
        <v>3</v>
      </c>
      <c r="L588" s="18">
        <f t="shared" si="48"/>
        <v>1.7647058823529412E-2</v>
      </c>
      <c r="M588" s="18">
        <f t="shared" si="49"/>
        <v>0.98235294117647054</v>
      </c>
    </row>
    <row r="589" spans="1:13" x14ac:dyDescent="0.3">
      <c r="A589" s="22">
        <v>187</v>
      </c>
      <c r="B589" s="22">
        <v>168</v>
      </c>
      <c r="C589" s="23">
        <v>0.89839999999999998</v>
      </c>
      <c r="D589" s="22">
        <v>19</v>
      </c>
      <c r="E589" s="24">
        <v>3.0092592592592595E-4</v>
      </c>
      <c r="F589" s="24">
        <v>1.6203703703703703E-3</v>
      </c>
      <c r="G589" s="24">
        <v>3.3449074074074076E-3</v>
      </c>
      <c r="H589" s="24">
        <v>0.70430000000000004</v>
      </c>
      <c r="I589" s="18">
        <f t="shared" si="46"/>
        <v>8.9839999999999989E-3</v>
      </c>
      <c r="J589" s="18">
        <f t="shared" si="50"/>
        <v>7.0430000000000006E-3</v>
      </c>
      <c r="K589" s="19">
        <f t="shared" si="47"/>
        <v>19</v>
      </c>
      <c r="L589" s="18">
        <f t="shared" si="48"/>
        <v>0.10160427807486631</v>
      </c>
      <c r="M589" s="18">
        <f t="shared" si="49"/>
        <v>0.89839572192513373</v>
      </c>
    </row>
    <row r="590" spans="1:13" x14ac:dyDescent="0.3">
      <c r="A590" s="22">
        <v>53</v>
      </c>
      <c r="B590" s="22">
        <v>51</v>
      </c>
      <c r="C590" s="23">
        <v>0.96230000000000004</v>
      </c>
      <c r="D590" s="22">
        <v>2</v>
      </c>
      <c r="E590" s="24">
        <v>6.9444444444444444E-5</v>
      </c>
      <c r="F590" s="24">
        <v>1.724537037037037E-3</v>
      </c>
      <c r="G590" s="24">
        <v>1.2731481481481483E-3</v>
      </c>
      <c r="H590" s="24">
        <v>0.88680000000000003</v>
      </c>
      <c r="I590" s="18">
        <f t="shared" si="46"/>
        <v>9.6229999999999996E-3</v>
      </c>
      <c r="J590" s="18">
        <f t="shared" si="50"/>
        <v>8.8680000000000009E-3</v>
      </c>
      <c r="K590" s="19">
        <f t="shared" si="47"/>
        <v>2</v>
      </c>
      <c r="L590" s="18">
        <f t="shared" si="48"/>
        <v>3.7735849056603772E-2</v>
      </c>
      <c r="M590" s="18">
        <f t="shared" si="49"/>
        <v>0.96226415094339623</v>
      </c>
    </row>
    <row r="591" spans="1:13" x14ac:dyDescent="0.3">
      <c r="A591" s="22">
        <v>121</v>
      </c>
      <c r="B591" s="22">
        <v>117</v>
      </c>
      <c r="C591" s="23">
        <v>0.96689999999999998</v>
      </c>
      <c r="D591" s="22">
        <v>4</v>
      </c>
      <c r="E591" s="24">
        <v>1.5046296296296297E-4</v>
      </c>
      <c r="F591" s="24">
        <v>1.8055555555555555E-3</v>
      </c>
      <c r="G591" s="24">
        <v>1.8634259259259259E-3</v>
      </c>
      <c r="H591" s="24">
        <v>0.85829999999999995</v>
      </c>
      <c r="I591" s="18">
        <f t="shared" si="46"/>
        <v>9.6690000000000005E-3</v>
      </c>
      <c r="J591" s="18">
        <f t="shared" si="50"/>
        <v>8.5830000000000004E-3</v>
      </c>
      <c r="K591" s="19">
        <f t="shared" si="47"/>
        <v>4</v>
      </c>
      <c r="L591" s="18">
        <f t="shared" si="48"/>
        <v>3.3057851239669422E-2</v>
      </c>
      <c r="M591" s="18">
        <f t="shared" si="49"/>
        <v>0.96694214876033058</v>
      </c>
    </row>
    <row r="592" spans="1:13" x14ac:dyDescent="0.3">
      <c r="A592" s="22">
        <v>143</v>
      </c>
      <c r="B592" s="22">
        <v>139</v>
      </c>
      <c r="C592" s="23">
        <v>0.97199999999999998</v>
      </c>
      <c r="D592" s="22">
        <v>4</v>
      </c>
      <c r="E592" s="24">
        <v>5.7870370370370373E-5</v>
      </c>
      <c r="F592" s="24">
        <v>1.6898148148148148E-3</v>
      </c>
      <c r="G592" s="24">
        <v>1.3425925925925925E-3</v>
      </c>
      <c r="H592" s="24">
        <v>0.94410000000000005</v>
      </c>
      <c r="I592" s="18">
        <f t="shared" si="46"/>
        <v>9.7199999999999995E-3</v>
      </c>
      <c r="J592" s="18">
        <f t="shared" si="50"/>
        <v>9.4409999999999997E-3</v>
      </c>
      <c r="K592" s="19">
        <f t="shared" si="47"/>
        <v>4</v>
      </c>
      <c r="L592" s="18">
        <f t="shared" si="48"/>
        <v>2.7972027972027972E-2</v>
      </c>
      <c r="M592" s="18">
        <f t="shared" si="49"/>
        <v>0.97202797202797198</v>
      </c>
    </row>
    <row r="593" spans="1:13" x14ac:dyDescent="0.3">
      <c r="A593" s="22">
        <v>100</v>
      </c>
      <c r="B593" s="22">
        <v>96</v>
      </c>
      <c r="C593" s="23">
        <v>0.96</v>
      </c>
      <c r="D593" s="22">
        <v>4</v>
      </c>
      <c r="E593" s="24">
        <v>6.9444444444444444E-5</v>
      </c>
      <c r="F593" s="24">
        <v>1.712962962962963E-3</v>
      </c>
      <c r="G593" s="24">
        <v>1.2731481481481483E-3</v>
      </c>
      <c r="H593" s="24">
        <v>0.91920000000000002</v>
      </c>
      <c r="I593" s="18">
        <f t="shared" si="46"/>
        <v>9.5999999999999992E-3</v>
      </c>
      <c r="J593" s="18">
        <f t="shared" si="50"/>
        <v>9.1920000000000005E-3</v>
      </c>
      <c r="K593" s="19">
        <f t="shared" si="47"/>
        <v>4</v>
      </c>
      <c r="L593" s="18">
        <f t="shared" si="48"/>
        <v>0.04</v>
      </c>
      <c r="M593" s="18">
        <f t="shared" si="49"/>
        <v>0.96</v>
      </c>
    </row>
    <row r="594" spans="1:13" x14ac:dyDescent="0.3">
      <c r="A594" s="22">
        <v>17</v>
      </c>
      <c r="B594" s="22">
        <v>17</v>
      </c>
      <c r="C594" s="23">
        <v>1</v>
      </c>
      <c r="D594" s="22">
        <v>0</v>
      </c>
      <c r="E594" s="24">
        <v>9.2592592592592588E-5</v>
      </c>
      <c r="F594" s="24">
        <v>2.0254629629629629E-3</v>
      </c>
      <c r="G594" s="24">
        <v>6.8287037037037036E-4</v>
      </c>
      <c r="H594" s="24">
        <v>0.88239999999999996</v>
      </c>
      <c r="I594" s="18">
        <f t="shared" si="46"/>
        <v>0.01</v>
      </c>
      <c r="J594" s="18">
        <f t="shared" si="50"/>
        <v>8.8240000000000002E-3</v>
      </c>
      <c r="K594" s="19">
        <f t="shared" si="47"/>
        <v>0</v>
      </c>
      <c r="L594" s="18">
        <f t="shared" si="48"/>
        <v>0</v>
      </c>
      <c r="M594" s="18">
        <f t="shared" si="49"/>
        <v>1</v>
      </c>
    </row>
    <row r="595" spans="1:13" x14ac:dyDescent="0.3">
      <c r="A595" s="22">
        <v>113</v>
      </c>
      <c r="B595" s="22">
        <v>110</v>
      </c>
      <c r="C595" s="23">
        <v>0.97350000000000003</v>
      </c>
      <c r="D595" s="22">
        <v>3</v>
      </c>
      <c r="E595" s="24">
        <v>9.2592592592592588E-5</v>
      </c>
      <c r="F595" s="24">
        <v>1.7708333333333332E-3</v>
      </c>
      <c r="G595" s="24">
        <v>9.0277777777777774E-4</v>
      </c>
      <c r="H595" s="24">
        <v>0.90180000000000005</v>
      </c>
      <c r="I595" s="18">
        <f t="shared" si="46"/>
        <v>9.7350000000000006E-3</v>
      </c>
      <c r="J595" s="18">
        <f t="shared" si="50"/>
        <v>9.018E-3</v>
      </c>
      <c r="K595" s="19">
        <f t="shared" si="47"/>
        <v>3</v>
      </c>
      <c r="L595" s="18">
        <f t="shared" si="48"/>
        <v>2.6548672566371681E-2</v>
      </c>
      <c r="M595" s="18">
        <f t="shared" si="49"/>
        <v>0.97345132743362828</v>
      </c>
    </row>
    <row r="596" spans="1:13" x14ac:dyDescent="0.3">
      <c r="A596" s="22">
        <v>139</v>
      </c>
      <c r="B596" s="22">
        <v>128</v>
      </c>
      <c r="C596" s="23">
        <v>0.92090000000000005</v>
      </c>
      <c r="D596" s="22">
        <v>11</v>
      </c>
      <c r="E596" s="24">
        <v>1.5046296296296297E-4</v>
      </c>
      <c r="F596" s="24">
        <v>1.8287037037037037E-3</v>
      </c>
      <c r="G596" s="24">
        <v>2.5462962962962965E-3</v>
      </c>
      <c r="H596" s="24">
        <v>0.82010000000000005</v>
      </c>
      <c r="I596" s="18">
        <f t="shared" si="46"/>
        <v>9.2090000000000002E-3</v>
      </c>
      <c r="J596" s="18">
        <f t="shared" si="50"/>
        <v>8.201E-3</v>
      </c>
      <c r="K596" s="19">
        <f t="shared" si="47"/>
        <v>11</v>
      </c>
      <c r="L596" s="18">
        <f t="shared" si="48"/>
        <v>7.9136690647482008E-2</v>
      </c>
      <c r="M596" s="18">
        <f t="shared" si="49"/>
        <v>0.92086330935251803</v>
      </c>
    </row>
    <row r="597" spans="1:13" x14ac:dyDescent="0.3">
      <c r="A597" s="22">
        <v>135</v>
      </c>
      <c r="B597" s="22">
        <v>134</v>
      </c>
      <c r="C597" s="23">
        <v>0.99260000000000004</v>
      </c>
      <c r="D597" s="22">
        <v>1</v>
      </c>
      <c r="E597" s="24">
        <v>4.6296296296296294E-5</v>
      </c>
      <c r="F597" s="24">
        <v>1.7824074074074075E-3</v>
      </c>
      <c r="G597" s="24">
        <v>1.2731481481481483E-3</v>
      </c>
      <c r="H597" s="24">
        <v>0.98519999999999996</v>
      </c>
      <c r="I597" s="18">
        <f t="shared" si="46"/>
        <v>9.9260000000000008E-3</v>
      </c>
      <c r="J597" s="18">
        <f t="shared" si="50"/>
        <v>9.8519999999999996E-3</v>
      </c>
      <c r="K597" s="19">
        <f t="shared" si="47"/>
        <v>1</v>
      </c>
      <c r="L597" s="18">
        <f t="shared" si="48"/>
        <v>7.4074074074074077E-3</v>
      </c>
      <c r="M597" s="18">
        <f t="shared" si="49"/>
        <v>0.99259259259259258</v>
      </c>
    </row>
    <row r="598" spans="1:13" x14ac:dyDescent="0.3">
      <c r="A598" s="22">
        <v>29</v>
      </c>
      <c r="B598" s="22">
        <v>29</v>
      </c>
      <c r="C598" s="23">
        <v>1</v>
      </c>
      <c r="D598" s="22">
        <v>0</v>
      </c>
      <c r="E598" s="24">
        <v>1.7361111111111112E-4</v>
      </c>
      <c r="F598" s="24">
        <v>2.2337962962962962E-3</v>
      </c>
      <c r="G598" s="24">
        <v>1.0300925925925926E-3</v>
      </c>
      <c r="H598" s="24">
        <v>0.79310000000000003</v>
      </c>
      <c r="I598" s="18">
        <f t="shared" si="46"/>
        <v>0.01</v>
      </c>
      <c r="J598" s="18">
        <f t="shared" si="50"/>
        <v>7.9310000000000005E-3</v>
      </c>
      <c r="K598" s="19">
        <f t="shared" si="47"/>
        <v>0</v>
      </c>
      <c r="L598" s="18">
        <f t="shared" si="48"/>
        <v>0</v>
      </c>
      <c r="M598" s="18">
        <f t="shared" si="49"/>
        <v>1</v>
      </c>
    </row>
    <row r="599" spans="1:13" x14ac:dyDescent="0.3">
      <c r="A599" s="22">
        <v>120</v>
      </c>
      <c r="B599" s="22">
        <v>116</v>
      </c>
      <c r="C599" s="23">
        <v>0.9667</v>
      </c>
      <c r="D599" s="22">
        <v>4</v>
      </c>
      <c r="E599" s="24">
        <v>5.7870370370370373E-5</v>
      </c>
      <c r="F599" s="24">
        <v>1.8865740740740742E-3</v>
      </c>
      <c r="G599" s="24">
        <v>1.9097222222222222E-3</v>
      </c>
      <c r="H599" s="24">
        <v>0.95830000000000004</v>
      </c>
      <c r="I599" s="18">
        <f t="shared" si="46"/>
        <v>9.6670000000000002E-3</v>
      </c>
      <c r="J599" s="18">
        <f t="shared" si="50"/>
        <v>9.5830000000000012E-3</v>
      </c>
      <c r="K599" s="19">
        <f t="shared" si="47"/>
        <v>4</v>
      </c>
      <c r="L599" s="18">
        <f t="shared" si="48"/>
        <v>3.3333333333333333E-2</v>
      </c>
      <c r="M599" s="18">
        <f t="shared" si="49"/>
        <v>0.96666666666666667</v>
      </c>
    </row>
    <row r="600" spans="1:13" x14ac:dyDescent="0.3">
      <c r="A600" s="22">
        <v>115</v>
      </c>
      <c r="B600" s="22">
        <v>108</v>
      </c>
      <c r="C600" s="23">
        <v>0.93910000000000005</v>
      </c>
      <c r="D600" s="22">
        <v>7</v>
      </c>
      <c r="E600" s="24">
        <v>1.0416666666666667E-4</v>
      </c>
      <c r="F600" s="24">
        <v>1.9675925925925924E-3</v>
      </c>
      <c r="G600" s="24">
        <v>3.0671296296296297E-3</v>
      </c>
      <c r="H600" s="24">
        <v>0.88700000000000001</v>
      </c>
      <c r="I600" s="18">
        <f t="shared" si="46"/>
        <v>9.391E-3</v>
      </c>
      <c r="J600" s="18">
        <f t="shared" si="50"/>
        <v>8.8699999999999994E-3</v>
      </c>
      <c r="K600" s="19">
        <f t="shared" si="47"/>
        <v>7</v>
      </c>
      <c r="L600" s="18">
        <f t="shared" si="48"/>
        <v>6.0869565217391307E-2</v>
      </c>
      <c r="M600" s="18">
        <f t="shared" si="49"/>
        <v>0.93913043478260871</v>
      </c>
    </row>
    <row r="601" spans="1:13" x14ac:dyDescent="0.3">
      <c r="A601" s="22">
        <v>14</v>
      </c>
      <c r="B601" s="22">
        <v>14</v>
      </c>
      <c r="C601" s="23">
        <v>1</v>
      </c>
      <c r="D601" s="22">
        <v>0</v>
      </c>
      <c r="E601" s="24">
        <v>1.6203703703703703E-4</v>
      </c>
      <c r="F601" s="24">
        <v>1.5856481481481481E-3</v>
      </c>
      <c r="G601" s="24">
        <v>8.564814814814815E-4</v>
      </c>
      <c r="H601" s="24">
        <v>0.78569999999999995</v>
      </c>
      <c r="I601" s="18">
        <f t="shared" si="46"/>
        <v>0.01</v>
      </c>
      <c r="J601" s="18">
        <f t="shared" si="50"/>
        <v>7.8569999999999994E-3</v>
      </c>
      <c r="K601" s="19">
        <f t="shared" si="47"/>
        <v>0</v>
      </c>
      <c r="L601" s="18">
        <f t="shared" si="48"/>
        <v>0</v>
      </c>
      <c r="M601" s="18">
        <f t="shared" si="49"/>
        <v>1</v>
      </c>
    </row>
    <row r="602" spans="1:13" x14ac:dyDescent="0.3">
      <c r="A602" s="22">
        <v>107</v>
      </c>
      <c r="B602" s="22">
        <v>104</v>
      </c>
      <c r="C602" s="23">
        <v>0.97199999999999998</v>
      </c>
      <c r="D602" s="22">
        <v>3</v>
      </c>
      <c r="E602" s="24">
        <v>8.1018518518518516E-5</v>
      </c>
      <c r="F602" s="24">
        <v>1.724537037037037E-3</v>
      </c>
      <c r="G602" s="24">
        <v>6.7129629629629625E-4</v>
      </c>
      <c r="H602" s="24">
        <v>0.90569999999999995</v>
      </c>
      <c r="I602" s="18">
        <f t="shared" si="46"/>
        <v>9.7199999999999995E-3</v>
      </c>
      <c r="J602" s="18">
        <f t="shared" si="50"/>
        <v>9.0569999999999991E-3</v>
      </c>
      <c r="K602" s="19">
        <f t="shared" si="47"/>
        <v>3</v>
      </c>
      <c r="L602" s="18">
        <f t="shared" si="48"/>
        <v>2.8037383177570093E-2</v>
      </c>
      <c r="M602" s="18">
        <f t="shared" si="49"/>
        <v>0.9719626168224299</v>
      </c>
    </row>
    <row r="603" spans="1:13" x14ac:dyDescent="0.3">
      <c r="A603" s="22">
        <v>137</v>
      </c>
      <c r="B603" s="22">
        <v>128</v>
      </c>
      <c r="C603" s="23">
        <v>0.93430000000000002</v>
      </c>
      <c r="D603" s="22">
        <v>9</v>
      </c>
      <c r="E603" s="24">
        <v>1.1574074074074075E-4</v>
      </c>
      <c r="F603" s="24">
        <v>1.736111111111111E-3</v>
      </c>
      <c r="G603" s="24">
        <v>1.4236111111111112E-3</v>
      </c>
      <c r="H603" s="24">
        <v>0.85289999999999999</v>
      </c>
      <c r="I603" s="18">
        <f t="shared" si="46"/>
        <v>9.3430000000000006E-3</v>
      </c>
      <c r="J603" s="18">
        <f t="shared" si="50"/>
        <v>8.5290000000000001E-3</v>
      </c>
      <c r="K603" s="19">
        <f t="shared" si="47"/>
        <v>9</v>
      </c>
      <c r="L603" s="18">
        <f t="shared" si="48"/>
        <v>6.569343065693431E-2</v>
      </c>
      <c r="M603" s="18">
        <f t="shared" si="49"/>
        <v>0.93430656934306566</v>
      </c>
    </row>
    <row r="604" spans="1:13" x14ac:dyDescent="0.3">
      <c r="A604" s="22">
        <v>106</v>
      </c>
      <c r="B604" s="22">
        <v>105</v>
      </c>
      <c r="C604" s="23">
        <v>0.99060000000000004</v>
      </c>
      <c r="D604" s="22">
        <v>1</v>
      </c>
      <c r="E604" s="24">
        <v>1.273148148148148E-4</v>
      </c>
      <c r="F604" s="24">
        <v>1.9328703703703704E-3</v>
      </c>
      <c r="G604" s="24">
        <v>1.3078703703703703E-3</v>
      </c>
      <c r="H604" s="24">
        <v>0.85850000000000004</v>
      </c>
      <c r="I604" s="18">
        <f t="shared" si="46"/>
        <v>9.9059999999999999E-3</v>
      </c>
      <c r="J604" s="18">
        <f t="shared" si="50"/>
        <v>8.5850000000000006E-3</v>
      </c>
      <c r="K604" s="19">
        <f t="shared" si="47"/>
        <v>1</v>
      </c>
      <c r="L604" s="18">
        <f t="shared" si="48"/>
        <v>9.433962264150943E-3</v>
      </c>
      <c r="M604" s="18">
        <f t="shared" si="49"/>
        <v>0.99056603773584906</v>
      </c>
    </row>
    <row r="605" spans="1:13" x14ac:dyDescent="0.3">
      <c r="A605" s="22">
        <v>116</v>
      </c>
      <c r="B605" s="22">
        <v>108</v>
      </c>
      <c r="C605" s="23">
        <v>0.93100000000000005</v>
      </c>
      <c r="D605" s="22">
        <v>8</v>
      </c>
      <c r="E605" s="24">
        <v>2.199074074074074E-4</v>
      </c>
      <c r="F605" s="24">
        <v>1.6898148148148148E-3</v>
      </c>
      <c r="G605" s="24">
        <v>1.7708333333333332E-3</v>
      </c>
      <c r="H605" s="24">
        <v>0.8407</v>
      </c>
      <c r="I605" s="18">
        <f t="shared" si="46"/>
        <v>9.3100000000000006E-3</v>
      </c>
      <c r="J605" s="18">
        <f t="shared" si="50"/>
        <v>8.4069999999999995E-3</v>
      </c>
      <c r="K605" s="19">
        <f t="shared" si="47"/>
        <v>8</v>
      </c>
      <c r="L605" s="18">
        <f t="shared" si="48"/>
        <v>6.8965517241379309E-2</v>
      </c>
      <c r="M605" s="18">
        <f t="shared" si="49"/>
        <v>0.93103448275862066</v>
      </c>
    </row>
    <row r="606" spans="1:13" x14ac:dyDescent="0.3">
      <c r="A606" s="22">
        <v>120</v>
      </c>
      <c r="B606" s="22">
        <v>117</v>
      </c>
      <c r="C606" s="23">
        <v>0.97499999999999998</v>
      </c>
      <c r="D606" s="22">
        <v>3</v>
      </c>
      <c r="E606" s="24">
        <v>1.0416666666666667E-4</v>
      </c>
      <c r="F606" s="24">
        <v>1.8171296296296297E-3</v>
      </c>
      <c r="G606" s="24">
        <v>7.5231481481481482E-4</v>
      </c>
      <c r="H606" s="24">
        <v>0.90759999999999996</v>
      </c>
      <c r="I606" s="18">
        <f t="shared" si="46"/>
        <v>9.75E-3</v>
      </c>
      <c r="J606" s="18">
        <f t="shared" si="50"/>
        <v>9.075999999999999E-3</v>
      </c>
      <c r="K606" s="19">
        <f t="shared" si="47"/>
        <v>3</v>
      </c>
      <c r="L606" s="18">
        <f t="shared" si="48"/>
        <v>2.5000000000000001E-2</v>
      </c>
      <c r="M606" s="18">
        <f t="shared" si="49"/>
        <v>0.97499999999999998</v>
      </c>
    </row>
    <row r="607" spans="1:13" x14ac:dyDescent="0.3">
      <c r="A607" s="22">
        <v>123</v>
      </c>
      <c r="B607" s="22">
        <v>121</v>
      </c>
      <c r="C607" s="23">
        <v>0.98370000000000002</v>
      </c>
      <c r="D607" s="22">
        <v>2</v>
      </c>
      <c r="E607" s="24">
        <v>8.1018518518518516E-5</v>
      </c>
      <c r="F607" s="24">
        <v>1.7013888888888888E-3</v>
      </c>
      <c r="G607" s="24">
        <v>1.3310185185185185E-3</v>
      </c>
      <c r="H607" s="24">
        <v>0.91059999999999997</v>
      </c>
      <c r="I607" s="18">
        <f t="shared" si="46"/>
        <v>9.8370000000000003E-3</v>
      </c>
      <c r="J607" s="18">
        <f t="shared" si="50"/>
        <v>9.1059999999999995E-3</v>
      </c>
      <c r="K607" s="19">
        <f t="shared" si="47"/>
        <v>2</v>
      </c>
      <c r="L607" s="18">
        <f t="shared" si="48"/>
        <v>1.6260162601626018E-2</v>
      </c>
      <c r="M607" s="18">
        <f t="shared" si="49"/>
        <v>0.98373983739837401</v>
      </c>
    </row>
    <row r="608" spans="1:13" x14ac:dyDescent="0.3">
      <c r="A608" s="22">
        <v>31</v>
      </c>
      <c r="B608" s="22">
        <v>31</v>
      </c>
      <c r="C608" s="23">
        <v>1</v>
      </c>
      <c r="D608" s="22">
        <v>0</v>
      </c>
      <c r="E608" s="24">
        <v>3.4722222222222222E-5</v>
      </c>
      <c r="F608" s="24">
        <v>1.5972222222222223E-3</v>
      </c>
      <c r="G608" s="24">
        <v>3.4722222222222222E-5</v>
      </c>
      <c r="H608" s="24">
        <v>1</v>
      </c>
      <c r="I608" s="18">
        <f t="shared" si="46"/>
        <v>0.01</v>
      </c>
      <c r="J608" s="18">
        <f t="shared" si="50"/>
        <v>0.01</v>
      </c>
      <c r="K608" s="19">
        <f t="shared" si="47"/>
        <v>0</v>
      </c>
      <c r="L608" s="18">
        <f t="shared" si="48"/>
        <v>0</v>
      </c>
      <c r="M608" s="18">
        <f t="shared" si="49"/>
        <v>1</v>
      </c>
    </row>
    <row r="609" spans="1:13" x14ac:dyDescent="0.3">
      <c r="A609" s="22">
        <v>140</v>
      </c>
      <c r="B609" s="22">
        <v>139</v>
      </c>
      <c r="C609" s="23">
        <v>0.9929</v>
      </c>
      <c r="D609" s="22">
        <v>1</v>
      </c>
      <c r="E609" s="24">
        <v>9.2592592592592588E-5</v>
      </c>
      <c r="F609" s="24">
        <v>1.8402777777777777E-3</v>
      </c>
      <c r="G609" s="24">
        <v>8.2175925925925927E-4</v>
      </c>
      <c r="H609" s="24">
        <v>0.9214</v>
      </c>
      <c r="I609" s="18">
        <f t="shared" si="46"/>
        <v>9.9290000000000003E-3</v>
      </c>
      <c r="J609" s="18">
        <f t="shared" si="50"/>
        <v>9.214E-3</v>
      </c>
      <c r="K609" s="19">
        <f t="shared" si="47"/>
        <v>1</v>
      </c>
      <c r="L609" s="18">
        <f t="shared" si="48"/>
        <v>7.1428571428571426E-3</v>
      </c>
      <c r="M609" s="18">
        <f t="shared" si="49"/>
        <v>0.99285714285714288</v>
      </c>
    </row>
    <row r="610" spans="1:13" x14ac:dyDescent="0.3">
      <c r="A610" s="22">
        <v>168</v>
      </c>
      <c r="B610" s="22">
        <v>161</v>
      </c>
      <c r="C610" s="23">
        <v>0.95830000000000004</v>
      </c>
      <c r="D610" s="22">
        <v>7</v>
      </c>
      <c r="E610" s="24">
        <v>2.0833333333333335E-4</v>
      </c>
      <c r="F610" s="24">
        <v>1.6666666666666668E-3</v>
      </c>
      <c r="G610" s="24">
        <v>1.6666666666666668E-3</v>
      </c>
      <c r="H610" s="24">
        <v>0.73650000000000004</v>
      </c>
      <c r="I610" s="18">
        <f t="shared" si="46"/>
        <v>9.5830000000000012E-3</v>
      </c>
      <c r="J610" s="18">
        <f t="shared" si="50"/>
        <v>7.365E-3</v>
      </c>
      <c r="K610" s="19">
        <f t="shared" si="47"/>
        <v>7</v>
      </c>
      <c r="L610" s="18">
        <f t="shared" si="48"/>
        <v>4.1666666666666664E-2</v>
      </c>
      <c r="M610" s="18">
        <f t="shared" si="49"/>
        <v>0.95833333333333337</v>
      </c>
    </row>
    <row r="611" spans="1:13" x14ac:dyDescent="0.3">
      <c r="A611" s="22">
        <v>146</v>
      </c>
      <c r="B611" s="22">
        <v>144</v>
      </c>
      <c r="C611" s="23">
        <v>0.98629999999999995</v>
      </c>
      <c r="D611" s="22">
        <v>2</v>
      </c>
      <c r="E611" s="24">
        <v>6.9444444444444444E-5</v>
      </c>
      <c r="F611" s="24">
        <v>1.8287037037037037E-3</v>
      </c>
      <c r="G611" s="24">
        <v>6.7129629629629625E-4</v>
      </c>
      <c r="H611" s="24">
        <v>0.94479999999999997</v>
      </c>
      <c r="I611" s="18">
        <f t="shared" si="46"/>
        <v>9.8630000000000002E-3</v>
      </c>
      <c r="J611" s="18">
        <f t="shared" si="50"/>
        <v>9.4479999999999998E-3</v>
      </c>
      <c r="K611" s="19">
        <f t="shared" si="47"/>
        <v>2</v>
      </c>
      <c r="L611" s="18">
        <f t="shared" si="48"/>
        <v>1.3698630136986301E-2</v>
      </c>
      <c r="M611" s="18">
        <f t="shared" si="49"/>
        <v>0.98630136986301364</v>
      </c>
    </row>
    <row r="612" spans="1:13" x14ac:dyDescent="0.3">
      <c r="A612" s="22">
        <v>110</v>
      </c>
      <c r="B612" s="22">
        <v>106</v>
      </c>
      <c r="C612" s="23">
        <v>0.96360000000000001</v>
      </c>
      <c r="D612" s="22">
        <v>4</v>
      </c>
      <c r="E612" s="24">
        <v>1.7361111111111112E-4</v>
      </c>
      <c r="F612" s="24">
        <v>1.9675925925925924E-3</v>
      </c>
      <c r="G612" s="24">
        <v>1.736111111111111E-3</v>
      </c>
      <c r="H612" s="24">
        <v>0.8</v>
      </c>
      <c r="I612" s="18">
        <f t="shared" si="46"/>
        <v>9.6360000000000005E-3</v>
      </c>
      <c r="J612" s="18">
        <f t="shared" si="50"/>
        <v>8.0000000000000002E-3</v>
      </c>
      <c r="K612" s="19">
        <f t="shared" si="47"/>
        <v>4</v>
      </c>
      <c r="L612" s="18">
        <f t="shared" si="48"/>
        <v>3.6363636363636362E-2</v>
      </c>
      <c r="M612" s="18">
        <f t="shared" si="49"/>
        <v>0.96363636363636362</v>
      </c>
    </row>
    <row r="613" spans="1:13" x14ac:dyDescent="0.3">
      <c r="A613" s="22">
        <v>342</v>
      </c>
      <c r="B613" s="22">
        <v>333</v>
      </c>
      <c r="C613" s="23">
        <v>0.97370000000000001</v>
      </c>
      <c r="D613" s="22">
        <v>9</v>
      </c>
      <c r="E613" s="24">
        <v>1.7361111111111112E-4</v>
      </c>
      <c r="F613" s="24">
        <v>1.5046296296296296E-3</v>
      </c>
      <c r="G613" s="24">
        <v>1.8402777777777777E-3</v>
      </c>
      <c r="H613" s="24">
        <v>0.81420000000000003</v>
      </c>
      <c r="I613" s="18">
        <f t="shared" si="46"/>
        <v>9.7370000000000009E-3</v>
      </c>
      <c r="J613" s="18">
        <f t="shared" si="50"/>
        <v>8.1419999999999999E-3</v>
      </c>
      <c r="K613" s="19">
        <f t="shared" si="47"/>
        <v>9</v>
      </c>
      <c r="L613" s="18">
        <f t="shared" si="48"/>
        <v>2.6315789473684209E-2</v>
      </c>
      <c r="M613" s="18">
        <f t="shared" si="49"/>
        <v>0.97368421052631582</v>
      </c>
    </row>
    <row r="614" spans="1:13" x14ac:dyDescent="0.3">
      <c r="A614" s="22">
        <v>190</v>
      </c>
      <c r="B614" s="22">
        <v>183</v>
      </c>
      <c r="C614" s="23">
        <v>0.96319999999999995</v>
      </c>
      <c r="D614" s="22">
        <v>7</v>
      </c>
      <c r="E614" s="24">
        <v>1.8518518518518518E-4</v>
      </c>
      <c r="F614" s="24">
        <v>1.7592592592592592E-3</v>
      </c>
      <c r="G614" s="24">
        <v>1.3773148148148147E-3</v>
      </c>
      <c r="H614" s="24">
        <v>0.78949999999999998</v>
      </c>
      <c r="I614" s="18">
        <f t="shared" si="46"/>
        <v>9.6319999999999999E-3</v>
      </c>
      <c r="J614" s="18">
        <f t="shared" si="50"/>
        <v>7.8949999999999992E-3</v>
      </c>
      <c r="K614" s="19">
        <f t="shared" si="47"/>
        <v>7</v>
      </c>
      <c r="L614" s="18">
        <f t="shared" si="48"/>
        <v>3.6842105263157891E-2</v>
      </c>
      <c r="M614" s="18">
        <f t="shared" si="49"/>
        <v>0.9631578947368421</v>
      </c>
    </row>
    <row r="615" spans="1:13" x14ac:dyDescent="0.3">
      <c r="A615" s="22">
        <v>25</v>
      </c>
      <c r="B615" s="22">
        <v>24</v>
      </c>
      <c r="C615" s="23">
        <v>0.96</v>
      </c>
      <c r="D615" s="22">
        <v>1</v>
      </c>
      <c r="E615" s="24">
        <v>6.9444444444444444E-5</v>
      </c>
      <c r="F615" s="24">
        <v>1.6435185185185185E-3</v>
      </c>
      <c r="G615" s="24">
        <v>5.5555555555555556E-4</v>
      </c>
      <c r="H615" s="24">
        <v>0.91669999999999996</v>
      </c>
      <c r="I615" s="18">
        <f t="shared" si="46"/>
        <v>9.5999999999999992E-3</v>
      </c>
      <c r="J615" s="18">
        <f t="shared" si="50"/>
        <v>9.1669999999999998E-3</v>
      </c>
      <c r="K615" s="19">
        <f t="shared" si="47"/>
        <v>1</v>
      </c>
      <c r="L615" s="18">
        <f t="shared" si="48"/>
        <v>0.04</v>
      </c>
      <c r="M615" s="18">
        <f t="shared" si="49"/>
        <v>0.96</v>
      </c>
    </row>
    <row r="616" spans="1:13" x14ac:dyDescent="0.3">
      <c r="A616" s="22">
        <v>169</v>
      </c>
      <c r="B616" s="22">
        <v>162</v>
      </c>
      <c r="C616" s="23">
        <v>0.95860000000000001</v>
      </c>
      <c r="D616" s="22">
        <v>7</v>
      </c>
      <c r="E616" s="24">
        <v>1.0416666666666667E-4</v>
      </c>
      <c r="F616" s="24">
        <v>1.7476851851851852E-3</v>
      </c>
      <c r="G616" s="24">
        <v>3.1944444444444446E-3</v>
      </c>
      <c r="H616" s="24">
        <v>0.89159999999999995</v>
      </c>
      <c r="I616" s="18">
        <f t="shared" si="46"/>
        <v>9.5860000000000008E-3</v>
      </c>
      <c r="J616" s="18">
        <f t="shared" si="50"/>
        <v>8.9160000000000003E-3</v>
      </c>
      <c r="K616" s="19">
        <f t="shared" si="47"/>
        <v>7</v>
      </c>
      <c r="L616" s="18">
        <f t="shared" si="48"/>
        <v>4.142011834319527E-2</v>
      </c>
      <c r="M616" s="18">
        <f t="shared" si="49"/>
        <v>0.95857988165680474</v>
      </c>
    </row>
    <row r="617" spans="1:13" x14ac:dyDescent="0.3">
      <c r="A617" s="22">
        <v>130</v>
      </c>
      <c r="B617" s="22">
        <v>129</v>
      </c>
      <c r="C617" s="23">
        <v>0.99229999999999996</v>
      </c>
      <c r="D617" s="22">
        <v>1</v>
      </c>
      <c r="E617" s="24">
        <v>1.273148148148148E-4</v>
      </c>
      <c r="F617" s="24">
        <v>1.736111111111111E-3</v>
      </c>
      <c r="G617" s="24">
        <v>1.2962962962962963E-3</v>
      </c>
      <c r="H617" s="24">
        <v>0.86919999999999997</v>
      </c>
      <c r="I617" s="18">
        <f t="shared" si="46"/>
        <v>9.9229999999999995E-3</v>
      </c>
      <c r="J617" s="18">
        <f t="shared" si="50"/>
        <v>8.6920000000000001E-3</v>
      </c>
      <c r="K617" s="19">
        <f t="shared" si="47"/>
        <v>1</v>
      </c>
      <c r="L617" s="18">
        <f t="shared" si="48"/>
        <v>7.6923076923076927E-3</v>
      </c>
      <c r="M617" s="18">
        <f t="shared" si="49"/>
        <v>0.99230769230769234</v>
      </c>
    </row>
    <row r="618" spans="1:13" x14ac:dyDescent="0.3">
      <c r="A618" s="22">
        <v>22</v>
      </c>
      <c r="B618" s="22">
        <v>20</v>
      </c>
      <c r="C618" s="23">
        <v>0.90910000000000002</v>
      </c>
      <c r="D618" s="22">
        <v>2</v>
      </c>
      <c r="E618" s="24">
        <v>1.0416666666666667E-4</v>
      </c>
      <c r="F618" s="24">
        <v>2.2569444444444442E-3</v>
      </c>
      <c r="G618" s="24">
        <v>1.2731481481481483E-3</v>
      </c>
      <c r="H618" s="24">
        <v>0.90480000000000005</v>
      </c>
      <c r="I618" s="18">
        <f t="shared" si="46"/>
        <v>9.0910000000000001E-3</v>
      </c>
      <c r="J618" s="18">
        <f t="shared" si="50"/>
        <v>9.0480000000000005E-3</v>
      </c>
      <c r="K618" s="19">
        <f t="shared" si="47"/>
        <v>2</v>
      </c>
      <c r="L618" s="18">
        <f t="shared" si="48"/>
        <v>9.0909090909090912E-2</v>
      </c>
      <c r="M618" s="18">
        <f t="shared" si="49"/>
        <v>0.90909090909090906</v>
      </c>
    </row>
    <row r="619" spans="1:13" x14ac:dyDescent="0.3">
      <c r="A619" s="22">
        <v>5</v>
      </c>
      <c r="B619" s="22">
        <v>5</v>
      </c>
      <c r="C619" s="23">
        <v>1</v>
      </c>
      <c r="D619" s="22">
        <v>0</v>
      </c>
      <c r="E619" s="24">
        <v>3.2407407407407406E-4</v>
      </c>
      <c r="F619" s="24">
        <v>1.6782407407407408E-3</v>
      </c>
      <c r="G619" s="24">
        <v>8.564814814814815E-4</v>
      </c>
      <c r="H619" s="24">
        <v>0.6</v>
      </c>
      <c r="I619" s="18">
        <f t="shared" si="46"/>
        <v>0.01</v>
      </c>
      <c r="J619" s="18">
        <f t="shared" si="50"/>
        <v>6.0000000000000001E-3</v>
      </c>
      <c r="K619" s="19">
        <f t="shared" si="47"/>
        <v>0</v>
      </c>
      <c r="L619" s="18">
        <f t="shared" si="48"/>
        <v>0</v>
      </c>
      <c r="M619" s="18">
        <f t="shared" si="49"/>
        <v>1</v>
      </c>
    </row>
    <row r="620" spans="1:13" x14ac:dyDescent="0.3">
      <c r="A620" s="22">
        <v>119</v>
      </c>
      <c r="B620" s="22">
        <v>115</v>
      </c>
      <c r="C620" s="23">
        <v>0.96640000000000004</v>
      </c>
      <c r="D620" s="22">
        <v>4</v>
      </c>
      <c r="E620" s="24">
        <v>1.273148148148148E-4</v>
      </c>
      <c r="F620" s="24">
        <v>1.712962962962963E-3</v>
      </c>
      <c r="G620" s="24">
        <v>1.2731481481481483E-3</v>
      </c>
      <c r="H620" s="24">
        <v>0.86439999999999995</v>
      </c>
      <c r="I620" s="18">
        <f t="shared" si="46"/>
        <v>9.6640000000000007E-3</v>
      </c>
      <c r="J620" s="18">
        <f t="shared" si="50"/>
        <v>8.6439999999999989E-3</v>
      </c>
      <c r="K620" s="19">
        <f t="shared" si="47"/>
        <v>4</v>
      </c>
      <c r="L620" s="18">
        <f t="shared" si="48"/>
        <v>3.3613445378151259E-2</v>
      </c>
      <c r="M620" s="18">
        <f t="shared" si="49"/>
        <v>0.96638655462184875</v>
      </c>
    </row>
    <row r="621" spans="1:13" x14ac:dyDescent="0.3">
      <c r="A621" s="22">
        <v>140</v>
      </c>
      <c r="B621" s="22">
        <v>138</v>
      </c>
      <c r="C621" s="23">
        <v>0.98570000000000002</v>
      </c>
      <c r="D621" s="22">
        <v>2</v>
      </c>
      <c r="E621" s="24">
        <v>1.0416666666666667E-4</v>
      </c>
      <c r="F621" s="24">
        <v>1.5856481481481481E-3</v>
      </c>
      <c r="G621" s="24">
        <v>1.5162037037037036E-3</v>
      </c>
      <c r="H621" s="24">
        <v>0.9214</v>
      </c>
      <c r="I621" s="18">
        <f t="shared" si="46"/>
        <v>9.8569999999999994E-3</v>
      </c>
      <c r="J621" s="18">
        <f t="shared" si="50"/>
        <v>9.214E-3</v>
      </c>
      <c r="K621" s="19">
        <f t="shared" si="47"/>
        <v>2</v>
      </c>
      <c r="L621" s="18">
        <f t="shared" si="48"/>
        <v>1.4285714285714285E-2</v>
      </c>
      <c r="M621" s="18">
        <f t="shared" si="49"/>
        <v>0.98571428571428577</v>
      </c>
    </row>
    <row r="622" spans="1:13" x14ac:dyDescent="0.3">
      <c r="A622" s="22">
        <v>22</v>
      </c>
      <c r="B622" s="22">
        <v>22</v>
      </c>
      <c r="C622" s="23">
        <v>1</v>
      </c>
      <c r="D622" s="22">
        <v>0</v>
      </c>
      <c r="E622" s="24">
        <v>6.9444444444444444E-5</v>
      </c>
      <c r="F622" s="24">
        <v>1.6319444444444445E-3</v>
      </c>
      <c r="G622" s="24">
        <v>5.5555555555555556E-4</v>
      </c>
      <c r="H622" s="24">
        <v>0.90910000000000002</v>
      </c>
      <c r="I622" s="18">
        <f t="shared" si="46"/>
        <v>0.01</v>
      </c>
      <c r="J622" s="18">
        <f t="shared" si="50"/>
        <v>9.0910000000000001E-3</v>
      </c>
      <c r="K622" s="19">
        <f t="shared" si="47"/>
        <v>0</v>
      </c>
      <c r="L622" s="18">
        <f t="shared" si="48"/>
        <v>0</v>
      </c>
      <c r="M622" s="18">
        <f t="shared" si="49"/>
        <v>1</v>
      </c>
    </row>
    <row r="623" spans="1:13" x14ac:dyDescent="0.3">
      <c r="A623" s="22">
        <v>126</v>
      </c>
      <c r="B623" s="22">
        <v>124</v>
      </c>
      <c r="C623" s="23">
        <v>0.98409999999999997</v>
      </c>
      <c r="D623" s="22">
        <v>2</v>
      </c>
      <c r="E623" s="24">
        <v>9.2592592592592588E-5</v>
      </c>
      <c r="F623" s="24">
        <v>1.7939814814814815E-3</v>
      </c>
      <c r="G623" s="24">
        <v>6.7129629629629625E-4</v>
      </c>
      <c r="H623" s="24">
        <v>0.94399999999999995</v>
      </c>
      <c r="I623" s="18">
        <f t="shared" si="46"/>
        <v>9.8409999999999991E-3</v>
      </c>
      <c r="J623" s="18">
        <f t="shared" si="50"/>
        <v>9.4399999999999987E-3</v>
      </c>
      <c r="K623" s="19">
        <f t="shared" si="47"/>
        <v>2</v>
      </c>
      <c r="L623" s="18">
        <f t="shared" si="48"/>
        <v>1.5873015873015872E-2</v>
      </c>
      <c r="M623" s="18">
        <f t="shared" si="49"/>
        <v>0.98412698412698407</v>
      </c>
    </row>
    <row r="624" spans="1:13" x14ac:dyDescent="0.3">
      <c r="A624" s="22">
        <v>122</v>
      </c>
      <c r="B624" s="22">
        <v>111</v>
      </c>
      <c r="C624" s="23">
        <v>0.90980000000000005</v>
      </c>
      <c r="D624" s="22">
        <v>11</v>
      </c>
      <c r="E624" s="24">
        <v>1.5046296296296297E-4</v>
      </c>
      <c r="F624" s="24">
        <v>1.8865740740740742E-3</v>
      </c>
      <c r="G624" s="24">
        <v>1.5393518518518519E-3</v>
      </c>
      <c r="H624" s="24">
        <v>0.77690000000000003</v>
      </c>
      <c r="I624" s="18">
        <f t="shared" si="46"/>
        <v>9.0980000000000002E-3</v>
      </c>
      <c r="J624" s="18">
        <f t="shared" si="50"/>
        <v>7.7690000000000007E-3</v>
      </c>
      <c r="K624" s="19">
        <f t="shared" si="47"/>
        <v>11</v>
      </c>
      <c r="L624" s="18">
        <f t="shared" si="48"/>
        <v>9.0163934426229511E-2</v>
      </c>
      <c r="M624" s="18">
        <f t="shared" si="49"/>
        <v>0.9098360655737705</v>
      </c>
    </row>
    <row r="625" spans="1:13" x14ac:dyDescent="0.3">
      <c r="A625" s="22">
        <v>113</v>
      </c>
      <c r="B625" s="22">
        <v>108</v>
      </c>
      <c r="C625" s="23">
        <v>0.95579999999999998</v>
      </c>
      <c r="D625" s="22">
        <v>5</v>
      </c>
      <c r="E625" s="24">
        <v>1.5046296296296297E-4</v>
      </c>
      <c r="F625" s="24">
        <v>1.7476851851851852E-3</v>
      </c>
      <c r="G625" s="24">
        <v>1.0069444444444444E-3</v>
      </c>
      <c r="H625" s="24">
        <v>0.82879999999999998</v>
      </c>
      <c r="I625" s="18">
        <f t="shared" si="46"/>
        <v>9.5580000000000005E-3</v>
      </c>
      <c r="J625" s="18">
        <f t="shared" si="50"/>
        <v>8.2880000000000002E-3</v>
      </c>
      <c r="K625" s="19">
        <f t="shared" si="47"/>
        <v>5</v>
      </c>
      <c r="L625" s="18">
        <f t="shared" si="48"/>
        <v>4.4247787610619468E-2</v>
      </c>
      <c r="M625" s="18">
        <f t="shared" si="49"/>
        <v>0.95575221238938057</v>
      </c>
    </row>
    <row r="626" spans="1:13" x14ac:dyDescent="0.3">
      <c r="A626" s="22">
        <v>119</v>
      </c>
      <c r="B626" s="22">
        <v>109</v>
      </c>
      <c r="C626" s="23">
        <v>0.91600000000000004</v>
      </c>
      <c r="D626" s="22">
        <v>10</v>
      </c>
      <c r="E626" s="24">
        <v>1.9675925925925926E-4</v>
      </c>
      <c r="F626" s="24">
        <v>1.8055555555555555E-3</v>
      </c>
      <c r="G626" s="24">
        <v>3.6458333333333334E-3</v>
      </c>
      <c r="H626" s="24">
        <v>0.83620000000000005</v>
      </c>
      <c r="I626" s="18">
        <f t="shared" si="46"/>
        <v>9.1599999999999997E-3</v>
      </c>
      <c r="J626" s="18">
        <f t="shared" si="50"/>
        <v>8.3620000000000014E-3</v>
      </c>
      <c r="K626" s="19">
        <f t="shared" si="47"/>
        <v>10</v>
      </c>
      <c r="L626" s="18">
        <f t="shared" si="48"/>
        <v>8.4033613445378158E-2</v>
      </c>
      <c r="M626" s="18">
        <f t="shared" si="49"/>
        <v>0.91596638655462181</v>
      </c>
    </row>
    <row r="627" spans="1:13" x14ac:dyDescent="0.3">
      <c r="A627" s="22">
        <v>134</v>
      </c>
      <c r="B627" s="22">
        <v>119</v>
      </c>
      <c r="C627" s="23">
        <v>0.8881</v>
      </c>
      <c r="D627" s="22">
        <v>15</v>
      </c>
      <c r="E627" s="24">
        <v>2.7777777777777778E-4</v>
      </c>
      <c r="F627" s="24">
        <v>1.9212962962962964E-3</v>
      </c>
      <c r="G627" s="24">
        <v>1.9097222222222222E-3</v>
      </c>
      <c r="H627" s="24">
        <v>0.63429999999999997</v>
      </c>
      <c r="I627" s="18">
        <f t="shared" si="46"/>
        <v>8.881E-3</v>
      </c>
      <c r="J627" s="18">
        <f t="shared" si="50"/>
        <v>6.3429999999999997E-3</v>
      </c>
      <c r="K627" s="19">
        <f t="shared" si="47"/>
        <v>15</v>
      </c>
      <c r="L627" s="18">
        <f t="shared" si="48"/>
        <v>0.11194029850746269</v>
      </c>
      <c r="M627" s="18">
        <f t="shared" si="49"/>
        <v>0.88805970149253732</v>
      </c>
    </row>
    <row r="628" spans="1:13" x14ac:dyDescent="0.3">
      <c r="A628" s="22">
        <v>101</v>
      </c>
      <c r="B628" s="22">
        <v>97</v>
      </c>
      <c r="C628" s="23">
        <v>0.96040000000000003</v>
      </c>
      <c r="D628" s="22">
        <v>4</v>
      </c>
      <c r="E628" s="24">
        <v>1.8518518518518518E-4</v>
      </c>
      <c r="F628" s="24">
        <v>1.7708333333333332E-3</v>
      </c>
      <c r="G628" s="24">
        <v>1.1342592592592593E-3</v>
      </c>
      <c r="H628" s="24">
        <v>0.77</v>
      </c>
      <c r="I628" s="18">
        <f t="shared" si="46"/>
        <v>9.6039999999999997E-3</v>
      </c>
      <c r="J628" s="18">
        <f t="shared" si="50"/>
        <v>7.7000000000000002E-3</v>
      </c>
      <c r="K628" s="19">
        <f t="shared" si="47"/>
        <v>4</v>
      </c>
      <c r="L628" s="18">
        <f t="shared" si="48"/>
        <v>3.9603960396039604E-2</v>
      </c>
      <c r="M628" s="18">
        <f t="shared" si="49"/>
        <v>0.96039603960396036</v>
      </c>
    </row>
    <row r="629" spans="1:13" x14ac:dyDescent="0.3">
      <c r="A629" s="22">
        <v>20</v>
      </c>
      <c r="B629" s="22">
        <v>20</v>
      </c>
      <c r="C629" s="23">
        <v>1</v>
      </c>
      <c r="D629" s="22">
        <v>0</v>
      </c>
      <c r="E629" s="24">
        <v>4.6296296296296294E-5</v>
      </c>
      <c r="F629" s="24">
        <v>1.6666666666666668E-3</v>
      </c>
      <c r="G629" s="24">
        <v>2.0833333333333335E-4</v>
      </c>
      <c r="H629" s="24">
        <v>1</v>
      </c>
      <c r="I629" s="18">
        <f t="shared" si="46"/>
        <v>0.01</v>
      </c>
      <c r="J629" s="18">
        <f t="shared" si="50"/>
        <v>0.01</v>
      </c>
      <c r="K629" s="19">
        <f t="shared" si="47"/>
        <v>0</v>
      </c>
      <c r="L629" s="18">
        <f t="shared" si="48"/>
        <v>0</v>
      </c>
      <c r="M629" s="18">
        <f t="shared" si="49"/>
        <v>1</v>
      </c>
    </row>
    <row r="630" spans="1:13" x14ac:dyDescent="0.3">
      <c r="A630" s="22">
        <v>169</v>
      </c>
      <c r="B630" s="22">
        <v>162</v>
      </c>
      <c r="C630" s="23">
        <v>0.95860000000000001</v>
      </c>
      <c r="D630" s="22">
        <v>7</v>
      </c>
      <c r="E630" s="24">
        <v>1.9675925925925926E-4</v>
      </c>
      <c r="F630" s="24">
        <v>1.7592592592592592E-3</v>
      </c>
      <c r="G630" s="24">
        <v>3.8310185185185183E-3</v>
      </c>
      <c r="H630" s="24">
        <v>0.80120000000000002</v>
      </c>
      <c r="I630" s="18">
        <f t="shared" si="46"/>
        <v>9.5860000000000008E-3</v>
      </c>
      <c r="J630" s="18">
        <f t="shared" si="50"/>
        <v>8.012E-3</v>
      </c>
      <c r="K630" s="19">
        <f t="shared" si="47"/>
        <v>7</v>
      </c>
      <c r="L630" s="18">
        <f t="shared" si="48"/>
        <v>4.142011834319527E-2</v>
      </c>
      <c r="M630" s="18">
        <f t="shared" si="49"/>
        <v>0.95857988165680474</v>
      </c>
    </row>
    <row r="631" spans="1:13" x14ac:dyDescent="0.3">
      <c r="A631" s="22">
        <v>137</v>
      </c>
      <c r="B631" s="22">
        <v>133</v>
      </c>
      <c r="C631" s="23">
        <v>0.9708</v>
      </c>
      <c r="D631" s="22">
        <v>4</v>
      </c>
      <c r="E631" s="24">
        <v>3.3564814814814812E-4</v>
      </c>
      <c r="F631" s="24">
        <v>1.8171296296296297E-3</v>
      </c>
      <c r="G631" s="24">
        <v>1.8749999999999999E-3</v>
      </c>
      <c r="H631" s="24">
        <v>0.62039999999999995</v>
      </c>
      <c r="I631" s="18">
        <f t="shared" si="46"/>
        <v>9.7079999999999996E-3</v>
      </c>
      <c r="J631" s="18">
        <f t="shared" si="50"/>
        <v>6.2039999999999994E-3</v>
      </c>
      <c r="K631" s="19">
        <f t="shared" si="47"/>
        <v>4</v>
      </c>
      <c r="L631" s="18">
        <f t="shared" si="48"/>
        <v>2.9197080291970802E-2</v>
      </c>
      <c r="M631" s="18">
        <f t="shared" si="49"/>
        <v>0.97080291970802923</v>
      </c>
    </row>
    <row r="632" spans="1:13" x14ac:dyDescent="0.3">
      <c r="A632" s="22">
        <v>133</v>
      </c>
      <c r="B632" s="22">
        <v>127</v>
      </c>
      <c r="C632" s="23">
        <v>0.95489999999999997</v>
      </c>
      <c r="D632" s="22">
        <v>6</v>
      </c>
      <c r="E632" s="24">
        <v>2.0833333333333335E-4</v>
      </c>
      <c r="F632" s="24">
        <v>1.8402777777777777E-3</v>
      </c>
      <c r="G632" s="24">
        <v>3.1944444444444446E-3</v>
      </c>
      <c r="H632" s="24">
        <v>0.81950000000000001</v>
      </c>
      <c r="I632" s="18">
        <f t="shared" si="46"/>
        <v>9.5490000000000002E-3</v>
      </c>
      <c r="J632" s="18">
        <f t="shared" si="50"/>
        <v>8.1950000000000009E-3</v>
      </c>
      <c r="K632" s="19">
        <f t="shared" si="47"/>
        <v>6</v>
      </c>
      <c r="L632" s="18">
        <f t="shared" si="48"/>
        <v>4.5112781954887216E-2</v>
      </c>
      <c r="M632" s="18">
        <f t="shared" si="49"/>
        <v>0.95488721804511278</v>
      </c>
    </row>
    <row r="633" spans="1:13" x14ac:dyDescent="0.3">
      <c r="A633" s="22">
        <v>184</v>
      </c>
      <c r="B633" s="22">
        <v>179</v>
      </c>
      <c r="C633" s="23">
        <v>0.9728</v>
      </c>
      <c r="D633" s="22">
        <v>5</v>
      </c>
      <c r="E633" s="24">
        <v>1.1574074074074075E-4</v>
      </c>
      <c r="F633" s="24">
        <v>1.4236111111111112E-3</v>
      </c>
      <c r="G633" s="24">
        <v>1.8981481481481482E-3</v>
      </c>
      <c r="H633" s="24">
        <v>0.90559999999999996</v>
      </c>
      <c r="I633" s="18">
        <f t="shared" si="46"/>
        <v>9.7280000000000005E-3</v>
      </c>
      <c r="J633" s="18">
        <f t="shared" si="50"/>
        <v>9.0559999999999998E-3</v>
      </c>
      <c r="K633" s="19">
        <f t="shared" si="47"/>
        <v>5</v>
      </c>
      <c r="L633" s="18">
        <f t="shared" si="48"/>
        <v>2.717391304347826E-2</v>
      </c>
      <c r="M633" s="18">
        <f t="shared" si="49"/>
        <v>0.97282608695652173</v>
      </c>
    </row>
    <row r="634" spans="1:13" x14ac:dyDescent="0.3">
      <c r="A634" s="22">
        <v>145</v>
      </c>
      <c r="B634" s="22">
        <v>135</v>
      </c>
      <c r="C634" s="23">
        <v>0.93100000000000005</v>
      </c>
      <c r="D634" s="22">
        <v>10</v>
      </c>
      <c r="E634" s="24">
        <v>2.4305555555555555E-4</v>
      </c>
      <c r="F634" s="24">
        <v>1.7939814814814815E-3</v>
      </c>
      <c r="G634" s="24">
        <v>2.1990740740740742E-3</v>
      </c>
      <c r="H634" s="24">
        <v>0.74129999999999996</v>
      </c>
      <c r="I634" s="18">
        <f t="shared" si="46"/>
        <v>9.3100000000000006E-3</v>
      </c>
      <c r="J634" s="18">
        <f t="shared" si="50"/>
        <v>7.4129999999999995E-3</v>
      </c>
      <c r="K634" s="19">
        <f t="shared" si="47"/>
        <v>10</v>
      </c>
      <c r="L634" s="18">
        <f t="shared" si="48"/>
        <v>6.8965517241379309E-2</v>
      </c>
      <c r="M634" s="18">
        <f t="shared" si="49"/>
        <v>0.93103448275862066</v>
      </c>
    </row>
    <row r="635" spans="1:13" x14ac:dyDescent="0.3">
      <c r="A635" s="22">
        <v>114</v>
      </c>
      <c r="B635" s="22">
        <v>108</v>
      </c>
      <c r="C635" s="23">
        <v>0.94740000000000002</v>
      </c>
      <c r="D635" s="22">
        <v>6</v>
      </c>
      <c r="E635" s="24">
        <v>1.6203703703703703E-4</v>
      </c>
      <c r="F635" s="24">
        <v>1.7476851851851852E-3</v>
      </c>
      <c r="G635" s="24">
        <v>1.7708333333333332E-3</v>
      </c>
      <c r="H635" s="24">
        <v>0.82879999999999998</v>
      </c>
      <c r="I635" s="18">
        <f t="shared" si="46"/>
        <v>9.4739999999999998E-3</v>
      </c>
      <c r="J635" s="18">
        <f t="shared" si="50"/>
        <v>8.2880000000000002E-3</v>
      </c>
      <c r="K635" s="19">
        <f t="shared" si="47"/>
        <v>6</v>
      </c>
      <c r="L635" s="18">
        <f t="shared" si="48"/>
        <v>5.2631578947368418E-2</v>
      </c>
      <c r="M635" s="18">
        <f t="shared" si="49"/>
        <v>0.94736842105263153</v>
      </c>
    </row>
    <row r="636" spans="1:13" x14ac:dyDescent="0.3">
      <c r="A636" s="22">
        <v>24</v>
      </c>
      <c r="B636" s="22">
        <v>23</v>
      </c>
      <c r="C636" s="23">
        <v>0.95830000000000004</v>
      </c>
      <c r="D636" s="22">
        <v>1</v>
      </c>
      <c r="E636" s="24">
        <v>5.7870370370370373E-5</v>
      </c>
      <c r="F636" s="24">
        <v>1.5277777777777779E-3</v>
      </c>
      <c r="G636" s="24">
        <v>6.3657407407407413E-4</v>
      </c>
      <c r="H636" s="24">
        <v>0.95830000000000004</v>
      </c>
      <c r="I636" s="18">
        <f t="shared" si="46"/>
        <v>9.5830000000000012E-3</v>
      </c>
      <c r="J636" s="18">
        <f t="shared" si="50"/>
        <v>9.5830000000000012E-3</v>
      </c>
      <c r="K636" s="19">
        <f t="shared" si="47"/>
        <v>1</v>
      </c>
      <c r="L636" s="18">
        <f t="shared" si="48"/>
        <v>4.1666666666666664E-2</v>
      </c>
      <c r="M636" s="18">
        <f t="shared" si="49"/>
        <v>0.95833333333333337</v>
      </c>
    </row>
    <row r="637" spans="1:13" x14ac:dyDescent="0.3">
      <c r="A637" s="22">
        <v>143</v>
      </c>
      <c r="B637" s="22">
        <v>136</v>
      </c>
      <c r="C637" s="23">
        <v>0.95099999999999996</v>
      </c>
      <c r="D637" s="22">
        <v>7</v>
      </c>
      <c r="E637" s="24">
        <v>1.0416666666666667E-4</v>
      </c>
      <c r="F637" s="24">
        <v>1.7592592592592592E-3</v>
      </c>
      <c r="G637" s="24">
        <v>3.8194444444444443E-3</v>
      </c>
      <c r="H637" s="24">
        <v>0.84509999999999996</v>
      </c>
      <c r="I637" s="18">
        <f t="shared" si="46"/>
        <v>9.5099999999999994E-3</v>
      </c>
      <c r="J637" s="18">
        <f t="shared" si="50"/>
        <v>8.4510000000000002E-3</v>
      </c>
      <c r="K637" s="19">
        <f t="shared" si="47"/>
        <v>7</v>
      </c>
      <c r="L637" s="18">
        <f t="shared" si="48"/>
        <v>4.8951048951048952E-2</v>
      </c>
      <c r="M637" s="18">
        <f t="shared" si="49"/>
        <v>0.95104895104895104</v>
      </c>
    </row>
    <row r="638" spans="1:13" x14ac:dyDescent="0.3">
      <c r="A638" s="22">
        <v>119</v>
      </c>
      <c r="B638" s="22">
        <v>114</v>
      </c>
      <c r="C638" s="23">
        <v>0.95799999999999996</v>
      </c>
      <c r="D638" s="22">
        <v>5</v>
      </c>
      <c r="E638" s="24">
        <v>9.2592592592592588E-5</v>
      </c>
      <c r="F638" s="24">
        <v>1.6435185185185185E-3</v>
      </c>
      <c r="G638" s="24">
        <v>9.1435185185185185E-4</v>
      </c>
      <c r="H638" s="24">
        <v>0.90600000000000003</v>
      </c>
      <c r="I638" s="18">
        <f t="shared" si="46"/>
        <v>9.58E-3</v>
      </c>
      <c r="J638" s="18">
        <f t="shared" si="50"/>
        <v>9.0600000000000003E-3</v>
      </c>
      <c r="K638" s="19">
        <f t="shared" si="47"/>
        <v>5</v>
      </c>
      <c r="L638" s="18">
        <f t="shared" si="48"/>
        <v>4.2016806722689079E-2</v>
      </c>
      <c r="M638" s="18">
        <f t="shared" si="49"/>
        <v>0.95798319327731096</v>
      </c>
    </row>
    <row r="639" spans="1:13" x14ac:dyDescent="0.3">
      <c r="A639" s="22">
        <v>123</v>
      </c>
      <c r="B639" s="22">
        <v>118</v>
      </c>
      <c r="C639" s="23">
        <v>0.95930000000000004</v>
      </c>
      <c r="D639" s="22">
        <v>5</v>
      </c>
      <c r="E639" s="24">
        <v>2.4305555555555555E-4</v>
      </c>
      <c r="F639" s="24">
        <v>1.9212962962962964E-3</v>
      </c>
      <c r="G639" s="24">
        <v>1.8981481481481482E-3</v>
      </c>
      <c r="H639" s="24">
        <v>0.70730000000000004</v>
      </c>
      <c r="I639" s="18">
        <f t="shared" si="46"/>
        <v>9.5930000000000008E-3</v>
      </c>
      <c r="J639" s="18">
        <f t="shared" si="50"/>
        <v>7.0730000000000003E-3</v>
      </c>
      <c r="K639" s="19">
        <f t="shared" si="47"/>
        <v>5</v>
      </c>
      <c r="L639" s="18">
        <f t="shared" si="48"/>
        <v>4.065040650406504E-2</v>
      </c>
      <c r="M639" s="18">
        <f t="shared" si="49"/>
        <v>0.95934959349593496</v>
      </c>
    </row>
    <row r="640" spans="1:13" x14ac:dyDescent="0.3">
      <c r="A640" s="22">
        <v>145</v>
      </c>
      <c r="B640" s="22">
        <v>141</v>
      </c>
      <c r="C640" s="23">
        <v>0.97240000000000004</v>
      </c>
      <c r="D640" s="22">
        <v>4</v>
      </c>
      <c r="E640" s="24">
        <v>1.6203703703703703E-4</v>
      </c>
      <c r="F640" s="24">
        <v>1.8055555555555555E-3</v>
      </c>
      <c r="G640" s="24">
        <v>1.2731481481481483E-3</v>
      </c>
      <c r="H640" s="24">
        <v>0.83330000000000004</v>
      </c>
      <c r="I640" s="18">
        <f t="shared" si="46"/>
        <v>9.724E-3</v>
      </c>
      <c r="J640" s="18">
        <f t="shared" si="50"/>
        <v>8.3330000000000001E-3</v>
      </c>
      <c r="K640" s="19">
        <f t="shared" si="47"/>
        <v>4</v>
      </c>
      <c r="L640" s="18">
        <f t="shared" si="48"/>
        <v>2.7586206896551724E-2</v>
      </c>
      <c r="M640" s="18">
        <f t="shared" si="49"/>
        <v>0.97241379310344822</v>
      </c>
    </row>
    <row r="641" spans="1:13" x14ac:dyDescent="0.3">
      <c r="A641" s="22">
        <v>108</v>
      </c>
      <c r="B641" s="22">
        <v>106</v>
      </c>
      <c r="C641" s="23">
        <v>0.98150000000000004</v>
      </c>
      <c r="D641" s="22">
        <v>2</v>
      </c>
      <c r="E641" s="24">
        <v>3.0092592592592595E-4</v>
      </c>
      <c r="F641" s="24">
        <v>1.9675925925925924E-3</v>
      </c>
      <c r="G641" s="24">
        <v>3.4375E-3</v>
      </c>
      <c r="H641" s="24">
        <v>0.68220000000000003</v>
      </c>
      <c r="I641" s="18">
        <f t="shared" si="46"/>
        <v>9.8150000000000008E-3</v>
      </c>
      <c r="J641" s="18">
        <f t="shared" si="50"/>
        <v>6.8219999999999999E-3</v>
      </c>
      <c r="K641" s="19">
        <f t="shared" si="47"/>
        <v>2</v>
      </c>
      <c r="L641" s="18">
        <f t="shared" si="48"/>
        <v>1.8518518518518517E-2</v>
      </c>
      <c r="M641" s="18">
        <f t="shared" si="49"/>
        <v>0.98148148148148151</v>
      </c>
    </row>
    <row r="642" spans="1:13" x14ac:dyDescent="0.3">
      <c r="A642" s="22">
        <v>128</v>
      </c>
      <c r="B642" s="22">
        <v>125</v>
      </c>
      <c r="C642" s="23">
        <v>0.97660000000000002</v>
      </c>
      <c r="D642" s="22">
        <v>3</v>
      </c>
      <c r="E642" s="24">
        <v>1.5046296296296297E-4</v>
      </c>
      <c r="F642" s="24">
        <v>1.9097222222222222E-3</v>
      </c>
      <c r="G642" s="24">
        <v>1.1805555555555556E-3</v>
      </c>
      <c r="H642" s="24">
        <v>0.82679999999999998</v>
      </c>
      <c r="I642" s="18">
        <f t="shared" si="46"/>
        <v>9.7660000000000004E-3</v>
      </c>
      <c r="J642" s="18">
        <f t="shared" si="50"/>
        <v>8.2679999999999993E-3</v>
      </c>
      <c r="K642" s="19">
        <f t="shared" si="47"/>
        <v>3</v>
      </c>
      <c r="L642" s="18">
        <f t="shared" si="48"/>
        <v>2.34375E-2</v>
      </c>
      <c r="M642" s="18">
        <f t="shared" si="49"/>
        <v>0.9765625</v>
      </c>
    </row>
    <row r="643" spans="1:13" x14ac:dyDescent="0.3">
      <c r="A643" s="22">
        <v>27</v>
      </c>
      <c r="B643" s="22">
        <v>26</v>
      </c>
      <c r="C643" s="23">
        <v>0.96299999999999997</v>
      </c>
      <c r="D643" s="22">
        <v>1</v>
      </c>
      <c r="E643" s="24">
        <v>2.3148148148148149E-4</v>
      </c>
      <c r="F643" s="24">
        <v>1.9791666666666668E-3</v>
      </c>
      <c r="G643" s="24">
        <v>1.8518518518518519E-3</v>
      </c>
      <c r="H643" s="24">
        <v>0.84619999999999995</v>
      </c>
      <c r="I643" s="18">
        <f t="shared" ref="I643:I706" si="51">VALUE(SUBSTITUTE(C643,"%",""))/100</f>
        <v>9.6299999999999997E-3</v>
      </c>
      <c r="J643" s="18">
        <f t="shared" si="50"/>
        <v>8.461999999999999E-3</v>
      </c>
      <c r="K643" s="19">
        <f t="shared" ref="K643:K706" si="52">A643-B643</f>
        <v>1</v>
      </c>
      <c r="L643" s="18">
        <f t="shared" ref="L643:L706" si="53">D643/A643</f>
        <v>3.7037037037037035E-2</v>
      </c>
      <c r="M643" s="18">
        <f t="shared" ref="M643:M706" si="54">B643/A643</f>
        <v>0.96296296296296291</v>
      </c>
    </row>
    <row r="644" spans="1:13" x14ac:dyDescent="0.3">
      <c r="A644" s="22">
        <v>155</v>
      </c>
      <c r="B644" s="22">
        <v>151</v>
      </c>
      <c r="C644" s="23">
        <v>0.97419999999999995</v>
      </c>
      <c r="D644" s="22">
        <v>4</v>
      </c>
      <c r="E644" s="24">
        <v>1.273148148148148E-4</v>
      </c>
      <c r="F644" s="24">
        <v>1.7592592592592592E-3</v>
      </c>
      <c r="G644" s="24">
        <v>1.5972222222222223E-3</v>
      </c>
      <c r="H644" s="24">
        <v>0.89610000000000001</v>
      </c>
      <c r="I644" s="18">
        <f t="shared" si="51"/>
        <v>9.7419999999999989E-3</v>
      </c>
      <c r="J644" s="18">
        <f t="shared" si="50"/>
        <v>8.9610000000000002E-3</v>
      </c>
      <c r="K644" s="19">
        <f t="shared" si="52"/>
        <v>4</v>
      </c>
      <c r="L644" s="18">
        <f t="shared" si="53"/>
        <v>2.5806451612903226E-2</v>
      </c>
      <c r="M644" s="18">
        <f t="shared" si="54"/>
        <v>0.97419354838709682</v>
      </c>
    </row>
    <row r="645" spans="1:13" x14ac:dyDescent="0.3">
      <c r="A645" s="22">
        <v>116</v>
      </c>
      <c r="B645" s="22">
        <v>110</v>
      </c>
      <c r="C645" s="23">
        <v>0.94830000000000003</v>
      </c>
      <c r="D645" s="22">
        <v>6</v>
      </c>
      <c r="E645" s="24">
        <v>2.0833333333333335E-4</v>
      </c>
      <c r="F645" s="24">
        <v>1.6550925925925926E-3</v>
      </c>
      <c r="G645" s="24">
        <v>1.9328703703703704E-3</v>
      </c>
      <c r="H645" s="24">
        <v>0.75</v>
      </c>
      <c r="I645" s="18">
        <f t="shared" si="51"/>
        <v>9.4830000000000001E-3</v>
      </c>
      <c r="J645" s="18">
        <f t="shared" si="50"/>
        <v>7.4999999999999997E-3</v>
      </c>
      <c r="K645" s="19">
        <f t="shared" si="52"/>
        <v>6</v>
      </c>
      <c r="L645" s="18">
        <f t="shared" si="53"/>
        <v>5.1724137931034482E-2</v>
      </c>
      <c r="M645" s="18">
        <f t="shared" si="54"/>
        <v>0.94827586206896552</v>
      </c>
    </row>
    <row r="646" spans="1:13" x14ac:dyDescent="0.3">
      <c r="A646" s="22">
        <v>117</v>
      </c>
      <c r="B646" s="22">
        <v>111</v>
      </c>
      <c r="C646" s="23">
        <v>0.94869999999999999</v>
      </c>
      <c r="D646" s="22">
        <v>6</v>
      </c>
      <c r="E646" s="24">
        <v>2.0833333333333335E-4</v>
      </c>
      <c r="F646" s="24">
        <v>1.8865740740740742E-3</v>
      </c>
      <c r="G646" s="24">
        <v>1.4583333333333334E-3</v>
      </c>
      <c r="H646" s="24">
        <v>0.76519999999999999</v>
      </c>
      <c r="I646" s="18">
        <f t="shared" si="51"/>
        <v>9.4870000000000006E-3</v>
      </c>
      <c r="J646" s="18">
        <f t="shared" ref="J646:J709" si="55">VALUE(SUBSTITUTE(H646,"%",""))/100</f>
        <v>7.6519999999999999E-3</v>
      </c>
      <c r="K646" s="19">
        <f t="shared" si="52"/>
        <v>6</v>
      </c>
      <c r="L646" s="18">
        <f t="shared" si="53"/>
        <v>5.128205128205128E-2</v>
      </c>
      <c r="M646" s="18">
        <f t="shared" si="54"/>
        <v>0.94871794871794868</v>
      </c>
    </row>
    <row r="647" spans="1:13" x14ac:dyDescent="0.3">
      <c r="A647" s="22">
        <v>113</v>
      </c>
      <c r="B647" s="22">
        <v>105</v>
      </c>
      <c r="C647" s="23">
        <v>0.92920000000000003</v>
      </c>
      <c r="D647" s="22">
        <v>8</v>
      </c>
      <c r="E647" s="24">
        <v>3.5879629629629629E-4</v>
      </c>
      <c r="F647" s="24">
        <v>1.8171296296296297E-3</v>
      </c>
      <c r="G647" s="24">
        <v>2.5462962962962965E-3</v>
      </c>
      <c r="H647" s="24">
        <v>0.53979999999999995</v>
      </c>
      <c r="I647" s="18">
        <f t="shared" si="51"/>
        <v>9.2919999999999999E-3</v>
      </c>
      <c r="J647" s="18">
        <f t="shared" si="55"/>
        <v>5.3979999999999992E-3</v>
      </c>
      <c r="K647" s="19">
        <f t="shared" si="52"/>
        <v>8</v>
      </c>
      <c r="L647" s="18">
        <f t="shared" si="53"/>
        <v>7.0796460176991149E-2</v>
      </c>
      <c r="M647" s="18">
        <f t="shared" si="54"/>
        <v>0.92920353982300885</v>
      </c>
    </row>
    <row r="648" spans="1:13" x14ac:dyDescent="0.3">
      <c r="A648" s="22">
        <v>107</v>
      </c>
      <c r="B648" s="22">
        <v>101</v>
      </c>
      <c r="C648" s="23">
        <v>0.94389999999999996</v>
      </c>
      <c r="D648" s="22">
        <v>6</v>
      </c>
      <c r="E648" s="24">
        <v>2.6620370370370372E-4</v>
      </c>
      <c r="F648" s="24">
        <v>1.8981481481481482E-3</v>
      </c>
      <c r="G648" s="24">
        <v>2.2106481481481482E-3</v>
      </c>
      <c r="H648" s="24">
        <v>0.73580000000000001</v>
      </c>
      <c r="I648" s="18">
        <f t="shared" si="51"/>
        <v>9.4389999999999995E-3</v>
      </c>
      <c r="J648" s="18">
        <f t="shared" si="55"/>
        <v>7.358E-3</v>
      </c>
      <c r="K648" s="19">
        <f t="shared" si="52"/>
        <v>6</v>
      </c>
      <c r="L648" s="18">
        <f t="shared" si="53"/>
        <v>5.6074766355140186E-2</v>
      </c>
      <c r="M648" s="18">
        <f t="shared" si="54"/>
        <v>0.94392523364485981</v>
      </c>
    </row>
    <row r="649" spans="1:13" x14ac:dyDescent="0.3">
      <c r="A649" s="22">
        <v>146</v>
      </c>
      <c r="B649" s="22">
        <v>141</v>
      </c>
      <c r="C649" s="23">
        <v>0.96579999999999999</v>
      </c>
      <c r="D649" s="22">
        <v>5</v>
      </c>
      <c r="E649" s="24">
        <v>2.8935185185185184E-4</v>
      </c>
      <c r="F649" s="24">
        <v>1.6435185185185185E-3</v>
      </c>
      <c r="G649" s="24">
        <v>1.9212962962962964E-3</v>
      </c>
      <c r="H649" s="24">
        <v>0.65749999999999997</v>
      </c>
      <c r="I649" s="18">
        <f t="shared" si="51"/>
        <v>9.6579999999999999E-3</v>
      </c>
      <c r="J649" s="18">
        <f t="shared" si="55"/>
        <v>6.5750000000000001E-3</v>
      </c>
      <c r="K649" s="19">
        <f t="shared" si="52"/>
        <v>5</v>
      </c>
      <c r="L649" s="18">
        <f t="shared" si="53"/>
        <v>3.4246575342465752E-2</v>
      </c>
      <c r="M649" s="18">
        <f t="shared" si="54"/>
        <v>0.96575342465753422</v>
      </c>
    </row>
    <row r="650" spans="1:13" x14ac:dyDescent="0.3">
      <c r="A650" s="22">
        <v>29</v>
      </c>
      <c r="B650" s="22">
        <v>26</v>
      </c>
      <c r="C650" s="23">
        <v>0.89659999999999995</v>
      </c>
      <c r="D650" s="22">
        <v>3</v>
      </c>
      <c r="E650" s="24">
        <v>1.0416666666666667E-4</v>
      </c>
      <c r="F650" s="24">
        <v>1.8171296296296297E-3</v>
      </c>
      <c r="G650" s="24">
        <v>1.2731481481481483E-3</v>
      </c>
      <c r="H650" s="24">
        <v>0.85709999999999997</v>
      </c>
      <c r="I650" s="18">
        <f t="shared" si="51"/>
        <v>8.966E-3</v>
      </c>
      <c r="J650" s="18">
        <f t="shared" si="55"/>
        <v>8.5710000000000005E-3</v>
      </c>
      <c r="K650" s="19">
        <f t="shared" si="52"/>
        <v>3</v>
      </c>
      <c r="L650" s="18">
        <f t="shared" si="53"/>
        <v>0.10344827586206896</v>
      </c>
      <c r="M650" s="18">
        <f t="shared" si="54"/>
        <v>0.89655172413793105</v>
      </c>
    </row>
    <row r="651" spans="1:13" x14ac:dyDescent="0.3">
      <c r="A651" s="22">
        <v>231</v>
      </c>
      <c r="B651" s="22">
        <v>228</v>
      </c>
      <c r="C651" s="23">
        <v>0.98699999999999999</v>
      </c>
      <c r="D651" s="22">
        <v>3</v>
      </c>
      <c r="E651" s="24">
        <v>1.7361111111111112E-4</v>
      </c>
      <c r="F651" s="24">
        <v>1.4930555555555556E-3</v>
      </c>
      <c r="G651" s="24">
        <v>2.3842592592592591E-3</v>
      </c>
      <c r="H651" s="24">
        <v>0.81389999999999996</v>
      </c>
      <c r="I651" s="18">
        <f t="shared" si="51"/>
        <v>9.8700000000000003E-3</v>
      </c>
      <c r="J651" s="18">
        <f t="shared" si="55"/>
        <v>8.1390000000000004E-3</v>
      </c>
      <c r="K651" s="19">
        <f t="shared" si="52"/>
        <v>3</v>
      </c>
      <c r="L651" s="18">
        <f t="shared" si="53"/>
        <v>1.2987012987012988E-2</v>
      </c>
      <c r="M651" s="18">
        <f t="shared" si="54"/>
        <v>0.98701298701298701</v>
      </c>
    </row>
    <row r="652" spans="1:13" x14ac:dyDescent="0.3">
      <c r="A652" s="22">
        <v>239</v>
      </c>
      <c r="B652" s="22">
        <v>215</v>
      </c>
      <c r="C652" s="23">
        <v>0.89959999999999996</v>
      </c>
      <c r="D652" s="22">
        <v>24</v>
      </c>
      <c r="E652" s="24">
        <v>2.6620370370370372E-4</v>
      </c>
      <c r="F652" s="24">
        <v>1.8055555555555555E-3</v>
      </c>
      <c r="G652" s="24">
        <v>3.1828703703703702E-3</v>
      </c>
      <c r="H652" s="24">
        <v>0.66669999999999996</v>
      </c>
      <c r="I652" s="18">
        <f t="shared" si="51"/>
        <v>8.9959999999999988E-3</v>
      </c>
      <c r="J652" s="18">
        <f t="shared" si="55"/>
        <v>6.6669999999999993E-3</v>
      </c>
      <c r="K652" s="19">
        <f t="shared" si="52"/>
        <v>24</v>
      </c>
      <c r="L652" s="18">
        <f t="shared" si="53"/>
        <v>0.100418410041841</v>
      </c>
      <c r="M652" s="18">
        <f t="shared" si="54"/>
        <v>0.89958158995815896</v>
      </c>
    </row>
    <row r="653" spans="1:13" x14ac:dyDescent="0.3">
      <c r="A653" s="22">
        <v>174</v>
      </c>
      <c r="B653" s="22">
        <v>154</v>
      </c>
      <c r="C653" s="23">
        <v>0.8851</v>
      </c>
      <c r="D653" s="22">
        <v>20</v>
      </c>
      <c r="E653" s="24">
        <v>3.3564814814814812E-4</v>
      </c>
      <c r="F653" s="24">
        <v>1.8518518518518519E-3</v>
      </c>
      <c r="G653" s="24">
        <v>3.5648148148148149E-3</v>
      </c>
      <c r="H653" s="24">
        <v>0.61309999999999998</v>
      </c>
      <c r="I653" s="18">
        <f t="shared" si="51"/>
        <v>8.8509999999999995E-3</v>
      </c>
      <c r="J653" s="18">
        <f t="shared" si="55"/>
        <v>6.1310000000000002E-3</v>
      </c>
      <c r="K653" s="19">
        <f t="shared" si="52"/>
        <v>20</v>
      </c>
      <c r="L653" s="18">
        <f t="shared" si="53"/>
        <v>0.11494252873563218</v>
      </c>
      <c r="M653" s="18">
        <f t="shared" si="54"/>
        <v>0.88505747126436785</v>
      </c>
    </row>
    <row r="654" spans="1:13" x14ac:dyDescent="0.3">
      <c r="A654" s="22">
        <v>168</v>
      </c>
      <c r="B654" s="22">
        <v>163</v>
      </c>
      <c r="C654" s="23">
        <v>0.97019999999999995</v>
      </c>
      <c r="D654" s="22">
        <v>5</v>
      </c>
      <c r="E654" s="24">
        <v>2.4305555555555555E-4</v>
      </c>
      <c r="F654" s="24">
        <v>1.9560185185185184E-3</v>
      </c>
      <c r="G654" s="24">
        <v>1.9097222222222222E-3</v>
      </c>
      <c r="H654" s="24">
        <v>0.70660000000000001</v>
      </c>
      <c r="I654" s="18">
        <f t="shared" si="51"/>
        <v>9.7019999999999988E-3</v>
      </c>
      <c r="J654" s="18">
        <f t="shared" si="55"/>
        <v>7.0660000000000002E-3</v>
      </c>
      <c r="K654" s="19">
        <f t="shared" si="52"/>
        <v>5</v>
      </c>
      <c r="L654" s="18">
        <f t="shared" si="53"/>
        <v>2.976190476190476E-2</v>
      </c>
      <c r="M654" s="18">
        <f t="shared" si="54"/>
        <v>0.97023809523809523</v>
      </c>
    </row>
    <row r="655" spans="1:13" x14ac:dyDescent="0.3">
      <c r="A655" s="22">
        <v>135</v>
      </c>
      <c r="B655" s="22">
        <v>128</v>
      </c>
      <c r="C655" s="23">
        <v>0.94810000000000005</v>
      </c>
      <c r="D655" s="22">
        <v>7</v>
      </c>
      <c r="E655" s="24">
        <v>2.0833333333333335E-4</v>
      </c>
      <c r="F655" s="24">
        <v>1.8055555555555555E-3</v>
      </c>
      <c r="G655" s="24">
        <v>3.8194444444444443E-3</v>
      </c>
      <c r="H655" s="24">
        <v>0.72589999999999999</v>
      </c>
      <c r="I655" s="18">
        <f t="shared" si="51"/>
        <v>9.4809999999999998E-3</v>
      </c>
      <c r="J655" s="18">
        <f t="shared" si="55"/>
        <v>7.2589999999999998E-3</v>
      </c>
      <c r="K655" s="19">
        <f t="shared" si="52"/>
        <v>7</v>
      </c>
      <c r="L655" s="18">
        <f t="shared" si="53"/>
        <v>5.185185185185185E-2</v>
      </c>
      <c r="M655" s="18">
        <f t="shared" si="54"/>
        <v>0.94814814814814818</v>
      </c>
    </row>
    <row r="656" spans="1:13" x14ac:dyDescent="0.3">
      <c r="A656" s="22">
        <v>122</v>
      </c>
      <c r="B656" s="22">
        <v>113</v>
      </c>
      <c r="C656" s="23">
        <v>0.92620000000000002</v>
      </c>
      <c r="D656" s="22">
        <v>9</v>
      </c>
      <c r="E656" s="24">
        <v>3.4722222222222224E-4</v>
      </c>
      <c r="F656" s="24">
        <v>1.9560185185185184E-3</v>
      </c>
      <c r="G656" s="24">
        <v>2.5462962962962965E-3</v>
      </c>
      <c r="H656" s="24">
        <v>0.61160000000000003</v>
      </c>
      <c r="I656" s="18">
        <f t="shared" si="51"/>
        <v>9.2619999999999994E-3</v>
      </c>
      <c r="J656" s="18">
        <f t="shared" si="55"/>
        <v>6.1159999999999999E-3</v>
      </c>
      <c r="K656" s="19">
        <f t="shared" si="52"/>
        <v>9</v>
      </c>
      <c r="L656" s="18">
        <f t="shared" si="53"/>
        <v>7.3770491803278687E-2</v>
      </c>
      <c r="M656" s="18">
        <f t="shared" si="54"/>
        <v>0.92622950819672134</v>
      </c>
    </row>
    <row r="657" spans="1:13" x14ac:dyDescent="0.3">
      <c r="A657" s="22">
        <v>13</v>
      </c>
      <c r="B657" s="22">
        <v>12</v>
      </c>
      <c r="C657" s="23">
        <v>0.92310000000000003</v>
      </c>
      <c r="D657" s="22">
        <v>1</v>
      </c>
      <c r="E657" s="24">
        <v>2.7777777777777778E-4</v>
      </c>
      <c r="F657" s="24">
        <v>1.9097222222222222E-3</v>
      </c>
      <c r="G657" s="24">
        <v>8.3333333333333339E-4</v>
      </c>
      <c r="H657" s="24">
        <v>0.66669999999999996</v>
      </c>
      <c r="I657" s="18">
        <f t="shared" si="51"/>
        <v>9.2309999999999996E-3</v>
      </c>
      <c r="J657" s="18">
        <f t="shared" si="55"/>
        <v>6.6669999999999993E-3</v>
      </c>
      <c r="K657" s="19">
        <f t="shared" si="52"/>
        <v>1</v>
      </c>
      <c r="L657" s="18">
        <f t="shared" si="53"/>
        <v>7.6923076923076927E-2</v>
      </c>
      <c r="M657" s="18">
        <f t="shared" si="54"/>
        <v>0.92307692307692313</v>
      </c>
    </row>
    <row r="658" spans="1:13" x14ac:dyDescent="0.3">
      <c r="A658" s="22">
        <v>20</v>
      </c>
      <c r="B658" s="22">
        <v>18</v>
      </c>
      <c r="C658" s="23">
        <v>0.9</v>
      </c>
      <c r="D658" s="22">
        <v>2</v>
      </c>
      <c r="E658" s="24">
        <v>2.6620370370370372E-4</v>
      </c>
      <c r="F658" s="24">
        <v>1.8865740740740742E-3</v>
      </c>
      <c r="G658" s="24">
        <v>1.8981481481481482E-3</v>
      </c>
      <c r="H658" s="24">
        <v>0.73680000000000001</v>
      </c>
      <c r="I658" s="18">
        <f t="shared" si="51"/>
        <v>9.0000000000000011E-3</v>
      </c>
      <c r="J658" s="18">
        <f t="shared" si="55"/>
        <v>7.3680000000000004E-3</v>
      </c>
      <c r="K658" s="19">
        <f t="shared" si="52"/>
        <v>2</v>
      </c>
      <c r="L658" s="18">
        <f t="shared" si="53"/>
        <v>0.1</v>
      </c>
      <c r="M658" s="18">
        <f t="shared" si="54"/>
        <v>0.9</v>
      </c>
    </row>
    <row r="659" spans="1:13" x14ac:dyDescent="0.3">
      <c r="A659" s="22">
        <v>152</v>
      </c>
      <c r="B659" s="22">
        <v>141</v>
      </c>
      <c r="C659" s="23">
        <v>0.92759999999999998</v>
      </c>
      <c r="D659" s="22">
        <v>11</v>
      </c>
      <c r="E659" s="24">
        <v>2.5462962962962961E-4</v>
      </c>
      <c r="F659" s="24">
        <v>1.8634259259259259E-3</v>
      </c>
      <c r="G659" s="24">
        <v>3.1134259259259257E-3</v>
      </c>
      <c r="H659" s="24">
        <v>0.7</v>
      </c>
      <c r="I659" s="18">
        <f t="shared" si="51"/>
        <v>9.2759999999999995E-3</v>
      </c>
      <c r="J659" s="18">
        <f t="shared" si="55"/>
        <v>6.9999999999999993E-3</v>
      </c>
      <c r="K659" s="19">
        <f t="shared" si="52"/>
        <v>11</v>
      </c>
      <c r="L659" s="18">
        <f t="shared" si="53"/>
        <v>7.2368421052631582E-2</v>
      </c>
      <c r="M659" s="18">
        <f t="shared" si="54"/>
        <v>0.92763157894736847</v>
      </c>
    </row>
    <row r="660" spans="1:13" x14ac:dyDescent="0.3">
      <c r="A660" s="22">
        <v>132</v>
      </c>
      <c r="B660" s="22">
        <v>131</v>
      </c>
      <c r="C660" s="23">
        <v>0.99239999999999995</v>
      </c>
      <c r="D660" s="22">
        <v>1</v>
      </c>
      <c r="E660" s="24">
        <v>1.3888888888888889E-4</v>
      </c>
      <c r="F660" s="24">
        <v>1.8402777777777777E-3</v>
      </c>
      <c r="G660" s="24">
        <v>1.3888888888888889E-3</v>
      </c>
      <c r="H660" s="24">
        <v>0.87019999999999997</v>
      </c>
      <c r="I660" s="18">
        <f t="shared" si="51"/>
        <v>9.9239999999999988E-3</v>
      </c>
      <c r="J660" s="18">
        <f t="shared" si="55"/>
        <v>8.7019999999999997E-3</v>
      </c>
      <c r="K660" s="19">
        <f t="shared" si="52"/>
        <v>1</v>
      </c>
      <c r="L660" s="18">
        <f t="shared" si="53"/>
        <v>7.575757575757576E-3</v>
      </c>
      <c r="M660" s="18">
        <f t="shared" si="54"/>
        <v>0.99242424242424243</v>
      </c>
    </row>
    <row r="661" spans="1:13" x14ac:dyDescent="0.3">
      <c r="A661" s="22">
        <v>180</v>
      </c>
      <c r="B661" s="22">
        <v>171</v>
      </c>
      <c r="C661" s="23">
        <v>0.95</v>
      </c>
      <c r="D661" s="22">
        <v>9</v>
      </c>
      <c r="E661" s="24">
        <v>2.4305555555555555E-4</v>
      </c>
      <c r="F661" s="24">
        <v>1.9791666666666668E-3</v>
      </c>
      <c r="G661" s="24">
        <v>1.8402777777777777E-3</v>
      </c>
      <c r="H661" s="24">
        <v>0.71909999999999996</v>
      </c>
      <c r="I661" s="18">
        <f t="shared" si="51"/>
        <v>9.4999999999999998E-3</v>
      </c>
      <c r="J661" s="18">
        <f t="shared" si="55"/>
        <v>7.1909999999999995E-3</v>
      </c>
      <c r="K661" s="19">
        <f t="shared" si="52"/>
        <v>9</v>
      </c>
      <c r="L661" s="18">
        <f t="shared" si="53"/>
        <v>0.05</v>
      </c>
      <c r="M661" s="18">
        <f t="shared" si="54"/>
        <v>0.95</v>
      </c>
    </row>
    <row r="662" spans="1:13" x14ac:dyDescent="0.3">
      <c r="A662" s="22">
        <v>193</v>
      </c>
      <c r="B662" s="22">
        <v>189</v>
      </c>
      <c r="C662" s="23">
        <v>0.97929999999999995</v>
      </c>
      <c r="D662" s="22">
        <v>4</v>
      </c>
      <c r="E662" s="24">
        <v>1.5046296296296297E-4</v>
      </c>
      <c r="F662" s="24">
        <v>1.7939814814814815E-3</v>
      </c>
      <c r="G662" s="24">
        <v>1.6898148148148148E-3</v>
      </c>
      <c r="H662" s="24">
        <v>0.82899999999999996</v>
      </c>
      <c r="I662" s="18">
        <f t="shared" si="51"/>
        <v>9.7929999999999996E-3</v>
      </c>
      <c r="J662" s="18">
        <f t="shared" si="55"/>
        <v>8.2899999999999988E-3</v>
      </c>
      <c r="K662" s="19">
        <f t="shared" si="52"/>
        <v>4</v>
      </c>
      <c r="L662" s="18">
        <f t="shared" si="53"/>
        <v>2.072538860103627E-2</v>
      </c>
      <c r="M662" s="18">
        <f t="shared" si="54"/>
        <v>0.97927461139896377</v>
      </c>
    </row>
    <row r="663" spans="1:13" x14ac:dyDescent="0.3">
      <c r="A663" s="22">
        <v>245</v>
      </c>
      <c r="B663" s="22">
        <v>236</v>
      </c>
      <c r="C663" s="23">
        <v>0.96330000000000005</v>
      </c>
      <c r="D663" s="22">
        <v>9</v>
      </c>
      <c r="E663" s="24">
        <v>1.5046296296296297E-4</v>
      </c>
      <c r="F663" s="24">
        <v>1.8981481481481482E-3</v>
      </c>
      <c r="G663" s="24">
        <v>1.6203703703703703E-3</v>
      </c>
      <c r="H663" s="24">
        <v>0.82789999999999997</v>
      </c>
      <c r="I663" s="18">
        <f t="shared" si="51"/>
        <v>9.6330000000000009E-3</v>
      </c>
      <c r="J663" s="18">
        <f t="shared" si="55"/>
        <v>8.2789999999999999E-3</v>
      </c>
      <c r="K663" s="19">
        <f t="shared" si="52"/>
        <v>9</v>
      </c>
      <c r="L663" s="18">
        <f t="shared" si="53"/>
        <v>3.6734693877551024E-2</v>
      </c>
      <c r="M663" s="18">
        <f t="shared" si="54"/>
        <v>0.96326530612244898</v>
      </c>
    </row>
    <row r="664" spans="1:13" x14ac:dyDescent="0.3">
      <c r="A664" s="22">
        <v>35</v>
      </c>
      <c r="B664" s="22">
        <v>34</v>
      </c>
      <c r="C664" s="23">
        <v>0.97140000000000004</v>
      </c>
      <c r="D664" s="22">
        <v>1</v>
      </c>
      <c r="E664" s="24">
        <v>1.273148148148148E-4</v>
      </c>
      <c r="F664" s="24">
        <v>1.5162037037037036E-3</v>
      </c>
      <c r="G664" s="24">
        <v>1.2037037037037038E-3</v>
      </c>
      <c r="H664" s="24">
        <v>0.88239999999999996</v>
      </c>
      <c r="I664" s="18">
        <f t="shared" si="51"/>
        <v>9.7140000000000004E-3</v>
      </c>
      <c r="J664" s="18">
        <f t="shared" si="55"/>
        <v>8.8240000000000002E-3</v>
      </c>
      <c r="K664" s="19">
        <f t="shared" si="52"/>
        <v>1</v>
      </c>
      <c r="L664" s="18">
        <f t="shared" si="53"/>
        <v>2.8571428571428571E-2</v>
      </c>
      <c r="M664" s="18">
        <f t="shared" si="54"/>
        <v>0.97142857142857142</v>
      </c>
    </row>
    <row r="665" spans="1:13" x14ac:dyDescent="0.3">
      <c r="A665" s="22">
        <v>198</v>
      </c>
      <c r="B665" s="22">
        <v>190</v>
      </c>
      <c r="C665" s="23">
        <v>0.95960000000000001</v>
      </c>
      <c r="D665" s="22">
        <v>8</v>
      </c>
      <c r="E665" s="24">
        <v>1.3888888888888889E-4</v>
      </c>
      <c r="F665" s="24">
        <v>1.8287037037037037E-3</v>
      </c>
      <c r="G665" s="24">
        <v>9.4907407407407408E-4</v>
      </c>
      <c r="H665" s="24">
        <v>0.84689999999999999</v>
      </c>
      <c r="I665" s="18">
        <f t="shared" si="51"/>
        <v>9.5960000000000004E-3</v>
      </c>
      <c r="J665" s="18">
        <f t="shared" si="55"/>
        <v>8.4689999999999991E-3</v>
      </c>
      <c r="K665" s="19">
        <f t="shared" si="52"/>
        <v>8</v>
      </c>
      <c r="L665" s="18">
        <f t="shared" si="53"/>
        <v>4.0404040404040407E-2</v>
      </c>
      <c r="M665" s="18">
        <f t="shared" si="54"/>
        <v>0.95959595959595956</v>
      </c>
    </row>
    <row r="666" spans="1:13" x14ac:dyDescent="0.3">
      <c r="A666" s="22">
        <v>47</v>
      </c>
      <c r="B666" s="22">
        <v>47</v>
      </c>
      <c r="C666" s="23">
        <v>1</v>
      </c>
      <c r="D666" s="22">
        <v>0</v>
      </c>
      <c r="E666" s="24">
        <v>6.9444444444444444E-5</v>
      </c>
      <c r="F666" s="24">
        <v>1.4930555555555556E-3</v>
      </c>
      <c r="G666" s="24">
        <v>6.5972222222222224E-4</v>
      </c>
      <c r="H666" s="24">
        <v>0.93620000000000003</v>
      </c>
      <c r="I666" s="18">
        <f t="shared" si="51"/>
        <v>0.01</v>
      </c>
      <c r="J666" s="18">
        <f t="shared" si="55"/>
        <v>9.3620000000000005E-3</v>
      </c>
      <c r="K666" s="19">
        <f t="shared" si="52"/>
        <v>0</v>
      </c>
      <c r="L666" s="18">
        <f t="shared" si="53"/>
        <v>0</v>
      </c>
      <c r="M666" s="18">
        <f t="shared" si="54"/>
        <v>1</v>
      </c>
    </row>
    <row r="667" spans="1:13" x14ac:dyDescent="0.3">
      <c r="A667" s="22">
        <v>187</v>
      </c>
      <c r="B667" s="22">
        <v>186</v>
      </c>
      <c r="C667" s="23">
        <v>0.99470000000000003</v>
      </c>
      <c r="D667" s="22">
        <v>1</v>
      </c>
      <c r="E667" s="24">
        <v>8.1018518518518516E-5</v>
      </c>
      <c r="F667" s="24">
        <v>1.736111111111111E-3</v>
      </c>
      <c r="G667" s="24">
        <v>1.9097222222222222E-3</v>
      </c>
      <c r="H667" s="24">
        <v>0.93579999999999997</v>
      </c>
      <c r="I667" s="18">
        <f t="shared" si="51"/>
        <v>9.947000000000001E-3</v>
      </c>
      <c r="J667" s="18">
        <f t="shared" si="55"/>
        <v>9.358E-3</v>
      </c>
      <c r="K667" s="19">
        <f t="shared" si="52"/>
        <v>1</v>
      </c>
      <c r="L667" s="18">
        <f t="shared" si="53"/>
        <v>5.3475935828877002E-3</v>
      </c>
      <c r="M667" s="18">
        <f t="shared" si="54"/>
        <v>0.99465240641711228</v>
      </c>
    </row>
    <row r="668" spans="1:13" x14ac:dyDescent="0.3">
      <c r="A668" s="22">
        <v>57</v>
      </c>
      <c r="B668" s="22">
        <v>54</v>
      </c>
      <c r="C668" s="23">
        <v>0.94740000000000002</v>
      </c>
      <c r="D668" s="22">
        <v>3</v>
      </c>
      <c r="E668" s="24">
        <v>8.1018518518518516E-5</v>
      </c>
      <c r="F668" s="24">
        <v>1.8171296296296297E-3</v>
      </c>
      <c r="G668" s="24">
        <v>6.3657407407407413E-4</v>
      </c>
      <c r="H668" s="24">
        <v>0.91069999999999995</v>
      </c>
      <c r="I668" s="18">
        <f t="shared" si="51"/>
        <v>9.4739999999999998E-3</v>
      </c>
      <c r="J668" s="18">
        <f t="shared" si="55"/>
        <v>9.1069999999999988E-3</v>
      </c>
      <c r="K668" s="19">
        <f t="shared" si="52"/>
        <v>3</v>
      </c>
      <c r="L668" s="18">
        <f t="shared" si="53"/>
        <v>5.2631578947368418E-2</v>
      </c>
      <c r="M668" s="18">
        <f t="shared" si="54"/>
        <v>0.94736842105263153</v>
      </c>
    </row>
    <row r="669" spans="1:13" x14ac:dyDescent="0.3">
      <c r="A669" s="22">
        <v>169</v>
      </c>
      <c r="B669" s="22">
        <v>162</v>
      </c>
      <c r="C669" s="23">
        <v>0.95860000000000001</v>
      </c>
      <c r="D669" s="22">
        <v>7</v>
      </c>
      <c r="E669" s="24">
        <v>1.0416666666666667E-4</v>
      </c>
      <c r="F669" s="24">
        <v>1.8402777777777777E-3</v>
      </c>
      <c r="G669" s="24">
        <v>1.2731481481481483E-3</v>
      </c>
      <c r="H669" s="24">
        <v>0.88170000000000004</v>
      </c>
      <c r="I669" s="18">
        <f t="shared" si="51"/>
        <v>9.5860000000000008E-3</v>
      </c>
      <c r="J669" s="18">
        <f t="shared" si="55"/>
        <v>8.8170000000000002E-3</v>
      </c>
      <c r="K669" s="19">
        <f t="shared" si="52"/>
        <v>7</v>
      </c>
      <c r="L669" s="18">
        <f t="shared" si="53"/>
        <v>4.142011834319527E-2</v>
      </c>
      <c r="M669" s="18">
        <f t="shared" si="54"/>
        <v>0.95857988165680474</v>
      </c>
    </row>
    <row r="670" spans="1:13" x14ac:dyDescent="0.3">
      <c r="A670" s="22">
        <v>337</v>
      </c>
      <c r="B670" s="22">
        <v>316</v>
      </c>
      <c r="C670" s="23">
        <v>0.93769999999999998</v>
      </c>
      <c r="D670" s="22">
        <v>21</v>
      </c>
      <c r="E670" s="24">
        <v>2.6620370370370372E-4</v>
      </c>
      <c r="F670" s="24">
        <v>1.5393518518518519E-3</v>
      </c>
      <c r="G670" s="24">
        <v>3.6689814814814814E-3</v>
      </c>
      <c r="H670" s="24">
        <v>0.72919999999999996</v>
      </c>
      <c r="I670" s="18">
        <f t="shared" si="51"/>
        <v>9.3769999999999999E-3</v>
      </c>
      <c r="J670" s="18">
        <f t="shared" si="55"/>
        <v>7.2919999999999999E-3</v>
      </c>
      <c r="K670" s="19">
        <f t="shared" si="52"/>
        <v>21</v>
      </c>
      <c r="L670" s="18">
        <f t="shared" si="53"/>
        <v>6.2314540059347182E-2</v>
      </c>
      <c r="M670" s="18">
        <f t="shared" si="54"/>
        <v>0.93768545994065278</v>
      </c>
    </row>
    <row r="671" spans="1:13" x14ac:dyDescent="0.3">
      <c r="A671" s="22">
        <v>44</v>
      </c>
      <c r="B671" s="22">
        <v>43</v>
      </c>
      <c r="C671" s="23">
        <v>0.97729999999999995</v>
      </c>
      <c r="D671" s="22">
        <v>1</v>
      </c>
      <c r="E671" s="24">
        <v>1.0416666666666667E-4</v>
      </c>
      <c r="F671" s="24">
        <v>1.7939814814814815E-3</v>
      </c>
      <c r="G671" s="24">
        <v>1.2731481481481483E-3</v>
      </c>
      <c r="H671" s="24">
        <v>0.84089999999999998</v>
      </c>
      <c r="I671" s="18">
        <f t="shared" si="51"/>
        <v>9.7729999999999987E-3</v>
      </c>
      <c r="J671" s="18">
        <f t="shared" si="55"/>
        <v>8.4089999999999998E-3</v>
      </c>
      <c r="K671" s="19">
        <f t="shared" si="52"/>
        <v>1</v>
      </c>
      <c r="L671" s="18">
        <f t="shared" si="53"/>
        <v>2.2727272727272728E-2</v>
      </c>
      <c r="M671" s="18">
        <f t="shared" si="54"/>
        <v>0.97727272727272729</v>
      </c>
    </row>
    <row r="672" spans="1:13" x14ac:dyDescent="0.3">
      <c r="A672" s="22">
        <v>210</v>
      </c>
      <c r="B672" s="22">
        <v>206</v>
      </c>
      <c r="C672" s="23">
        <v>0.98099999999999998</v>
      </c>
      <c r="D672" s="22">
        <v>4</v>
      </c>
      <c r="E672" s="24">
        <v>1.3888888888888889E-4</v>
      </c>
      <c r="F672" s="24">
        <v>1.8402777777777777E-3</v>
      </c>
      <c r="G672" s="24">
        <v>1.7592592592592592E-3</v>
      </c>
      <c r="H672" s="24">
        <v>0.87080000000000002</v>
      </c>
      <c r="I672" s="18">
        <f t="shared" si="51"/>
        <v>9.8099999999999993E-3</v>
      </c>
      <c r="J672" s="18">
        <f t="shared" si="55"/>
        <v>8.7080000000000005E-3</v>
      </c>
      <c r="K672" s="19">
        <f t="shared" si="52"/>
        <v>4</v>
      </c>
      <c r="L672" s="18">
        <f t="shared" si="53"/>
        <v>1.9047619047619049E-2</v>
      </c>
      <c r="M672" s="18">
        <f t="shared" si="54"/>
        <v>0.98095238095238091</v>
      </c>
    </row>
    <row r="673" spans="1:13" x14ac:dyDescent="0.3">
      <c r="A673" s="22">
        <v>190</v>
      </c>
      <c r="B673" s="22">
        <v>186</v>
      </c>
      <c r="C673" s="23">
        <v>0.97889999999999999</v>
      </c>
      <c r="D673" s="22">
        <v>4</v>
      </c>
      <c r="E673" s="24">
        <v>1.9675925925925926E-4</v>
      </c>
      <c r="F673" s="24">
        <v>1.6435185185185185E-3</v>
      </c>
      <c r="G673" s="24">
        <v>3.3912037037037036E-3</v>
      </c>
      <c r="H673" s="24">
        <v>0.84130000000000005</v>
      </c>
      <c r="I673" s="18">
        <f t="shared" si="51"/>
        <v>9.7889999999999991E-3</v>
      </c>
      <c r="J673" s="18">
        <f t="shared" si="55"/>
        <v>8.4130000000000003E-3</v>
      </c>
      <c r="K673" s="19">
        <f t="shared" si="52"/>
        <v>4</v>
      </c>
      <c r="L673" s="18">
        <f t="shared" si="53"/>
        <v>2.1052631578947368E-2</v>
      </c>
      <c r="M673" s="18">
        <f t="shared" si="54"/>
        <v>0.97894736842105268</v>
      </c>
    </row>
    <row r="674" spans="1:13" x14ac:dyDescent="0.3">
      <c r="A674" s="22">
        <v>190</v>
      </c>
      <c r="B674" s="22">
        <v>182</v>
      </c>
      <c r="C674" s="23">
        <v>0.95789999999999997</v>
      </c>
      <c r="D674" s="22">
        <v>8</v>
      </c>
      <c r="E674" s="24">
        <v>1.1574074074074075E-4</v>
      </c>
      <c r="F674" s="24">
        <v>1.8518518518518519E-3</v>
      </c>
      <c r="G674" s="24">
        <v>1.1342592592592593E-3</v>
      </c>
      <c r="H674" s="24">
        <v>0.87029999999999996</v>
      </c>
      <c r="I674" s="18">
        <f t="shared" si="51"/>
        <v>9.578999999999999E-3</v>
      </c>
      <c r="J674" s="18">
        <f t="shared" si="55"/>
        <v>8.7029999999999989E-3</v>
      </c>
      <c r="K674" s="19">
        <f t="shared" si="52"/>
        <v>8</v>
      </c>
      <c r="L674" s="18">
        <f t="shared" si="53"/>
        <v>4.2105263157894736E-2</v>
      </c>
      <c r="M674" s="18">
        <f t="shared" si="54"/>
        <v>0.95789473684210524</v>
      </c>
    </row>
    <row r="675" spans="1:13" x14ac:dyDescent="0.3">
      <c r="A675" s="22">
        <v>169</v>
      </c>
      <c r="B675" s="22">
        <v>168</v>
      </c>
      <c r="C675" s="23">
        <v>0.99409999999999998</v>
      </c>
      <c r="D675" s="22">
        <v>1</v>
      </c>
      <c r="E675" s="24">
        <v>1.273148148148148E-4</v>
      </c>
      <c r="F675" s="24">
        <v>1.6782407407407408E-3</v>
      </c>
      <c r="G675" s="24">
        <v>1.25E-3</v>
      </c>
      <c r="H675" s="24">
        <v>0.88170000000000004</v>
      </c>
      <c r="I675" s="18">
        <f t="shared" si="51"/>
        <v>9.9410000000000002E-3</v>
      </c>
      <c r="J675" s="18">
        <f t="shared" si="55"/>
        <v>8.8170000000000002E-3</v>
      </c>
      <c r="K675" s="19">
        <f t="shared" si="52"/>
        <v>1</v>
      </c>
      <c r="L675" s="18">
        <f t="shared" si="53"/>
        <v>5.9171597633136093E-3</v>
      </c>
      <c r="M675" s="18">
        <f t="shared" si="54"/>
        <v>0.99408284023668636</v>
      </c>
    </row>
    <row r="676" spans="1:13" x14ac:dyDescent="0.3">
      <c r="A676" s="22">
        <v>52</v>
      </c>
      <c r="B676" s="22">
        <v>50</v>
      </c>
      <c r="C676" s="23">
        <v>0.96150000000000002</v>
      </c>
      <c r="D676" s="22">
        <v>2</v>
      </c>
      <c r="E676" s="24">
        <v>6.9444444444444444E-5</v>
      </c>
      <c r="F676" s="24">
        <v>1.7824074074074075E-3</v>
      </c>
      <c r="G676" s="24">
        <v>6.7129629629629625E-4</v>
      </c>
      <c r="H676" s="24">
        <v>0.92159999999999997</v>
      </c>
      <c r="I676" s="18">
        <f t="shared" si="51"/>
        <v>9.6150000000000003E-3</v>
      </c>
      <c r="J676" s="18">
        <f t="shared" si="55"/>
        <v>9.2160000000000002E-3</v>
      </c>
      <c r="K676" s="19">
        <f t="shared" si="52"/>
        <v>2</v>
      </c>
      <c r="L676" s="18">
        <f t="shared" si="53"/>
        <v>3.8461538461538464E-2</v>
      </c>
      <c r="M676" s="18">
        <f t="shared" si="54"/>
        <v>0.96153846153846156</v>
      </c>
    </row>
    <row r="677" spans="1:13" x14ac:dyDescent="0.3">
      <c r="A677" s="22">
        <v>144</v>
      </c>
      <c r="B677" s="22">
        <v>137</v>
      </c>
      <c r="C677" s="23">
        <v>0.95140000000000002</v>
      </c>
      <c r="D677" s="22">
        <v>7</v>
      </c>
      <c r="E677" s="24">
        <v>1.6203703703703703E-4</v>
      </c>
      <c r="F677" s="24">
        <v>1.8055555555555555E-3</v>
      </c>
      <c r="G677" s="24">
        <v>2.0370370370370369E-3</v>
      </c>
      <c r="H677" s="24">
        <v>0.77080000000000004</v>
      </c>
      <c r="I677" s="18">
        <f t="shared" si="51"/>
        <v>9.5139999999999999E-3</v>
      </c>
      <c r="J677" s="18">
        <f t="shared" si="55"/>
        <v>7.7080000000000004E-3</v>
      </c>
      <c r="K677" s="19">
        <f t="shared" si="52"/>
        <v>7</v>
      </c>
      <c r="L677" s="18">
        <f t="shared" si="53"/>
        <v>4.8611111111111112E-2</v>
      </c>
      <c r="M677" s="18">
        <f t="shared" si="54"/>
        <v>0.95138888888888884</v>
      </c>
    </row>
    <row r="678" spans="1:13" x14ac:dyDescent="0.3">
      <c r="A678" s="22">
        <v>36</v>
      </c>
      <c r="B678" s="22">
        <v>36</v>
      </c>
      <c r="C678" s="23">
        <v>1</v>
      </c>
      <c r="D678" s="22">
        <v>0</v>
      </c>
      <c r="E678" s="24">
        <v>1.7361111111111112E-4</v>
      </c>
      <c r="F678" s="24">
        <v>2.0023148148148148E-3</v>
      </c>
      <c r="G678" s="24">
        <v>1.1689814814814816E-3</v>
      </c>
      <c r="H678" s="24">
        <v>0.80559999999999998</v>
      </c>
      <c r="I678" s="18">
        <f t="shared" si="51"/>
        <v>0.01</v>
      </c>
      <c r="J678" s="18">
        <f t="shared" si="55"/>
        <v>8.0560000000000007E-3</v>
      </c>
      <c r="K678" s="19">
        <f t="shared" si="52"/>
        <v>0</v>
      </c>
      <c r="L678" s="18">
        <f t="shared" si="53"/>
        <v>0</v>
      </c>
      <c r="M678" s="18">
        <f t="shared" si="54"/>
        <v>1</v>
      </c>
    </row>
    <row r="679" spans="1:13" x14ac:dyDescent="0.3">
      <c r="A679" s="22">
        <v>155</v>
      </c>
      <c r="B679" s="22">
        <v>148</v>
      </c>
      <c r="C679" s="23">
        <v>0.95479999999999998</v>
      </c>
      <c r="D679" s="22">
        <v>7</v>
      </c>
      <c r="E679" s="24">
        <v>1.6203703703703703E-4</v>
      </c>
      <c r="F679" s="24">
        <v>1.6898148148148148E-3</v>
      </c>
      <c r="G679" s="24">
        <v>2.3495370370370371E-3</v>
      </c>
      <c r="H679" s="24">
        <v>0.81289999999999996</v>
      </c>
      <c r="I679" s="18">
        <f t="shared" si="51"/>
        <v>9.5479999999999992E-3</v>
      </c>
      <c r="J679" s="18">
        <f t="shared" si="55"/>
        <v>8.1289999999999991E-3</v>
      </c>
      <c r="K679" s="19">
        <f t="shared" si="52"/>
        <v>7</v>
      </c>
      <c r="L679" s="18">
        <f t="shared" si="53"/>
        <v>4.5161290322580643E-2</v>
      </c>
      <c r="M679" s="18">
        <f t="shared" si="54"/>
        <v>0.95483870967741935</v>
      </c>
    </row>
    <row r="680" spans="1:13" x14ac:dyDescent="0.3">
      <c r="A680" s="22">
        <v>159</v>
      </c>
      <c r="B680" s="22">
        <v>154</v>
      </c>
      <c r="C680" s="23">
        <v>0.96860000000000002</v>
      </c>
      <c r="D680" s="22">
        <v>5</v>
      </c>
      <c r="E680" s="24">
        <v>1.8518518518518518E-4</v>
      </c>
      <c r="F680" s="24">
        <v>1.8634259259259259E-3</v>
      </c>
      <c r="G680" s="24">
        <v>1.5277777777777779E-3</v>
      </c>
      <c r="H680" s="24">
        <v>0.78620000000000001</v>
      </c>
      <c r="I680" s="18">
        <f t="shared" si="51"/>
        <v>9.6860000000000002E-3</v>
      </c>
      <c r="J680" s="18">
        <f t="shared" si="55"/>
        <v>7.8620000000000009E-3</v>
      </c>
      <c r="K680" s="19">
        <f t="shared" si="52"/>
        <v>5</v>
      </c>
      <c r="L680" s="18">
        <f t="shared" si="53"/>
        <v>3.1446540880503145E-2</v>
      </c>
      <c r="M680" s="18">
        <f t="shared" si="54"/>
        <v>0.96855345911949686</v>
      </c>
    </row>
    <row r="681" spans="1:13" x14ac:dyDescent="0.3">
      <c r="A681" s="22">
        <v>115</v>
      </c>
      <c r="B681" s="22">
        <v>110</v>
      </c>
      <c r="C681" s="23">
        <v>0.95650000000000002</v>
      </c>
      <c r="D681" s="22">
        <v>5</v>
      </c>
      <c r="E681" s="24">
        <v>1.6203703703703703E-4</v>
      </c>
      <c r="F681" s="24">
        <v>1.712962962962963E-3</v>
      </c>
      <c r="G681" s="24">
        <v>1.5856481481481481E-3</v>
      </c>
      <c r="H681" s="24">
        <v>0.83189999999999997</v>
      </c>
      <c r="I681" s="18">
        <f t="shared" si="51"/>
        <v>9.5650000000000006E-3</v>
      </c>
      <c r="J681" s="18">
        <f t="shared" si="55"/>
        <v>8.319E-3</v>
      </c>
      <c r="K681" s="19">
        <f t="shared" si="52"/>
        <v>5</v>
      </c>
      <c r="L681" s="18">
        <f t="shared" si="53"/>
        <v>4.3478260869565216E-2</v>
      </c>
      <c r="M681" s="18">
        <f t="shared" si="54"/>
        <v>0.95652173913043481</v>
      </c>
    </row>
    <row r="682" spans="1:13" x14ac:dyDescent="0.3">
      <c r="A682" s="22">
        <v>186</v>
      </c>
      <c r="B682" s="22">
        <v>173</v>
      </c>
      <c r="C682" s="23">
        <v>0.93010000000000004</v>
      </c>
      <c r="D682" s="22">
        <v>13</v>
      </c>
      <c r="E682" s="24">
        <v>2.199074074074074E-4</v>
      </c>
      <c r="F682" s="24">
        <v>1.8402777777777777E-3</v>
      </c>
      <c r="G682" s="24">
        <v>1.8981481481481482E-3</v>
      </c>
      <c r="H682" s="24">
        <v>0.73509999999999998</v>
      </c>
      <c r="I682" s="18">
        <f t="shared" si="51"/>
        <v>9.3010000000000002E-3</v>
      </c>
      <c r="J682" s="18">
        <f t="shared" si="55"/>
        <v>7.3509999999999999E-3</v>
      </c>
      <c r="K682" s="19">
        <f t="shared" si="52"/>
        <v>13</v>
      </c>
      <c r="L682" s="18">
        <f t="shared" si="53"/>
        <v>6.9892473118279563E-2</v>
      </c>
      <c r="M682" s="18">
        <f t="shared" si="54"/>
        <v>0.93010752688172038</v>
      </c>
    </row>
    <row r="683" spans="1:13" x14ac:dyDescent="0.3">
      <c r="A683" s="22">
        <v>167</v>
      </c>
      <c r="B683" s="22">
        <v>157</v>
      </c>
      <c r="C683" s="23">
        <v>0.94010000000000005</v>
      </c>
      <c r="D683" s="22">
        <v>10</v>
      </c>
      <c r="E683" s="24">
        <v>2.6620370370370372E-4</v>
      </c>
      <c r="F683" s="24">
        <v>1.7592592592592592E-3</v>
      </c>
      <c r="G683" s="24">
        <v>1.9560185185185184E-3</v>
      </c>
      <c r="H683" s="24">
        <v>0.67679999999999996</v>
      </c>
      <c r="I683" s="18">
        <f t="shared" si="51"/>
        <v>9.4009999999999996E-3</v>
      </c>
      <c r="J683" s="18">
        <f t="shared" si="55"/>
        <v>6.7679999999999997E-3</v>
      </c>
      <c r="K683" s="19">
        <f t="shared" si="52"/>
        <v>10</v>
      </c>
      <c r="L683" s="18">
        <f t="shared" si="53"/>
        <v>5.9880239520958084E-2</v>
      </c>
      <c r="M683" s="18">
        <f t="shared" si="54"/>
        <v>0.94011976047904189</v>
      </c>
    </row>
    <row r="684" spans="1:13" x14ac:dyDescent="0.3">
      <c r="A684" s="22">
        <v>146</v>
      </c>
      <c r="B684" s="22">
        <v>142</v>
      </c>
      <c r="C684" s="23">
        <v>0.97260000000000002</v>
      </c>
      <c r="D684" s="22">
        <v>4</v>
      </c>
      <c r="E684" s="24">
        <v>2.5462962962962961E-4</v>
      </c>
      <c r="F684" s="24">
        <v>1.8749999999999999E-3</v>
      </c>
      <c r="G684" s="24">
        <v>1.3773148148148147E-3</v>
      </c>
      <c r="H684" s="24">
        <v>0.66900000000000004</v>
      </c>
      <c r="I684" s="18">
        <f t="shared" si="51"/>
        <v>9.7260000000000003E-3</v>
      </c>
      <c r="J684" s="18">
        <f t="shared" si="55"/>
        <v>6.6900000000000006E-3</v>
      </c>
      <c r="K684" s="19">
        <f t="shared" si="52"/>
        <v>4</v>
      </c>
      <c r="L684" s="18">
        <f t="shared" si="53"/>
        <v>2.7397260273972601E-2</v>
      </c>
      <c r="M684" s="18">
        <f t="shared" si="54"/>
        <v>0.9726027397260274</v>
      </c>
    </row>
    <row r="685" spans="1:13" x14ac:dyDescent="0.3">
      <c r="A685" s="22">
        <v>41</v>
      </c>
      <c r="B685" s="22">
        <v>31</v>
      </c>
      <c r="C685" s="23">
        <v>0.75609999999999999</v>
      </c>
      <c r="D685" s="22">
        <v>10</v>
      </c>
      <c r="E685" s="24">
        <v>4.5138888888888887E-4</v>
      </c>
      <c r="F685" s="24">
        <v>2.5810185185185185E-3</v>
      </c>
      <c r="G685" s="24">
        <v>2.5462962962962965E-3</v>
      </c>
      <c r="H685" s="24">
        <v>0.48780000000000001</v>
      </c>
      <c r="I685" s="18">
        <f t="shared" si="51"/>
        <v>7.561E-3</v>
      </c>
      <c r="J685" s="18">
        <f t="shared" si="55"/>
        <v>4.8780000000000004E-3</v>
      </c>
      <c r="K685" s="19">
        <f t="shared" si="52"/>
        <v>10</v>
      </c>
      <c r="L685" s="18">
        <f t="shared" si="53"/>
        <v>0.24390243902439024</v>
      </c>
      <c r="M685" s="18">
        <f t="shared" si="54"/>
        <v>0.75609756097560976</v>
      </c>
    </row>
    <row r="686" spans="1:13" x14ac:dyDescent="0.3">
      <c r="A686" s="22">
        <v>185</v>
      </c>
      <c r="B686" s="22">
        <v>85</v>
      </c>
      <c r="C686" s="23">
        <v>0.45950000000000002</v>
      </c>
      <c r="D686" s="22">
        <v>100</v>
      </c>
      <c r="E686" s="24">
        <v>1.261574074074074E-3</v>
      </c>
      <c r="F686" s="24">
        <v>1.9212962962962964E-3</v>
      </c>
      <c r="G686" s="24">
        <v>7.6504629629629631E-3</v>
      </c>
      <c r="H686" s="24">
        <v>3.7999999999999999E-2</v>
      </c>
      <c r="I686" s="18">
        <f t="shared" si="51"/>
        <v>4.5950000000000001E-3</v>
      </c>
      <c r="J686" s="18">
        <f t="shared" si="55"/>
        <v>3.7999999999999997E-4</v>
      </c>
      <c r="K686" s="19">
        <f t="shared" si="52"/>
        <v>100</v>
      </c>
      <c r="L686" s="18">
        <f t="shared" si="53"/>
        <v>0.54054054054054057</v>
      </c>
      <c r="M686" s="18">
        <f t="shared" si="54"/>
        <v>0.45945945945945948</v>
      </c>
    </row>
    <row r="687" spans="1:13" x14ac:dyDescent="0.3">
      <c r="A687" s="22">
        <v>149</v>
      </c>
      <c r="B687" s="22">
        <v>83</v>
      </c>
      <c r="C687" s="23">
        <v>0.55700000000000005</v>
      </c>
      <c r="D687" s="22">
        <v>66</v>
      </c>
      <c r="E687" s="24">
        <v>1.1342592592592593E-3</v>
      </c>
      <c r="F687" s="24">
        <v>1.5972222222222223E-3</v>
      </c>
      <c r="G687" s="24">
        <v>7.013888888888889E-3</v>
      </c>
      <c r="H687" s="24">
        <v>4.8300000000000003E-2</v>
      </c>
      <c r="I687" s="18">
        <f t="shared" si="51"/>
        <v>5.5700000000000003E-3</v>
      </c>
      <c r="J687" s="18">
        <f t="shared" si="55"/>
        <v>4.8300000000000003E-4</v>
      </c>
      <c r="K687" s="19">
        <f t="shared" si="52"/>
        <v>66</v>
      </c>
      <c r="L687" s="18">
        <f t="shared" si="53"/>
        <v>0.44295302013422821</v>
      </c>
      <c r="M687" s="18">
        <f t="shared" si="54"/>
        <v>0.55704697986577179</v>
      </c>
    </row>
    <row r="688" spans="1:13" x14ac:dyDescent="0.3">
      <c r="A688" s="22">
        <v>180</v>
      </c>
      <c r="B688" s="22">
        <v>115</v>
      </c>
      <c r="C688" s="23">
        <v>0.63890000000000002</v>
      </c>
      <c r="D688" s="22">
        <v>65</v>
      </c>
      <c r="E688" s="24">
        <v>7.407407407407407E-4</v>
      </c>
      <c r="F688" s="24">
        <v>1.7708333333333332E-3</v>
      </c>
      <c r="G688" s="24">
        <v>8.9120370370370378E-3</v>
      </c>
      <c r="H688" s="24">
        <v>0.23860000000000001</v>
      </c>
      <c r="I688" s="18">
        <f t="shared" si="51"/>
        <v>6.3890000000000006E-3</v>
      </c>
      <c r="J688" s="18">
        <f t="shared" si="55"/>
        <v>2.3860000000000001E-3</v>
      </c>
      <c r="K688" s="19">
        <f t="shared" si="52"/>
        <v>65</v>
      </c>
      <c r="L688" s="18">
        <f t="shared" si="53"/>
        <v>0.3611111111111111</v>
      </c>
      <c r="M688" s="18">
        <f t="shared" si="54"/>
        <v>0.63888888888888884</v>
      </c>
    </row>
    <row r="689" spans="1:13" x14ac:dyDescent="0.3">
      <c r="A689" s="22">
        <v>173</v>
      </c>
      <c r="B689" s="22">
        <v>144</v>
      </c>
      <c r="C689" s="23">
        <v>0.83240000000000003</v>
      </c>
      <c r="D689" s="22">
        <v>29</v>
      </c>
      <c r="E689" s="24">
        <v>4.3981481481481481E-4</v>
      </c>
      <c r="F689" s="24">
        <v>2.0833333333333333E-3</v>
      </c>
      <c r="G689" s="24">
        <v>3.8425925925925928E-3</v>
      </c>
      <c r="H689" s="24">
        <v>0.4647</v>
      </c>
      <c r="I689" s="18">
        <f t="shared" si="51"/>
        <v>8.3239999999999998E-3</v>
      </c>
      <c r="J689" s="18">
        <f t="shared" si="55"/>
        <v>4.6470000000000001E-3</v>
      </c>
      <c r="K689" s="19">
        <f t="shared" si="52"/>
        <v>29</v>
      </c>
      <c r="L689" s="18">
        <f t="shared" si="53"/>
        <v>0.16763005780346821</v>
      </c>
      <c r="M689" s="18">
        <f t="shared" si="54"/>
        <v>0.83236994219653182</v>
      </c>
    </row>
    <row r="690" spans="1:13" x14ac:dyDescent="0.3">
      <c r="A690" s="22">
        <v>176</v>
      </c>
      <c r="B690" s="22">
        <v>158</v>
      </c>
      <c r="C690" s="23">
        <v>0.89770000000000005</v>
      </c>
      <c r="D690" s="22">
        <v>18</v>
      </c>
      <c r="E690" s="24">
        <v>2.3148148148148149E-4</v>
      </c>
      <c r="F690" s="24">
        <v>1.7708333333333332E-3</v>
      </c>
      <c r="G690" s="24">
        <v>3.6458333333333334E-3</v>
      </c>
      <c r="H690" s="24">
        <v>0.70350000000000001</v>
      </c>
      <c r="I690" s="18">
        <f t="shared" si="51"/>
        <v>8.9770000000000006E-3</v>
      </c>
      <c r="J690" s="18">
        <f t="shared" si="55"/>
        <v>7.0350000000000005E-3</v>
      </c>
      <c r="K690" s="19">
        <f t="shared" si="52"/>
        <v>18</v>
      </c>
      <c r="L690" s="18">
        <f t="shared" si="53"/>
        <v>0.10227272727272728</v>
      </c>
      <c r="M690" s="18">
        <f t="shared" si="54"/>
        <v>0.89772727272727271</v>
      </c>
    </row>
    <row r="691" spans="1:13" x14ac:dyDescent="0.3">
      <c r="A691" s="22">
        <v>147</v>
      </c>
      <c r="B691" s="22">
        <v>120</v>
      </c>
      <c r="C691" s="23">
        <v>0.81630000000000003</v>
      </c>
      <c r="D691" s="22">
        <v>27</v>
      </c>
      <c r="E691" s="24">
        <v>5.3240740740740744E-4</v>
      </c>
      <c r="F691" s="24">
        <v>1.8402777777777777E-3</v>
      </c>
      <c r="G691" s="24">
        <v>2.9629629629629628E-3</v>
      </c>
      <c r="H691" s="24">
        <v>0.39729999999999999</v>
      </c>
      <c r="I691" s="18">
        <f t="shared" si="51"/>
        <v>8.1630000000000001E-3</v>
      </c>
      <c r="J691" s="18">
        <f t="shared" si="55"/>
        <v>3.973E-3</v>
      </c>
      <c r="K691" s="19">
        <f t="shared" si="52"/>
        <v>27</v>
      </c>
      <c r="L691" s="18">
        <f t="shared" si="53"/>
        <v>0.18367346938775511</v>
      </c>
      <c r="M691" s="18">
        <f t="shared" si="54"/>
        <v>0.81632653061224492</v>
      </c>
    </row>
    <row r="692" spans="1:13" x14ac:dyDescent="0.3">
      <c r="A692" s="22">
        <v>84</v>
      </c>
      <c r="B692" s="22">
        <v>77</v>
      </c>
      <c r="C692" s="23">
        <v>0.91669999999999996</v>
      </c>
      <c r="D692" s="22">
        <v>7</v>
      </c>
      <c r="E692" s="24">
        <v>1.9675925925925926E-4</v>
      </c>
      <c r="F692" s="24">
        <v>1.4699074074074074E-3</v>
      </c>
      <c r="G692" s="24">
        <v>3.1250000000000002E-3</v>
      </c>
      <c r="H692" s="24">
        <v>0.7349</v>
      </c>
      <c r="I692" s="18">
        <f t="shared" si="51"/>
        <v>9.1669999999999998E-3</v>
      </c>
      <c r="J692" s="18">
        <f t="shared" si="55"/>
        <v>7.3489999999999996E-3</v>
      </c>
      <c r="K692" s="19">
        <f t="shared" si="52"/>
        <v>7</v>
      </c>
      <c r="L692" s="18">
        <f t="shared" si="53"/>
        <v>8.3333333333333329E-2</v>
      </c>
      <c r="M692" s="18">
        <f t="shared" si="54"/>
        <v>0.91666666666666663</v>
      </c>
    </row>
    <row r="693" spans="1:13" x14ac:dyDescent="0.3">
      <c r="A693" s="22">
        <v>325</v>
      </c>
      <c r="B693" s="22">
        <v>78</v>
      </c>
      <c r="C693" s="23">
        <v>0.24</v>
      </c>
      <c r="D693" s="22">
        <v>247</v>
      </c>
      <c r="E693" s="24">
        <v>2.2337962962962962E-3</v>
      </c>
      <c r="F693" s="24">
        <v>2.0949074074074073E-3</v>
      </c>
      <c r="G693" s="24">
        <v>1.2118055555555556E-2</v>
      </c>
      <c r="H693" s="24">
        <v>0</v>
      </c>
      <c r="I693" s="18">
        <f t="shared" si="51"/>
        <v>2.3999999999999998E-3</v>
      </c>
      <c r="J693" s="18">
        <f t="shared" si="55"/>
        <v>0</v>
      </c>
      <c r="K693" s="19">
        <f t="shared" si="52"/>
        <v>247</v>
      </c>
      <c r="L693" s="18">
        <f t="shared" si="53"/>
        <v>0.76</v>
      </c>
      <c r="M693" s="18">
        <f t="shared" si="54"/>
        <v>0.24</v>
      </c>
    </row>
    <row r="694" spans="1:13" x14ac:dyDescent="0.3">
      <c r="A694" s="22">
        <v>441</v>
      </c>
      <c r="B694" s="22">
        <v>103</v>
      </c>
      <c r="C694" s="23">
        <v>0.2336</v>
      </c>
      <c r="D694" s="22">
        <v>338</v>
      </c>
      <c r="E694" s="24">
        <v>2.8240740740740739E-3</v>
      </c>
      <c r="F694" s="24">
        <v>1.8865740740740742E-3</v>
      </c>
      <c r="G694" s="24">
        <v>1.0856481481481481E-2</v>
      </c>
      <c r="H694" s="24">
        <v>2.3E-3</v>
      </c>
      <c r="I694" s="18">
        <f t="shared" si="51"/>
        <v>2.336E-3</v>
      </c>
      <c r="J694" s="18">
        <f t="shared" si="55"/>
        <v>2.3E-5</v>
      </c>
      <c r="K694" s="19">
        <f t="shared" si="52"/>
        <v>338</v>
      </c>
      <c r="L694" s="18">
        <f t="shared" si="53"/>
        <v>0.76643990929705219</v>
      </c>
      <c r="M694" s="18">
        <f t="shared" si="54"/>
        <v>0.23356009070294784</v>
      </c>
    </row>
    <row r="695" spans="1:13" x14ac:dyDescent="0.3">
      <c r="A695" s="22">
        <v>525</v>
      </c>
      <c r="B695" s="22">
        <v>116</v>
      </c>
      <c r="C695" s="23">
        <v>0.221</v>
      </c>
      <c r="D695" s="22">
        <v>409</v>
      </c>
      <c r="E695" s="24">
        <v>3.5648148148148149E-3</v>
      </c>
      <c r="F695" s="24">
        <v>2.1759259259259258E-3</v>
      </c>
      <c r="G695" s="24">
        <v>1.5925925925925927E-2</v>
      </c>
      <c r="H695" s="24">
        <v>0</v>
      </c>
      <c r="I695" s="18">
        <f t="shared" si="51"/>
        <v>2.2100000000000002E-3</v>
      </c>
      <c r="J695" s="18">
        <f t="shared" si="55"/>
        <v>0</v>
      </c>
      <c r="K695" s="19">
        <f t="shared" si="52"/>
        <v>409</v>
      </c>
      <c r="L695" s="18">
        <f t="shared" si="53"/>
        <v>0.7790476190476191</v>
      </c>
      <c r="M695" s="18">
        <f t="shared" si="54"/>
        <v>0.22095238095238096</v>
      </c>
    </row>
    <row r="696" spans="1:13" x14ac:dyDescent="0.3">
      <c r="A696" s="22">
        <v>610</v>
      </c>
      <c r="B696" s="22">
        <v>201</v>
      </c>
      <c r="C696" s="23">
        <v>0.32950000000000002</v>
      </c>
      <c r="D696" s="22">
        <v>409</v>
      </c>
      <c r="E696" s="24">
        <v>2.2337962962962962E-3</v>
      </c>
      <c r="F696" s="24">
        <v>1.9907407407407408E-3</v>
      </c>
      <c r="G696" s="24">
        <v>1.3368055555555555E-2</v>
      </c>
      <c r="H696" s="24">
        <v>3.5200000000000002E-2</v>
      </c>
      <c r="I696" s="18">
        <f t="shared" si="51"/>
        <v>3.2950000000000002E-3</v>
      </c>
      <c r="J696" s="18">
        <f t="shared" si="55"/>
        <v>3.5200000000000005E-4</v>
      </c>
      <c r="K696" s="19">
        <f t="shared" si="52"/>
        <v>409</v>
      </c>
      <c r="L696" s="18">
        <f t="shared" si="53"/>
        <v>0.67049180327868851</v>
      </c>
      <c r="M696" s="18">
        <f t="shared" si="54"/>
        <v>0.32950819672131149</v>
      </c>
    </row>
    <row r="697" spans="1:13" x14ac:dyDescent="0.3">
      <c r="A697" s="22">
        <v>427</v>
      </c>
      <c r="B697" s="22">
        <v>282</v>
      </c>
      <c r="C697" s="23">
        <v>0.66039999999999999</v>
      </c>
      <c r="D697" s="22">
        <v>145</v>
      </c>
      <c r="E697" s="24">
        <v>7.1759259259259259E-4</v>
      </c>
      <c r="F697" s="24">
        <v>1.9560185185185184E-3</v>
      </c>
      <c r="G697" s="24">
        <v>1.0208333333333333E-2</v>
      </c>
      <c r="H697" s="24">
        <v>0.24879999999999999</v>
      </c>
      <c r="I697" s="18">
        <f t="shared" si="51"/>
        <v>6.6039999999999996E-3</v>
      </c>
      <c r="J697" s="18">
        <f t="shared" si="55"/>
        <v>2.4879999999999998E-3</v>
      </c>
      <c r="K697" s="19">
        <f t="shared" si="52"/>
        <v>145</v>
      </c>
      <c r="L697" s="18">
        <f t="shared" si="53"/>
        <v>0.33957845433255268</v>
      </c>
      <c r="M697" s="18">
        <f t="shared" si="54"/>
        <v>0.66042154566744726</v>
      </c>
    </row>
    <row r="698" spans="1:13" x14ac:dyDescent="0.3">
      <c r="A698" s="22">
        <v>378</v>
      </c>
      <c r="B698" s="22">
        <v>331</v>
      </c>
      <c r="C698" s="23">
        <v>0.87570000000000003</v>
      </c>
      <c r="D698" s="22">
        <v>47</v>
      </c>
      <c r="E698" s="24">
        <v>4.9768518518518521E-4</v>
      </c>
      <c r="F698" s="24">
        <v>1.8171296296296297E-3</v>
      </c>
      <c r="G698" s="24">
        <v>3.8194444444444443E-3</v>
      </c>
      <c r="H698" s="24">
        <v>0.40329999999999999</v>
      </c>
      <c r="I698" s="18">
        <f t="shared" si="51"/>
        <v>8.7570000000000009E-3</v>
      </c>
      <c r="J698" s="18">
        <f t="shared" si="55"/>
        <v>4.0330000000000001E-3</v>
      </c>
      <c r="K698" s="19">
        <f t="shared" si="52"/>
        <v>47</v>
      </c>
      <c r="L698" s="18">
        <f t="shared" si="53"/>
        <v>0.12433862433862433</v>
      </c>
      <c r="M698" s="18">
        <f t="shared" si="54"/>
        <v>0.8756613756613757</v>
      </c>
    </row>
    <row r="699" spans="1:13" x14ac:dyDescent="0.3">
      <c r="A699" s="22">
        <v>80</v>
      </c>
      <c r="B699" s="22">
        <v>67</v>
      </c>
      <c r="C699" s="23">
        <v>0.83750000000000002</v>
      </c>
      <c r="D699" s="22">
        <v>13</v>
      </c>
      <c r="E699" s="24">
        <v>4.3981481481481481E-4</v>
      </c>
      <c r="F699" s="24">
        <v>2.2222222222222222E-3</v>
      </c>
      <c r="G699" s="24">
        <v>3.8194444444444443E-3</v>
      </c>
      <c r="H699" s="24">
        <v>0.46250000000000002</v>
      </c>
      <c r="I699" s="18">
        <f t="shared" si="51"/>
        <v>8.3750000000000005E-3</v>
      </c>
      <c r="J699" s="18">
        <f t="shared" si="55"/>
        <v>4.6250000000000006E-3</v>
      </c>
      <c r="K699" s="19">
        <f t="shared" si="52"/>
        <v>13</v>
      </c>
      <c r="L699" s="18">
        <f t="shared" si="53"/>
        <v>0.16250000000000001</v>
      </c>
      <c r="M699" s="18">
        <f t="shared" si="54"/>
        <v>0.83750000000000002</v>
      </c>
    </row>
    <row r="700" spans="1:13" x14ac:dyDescent="0.3">
      <c r="A700" s="22">
        <v>356</v>
      </c>
      <c r="B700" s="22">
        <v>320</v>
      </c>
      <c r="C700" s="23">
        <v>0.89890000000000003</v>
      </c>
      <c r="D700" s="22">
        <v>36</v>
      </c>
      <c r="E700" s="24">
        <v>3.9351851851851852E-4</v>
      </c>
      <c r="F700" s="24">
        <v>1.9907407407407408E-3</v>
      </c>
      <c r="G700" s="24">
        <v>3.8194444444444443E-3</v>
      </c>
      <c r="H700" s="24">
        <v>0.52559999999999996</v>
      </c>
      <c r="I700" s="18">
        <f t="shared" si="51"/>
        <v>8.9890000000000005E-3</v>
      </c>
      <c r="J700" s="18">
        <f t="shared" si="55"/>
        <v>5.2559999999999994E-3</v>
      </c>
      <c r="K700" s="19">
        <f t="shared" si="52"/>
        <v>36</v>
      </c>
      <c r="L700" s="18">
        <f t="shared" si="53"/>
        <v>0.10112359550561797</v>
      </c>
      <c r="M700" s="18">
        <f t="shared" si="54"/>
        <v>0.898876404494382</v>
      </c>
    </row>
    <row r="701" spans="1:13" x14ac:dyDescent="0.3">
      <c r="A701" s="22">
        <v>409</v>
      </c>
      <c r="B701" s="22">
        <v>355</v>
      </c>
      <c r="C701" s="23">
        <v>0.86799999999999999</v>
      </c>
      <c r="D701" s="22">
        <v>54</v>
      </c>
      <c r="E701" s="24">
        <v>5.0925925925925921E-4</v>
      </c>
      <c r="F701" s="24">
        <v>2.0254629629629629E-3</v>
      </c>
      <c r="G701" s="24">
        <v>3.0208333333333333E-3</v>
      </c>
      <c r="H701" s="24">
        <v>0.39700000000000002</v>
      </c>
      <c r="I701" s="18">
        <f t="shared" si="51"/>
        <v>8.6800000000000002E-3</v>
      </c>
      <c r="J701" s="18">
        <f t="shared" si="55"/>
        <v>3.9700000000000004E-3</v>
      </c>
      <c r="K701" s="19">
        <f t="shared" si="52"/>
        <v>54</v>
      </c>
      <c r="L701" s="18">
        <f t="shared" si="53"/>
        <v>0.13202933985330073</v>
      </c>
      <c r="M701" s="18">
        <f t="shared" si="54"/>
        <v>0.86797066014669921</v>
      </c>
    </row>
    <row r="702" spans="1:13" x14ac:dyDescent="0.3">
      <c r="A702" s="22">
        <v>352</v>
      </c>
      <c r="B702" s="22">
        <v>302</v>
      </c>
      <c r="C702" s="23">
        <v>0.85799999999999998</v>
      </c>
      <c r="D702" s="22">
        <v>50</v>
      </c>
      <c r="E702" s="24">
        <v>4.7453703703703704E-4</v>
      </c>
      <c r="F702" s="24">
        <v>2.1180555555555558E-3</v>
      </c>
      <c r="G702" s="24">
        <v>4.0393518518518521E-3</v>
      </c>
      <c r="H702" s="24">
        <v>0.47399999999999998</v>
      </c>
      <c r="I702" s="18">
        <f t="shared" si="51"/>
        <v>8.5799999999999991E-3</v>
      </c>
      <c r="J702" s="18">
        <f t="shared" si="55"/>
        <v>4.7399999999999994E-3</v>
      </c>
      <c r="K702" s="19">
        <f t="shared" si="52"/>
        <v>50</v>
      </c>
      <c r="L702" s="18">
        <f t="shared" si="53"/>
        <v>0.14204545454545456</v>
      </c>
      <c r="M702" s="18">
        <f t="shared" si="54"/>
        <v>0.85795454545454541</v>
      </c>
    </row>
    <row r="703" spans="1:13" x14ac:dyDescent="0.3">
      <c r="A703" s="22">
        <v>282</v>
      </c>
      <c r="B703" s="22">
        <v>239</v>
      </c>
      <c r="C703" s="23">
        <v>0.84750000000000003</v>
      </c>
      <c r="D703" s="22">
        <v>43</v>
      </c>
      <c r="E703" s="24">
        <v>4.5138888888888887E-4</v>
      </c>
      <c r="F703" s="24">
        <v>2.1527777777777778E-3</v>
      </c>
      <c r="G703" s="24">
        <v>5.8564814814814816E-3</v>
      </c>
      <c r="H703" s="24">
        <v>0.51070000000000004</v>
      </c>
      <c r="I703" s="18">
        <f t="shared" si="51"/>
        <v>8.4749999999999999E-3</v>
      </c>
      <c r="J703" s="18">
        <f t="shared" si="55"/>
        <v>5.1070000000000004E-3</v>
      </c>
      <c r="K703" s="19">
        <f t="shared" si="52"/>
        <v>43</v>
      </c>
      <c r="L703" s="18">
        <f t="shared" si="53"/>
        <v>0.1524822695035461</v>
      </c>
      <c r="M703" s="18">
        <f t="shared" si="54"/>
        <v>0.84751773049645385</v>
      </c>
    </row>
    <row r="704" spans="1:13" x14ac:dyDescent="0.3">
      <c r="A704" s="22">
        <v>429</v>
      </c>
      <c r="B704" s="22">
        <v>390</v>
      </c>
      <c r="C704" s="23">
        <v>0.90910000000000002</v>
      </c>
      <c r="D704" s="22">
        <v>39</v>
      </c>
      <c r="E704" s="24">
        <v>4.3981481481481481E-4</v>
      </c>
      <c r="F704" s="24">
        <v>1.8634259259259259E-3</v>
      </c>
      <c r="G704" s="24">
        <v>2.5462962962962965E-3</v>
      </c>
      <c r="H704" s="24">
        <v>0.4466</v>
      </c>
      <c r="I704" s="18">
        <f t="shared" si="51"/>
        <v>9.0910000000000001E-3</v>
      </c>
      <c r="J704" s="18">
        <f t="shared" si="55"/>
        <v>4.4660000000000004E-3</v>
      </c>
      <c r="K704" s="19">
        <f t="shared" si="52"/>
        <v>39</v>
      </c>
      <c r="L704" s="18">
        <f t="shared" si="53"/>
        <v>9.0909090909090912E-2</v>
      </c>
      <c r="M704" s="18">
        <f t="shared" si="54"/>
        <v>0.90909090909090906</v>
      </c>
    </row>
    <row r="705" spans="1:13" x14ac:dyDescent="0.3">
      <c r="A705" s="22">
        <v>310</v>
      </c>
      <c r="B705" s="22">
        <v>285</v>
      </c>
      <c r="C705" s="23">
        <v>0.9194</v>
      </c>
      <c r="D705" s="22">
        <v>25</v>
      </c>
      <c r="E705" s="24">
        <v>3.8194444444444446E-4</v>
      </c>
      <c r="F705" s="24">
        <v>1.9097222222222222E-3</v>
      </c>
      <c r="G705" s="24">
        <v>2.9166666666666668E-3</v>
      </c>
      <c r="H705" s="24">
        <v>0.56110000000000004</v>
      </c>
      <c r="I705" s="18">
        <f t="shared" si="51"/>
        <v>9.1940000000000008E-3</v>
      </c>
      <c r="J705" s="18">
        <f t="shared" si="55"/>
        <v>5.6110000000000005E-3</v>
      </c>
      <c r="K705" s="19">
        <f t="shared" si="52"/>
        <v>25</v>
      </c>
      <c r="L705" s="18">
        <f t="shared" si="53"/>
        <v>8.0645161290322578E-2</v>
      </c>
      <c r="M705" s="18">
        <f t="shared" si="54"/>
        <v>0.91935483870967738</v>
      </c>
    </row>
    <row r="706" spans="1:13" x14ac:dyDescent="0.3">
      <c r="A706" s="22">
        <v>102</v>
      </c>
      <c r="B706" s="22">
        <v>94</v>
      </c>
      <c r="C706" s="23">
        <v>0.92159999999999997</v>
      </c>
      <c r="D706" s="22">
        <v>8</v>
      </c>
      <c r="E706" s="24">
        <v>3.3564814814814812E-4</v>
      </c>
      <c r="F706" s="24">
        <v>1.8518518518518519E-3</v>
      </c>
      <c r="G706" s="24">
        <v>1.9444444444444444E-3</v>
      </c>
      <c r="H706" s="24">
        <v>0.63729999999999998</v>
      </c>
      <c r="I706" s="18">
        <f t="shared" si="51"/>
        <v>9.2160000000000002E-3</v>
      </c>
      <c r="J706" s="18">
        <f t="shared" si="55"/>
        <v>6.3730000000000002E-3</v>
      </c>
      <c r="K706" s="19">
        <f t="shared" si="52"/>
        <v>8</v>
      </c>
      <c r="L706" s="18">
        <f t="shared" si="53"/>
        <v>7.8431372549019607E-2</v>
      </c>
      <c r="M706" s="18">
        <f t="shared" si="54"/>
        <v>0.92156862745098034</v>
      </c>
    </row>
    <row r="707" spans="1:13" x14ac:dyDescent="0.3">
      <c r="A707" s="22">
        <v>335</v>
      </c>
      <c r="B707" s="22">
        <v>297</v>
      </c>
      <c r="C707" s="23">
        <v>0.88660000000000005</v>
      </c>
      <c r="D707" s="22">
        <v>38</v>
      </c>
      <c r="E707" s="24">
        <v>4.5138888888888887E-4</v>
      </c>
      <c r="F707" s="24">
        <v>1.7708333333333332E-3</v>
      </c>
      <c r="G707" s="24">
        <v>2.5694444444444445E-3</v>
      </c>
      <c r="H707" s="24">
        <v>0.43640000000000001</v>
      </c>
      <c r="I707" s="18">
        <f t="shared" ref="I707:I770" si="56">VALUE(SUBSTITUTE(C707,"%",""))/100</f>
        <v>8.8660000000000006E-3</v>
      </c>
      <c r="J707" s="18">
        <f t="shared" si="55"/>
        <v>4.3639999999999998E-3</v>
      </c>
      <c r="K707" s="19">
        <f t="shared" ref="K707:K770" si="57">A707-B707</f>
        <v>38</v>
      </c>
      <c r="L707" s="18">
        <f t="shared" ref="L707:L770" si="58">D707/A707</f>
        <v>0.11343283582089553</v>
      </c>
      <c r="M707" s="18">
        <f t="shared" ref="M707:M770" si="59">B707/A707</f>
        <v>0.88656716417910453</v>
      </c>
    </row>
    <row r="708" spans="1:13" x14ac:dyDescent="0.3">
      <c r="A708" s="22">
        <v>313</v>
      </c>
      <c r="B708" s="22">
        <v>291</v>
      </c>
      <c r="C708" s="23">
        <v>0.92969999999999997</v>
      </c>
      <c r="D708" s="22">
        <v>22</v>
      </c>
      <c r="E708" s="24">
        <v>3.0092592592592595E-4</v>
      </c>
      <c r="F708" s="24">
        <v>1.6782407407407408E-3</v>
      </c>
      <c r="G708" s="24">
        <v>2.5694444444444445E-3</v>
      </c>
      <c r="H708" s="24">
        <v>0.64290000000000003</v>
      </c>
      <c r="I708" s="18">
        <f t="shared" si="56"/>
        <v>9.2969999999999997E-3</v>
      </c>
      <c r="J708" s="18">
        <f t="shared" si="55"/>
        <v>6.4290000000000007E-3</v>
      </c>
      <c r="K708" s="19">
        <f t="shared" si="57"/>
        <v>22</v>
      </c>
      <c r="L708" s="18">
        <f t="shared" si="58"/>
        <v>7.0287539936102233E-2</v>
      </c>
      <c r="M708" s="18">
        <f t="shared" si="59"/>
        <v>0.92971246006389774</v>
      </c>
    </row>
    <row r="709" spans="1:13" x14ac:dyDescent="0.3">
      <c r="A709" s="22">
        <v>251</v>
      </c>
      <c r="B709" s="22">
        <v>240</v>
      </c>
      <c r="C709" s="23">
        <v>0.95620000000000005</v>
      </c>
      <c r="D709" s="22">
        <v>11</v>
      </c>
      <c r="E709" s="24">
        <v>2.7777777777777778E-4</v>
      </c>
      <c r="F709" s="24">
        <v>1.8749999999999999E-3</v>
      </c>
      <c r="G709" s="24">
        <v>1.9097222222222222E-3</v>
      </c>
      <c r="H709" s="24">
        <v>0.67200000000000004</v>
      </c>
      <c r="I709" s="18">
        <f t="shared" si="56"/>
        <v>9.5620000000000011E-3</v>
      </c>
      <c r="J709" s="18">
        <f t="shared" si="55"/>
        <v>6.7200000000000003E-3</v>
      </c>
      <c r="K709" s="19">
        <f t="shared" si="57"/>
        <v>11</v>
      </c>
      <c r="L709" s="18">
        <f t="shared" si="58"/>
        <v>4.3824701195219126E-2</v>
      </c>
      <c r="M709" s="18">
        <f t="shared" si="59"/>
        <v>0.95617529880478092</v>
      </c>
    </row>
    <row r="710" spans="1:13" x14ac:dyDescent="0.3">
      <c r="A710" s="22">
        <v>190</v>
      </c>
      <c r="B710" s="22">
        <v>176</v>
      </c>
      <c r="C710" s="23">
        <v>0.92630000000000001</v>
      </c>
      <c r="D710" s="22">
        <v>14</v>
      </c>
      <c r="E710" s="24">
        <v>2.7777777777777778E-4</v>
      </c>
      <c r="F710" s="24">
        <v>1.7476851851851852E-3</v>
      </c>
      <c r="G710" s="24">
        <v>2.6967592592592594E-3</v>
      </c>
      <c r="H710" s="24">
        <v>0.67720000000000002</v>
      </c>
      <c r="I710" s="18">
        <f t="shared" si="56"/>
        <v>9.2630000000000004E-3</v>
      </c>
      <c r="J710" s="18">
        <f t="shared" ref="J710:J773" si="60">VALUE(SUBSTITUTE(H710,"%",""))/100</f>
        <v>6.7720000000000002E-3</v>
      </c>
      <c r="K710" s="19">
        <f t="shared" si="57"/>
        <v>14</v>
      </c>
      <c r="L710" s="18">
        <f t="shared" si="58"/>
        <v>7.3684210526315783E-2</v>
      </c>
      <c r="M710" s="18">
        <f t="shared" si="59"/>
        <v>0.9263157894736842</v>
      </c>
    </row>
    <row r="711" spans="1:13" x14ac:dyDescent="0.3">
      <c r="A711" s="22">
        <v>188</v>
      </c>
      <c r="B711" s="22">
        <v>170</v>
      </c>
      <c r="C711" s="23">
        <v>0.90429999999999999</v>
      </c>
      <c r="D711" s="22">
        <v>18</v>
      </c>
      <c r="E711" s="24">
        <v>3.9351851851851852E-4</v>
      </c>
      <c r="F711" s="24">
        <v>1.9560185185185184E-3</v>
      </c>
      <c r="G711" s="24">
        <v>4.4560185185185189E-3</v>
      </c>
      <c r="H711" s="24">
        <v>0.5323</v>
      </c>
      <c r="I711" s="18">
        <f t="shared" si="56"/>
        <v>9.0430000000000007E-3</v>
      </c>
      <c r="J711" s="18">
        <f t="shared" si="60"/>
        <v>5.3229999999999996E-3</v>
      </c>
      <c r="K711" s="19">
        <f t="shared" si="57"/>
        <v>18</v>
      </c>
      <c r="L711" s="18">
        <f t="shared" si="58"/>
        <v>9.5744680851063829E-2</v>
      </c>
      <c r="M711" s="18">
        <f t="shared" si="59"/>
        <v>0.9042553191489362</v>
      </c>
    </row>
    <row r="712" spans="1:13" x14ac:dyDescent="0.3">
      <c r="A712" s="22">
        <v>166</v>
      </c>
      <c r="B712" s="22">
        <v>160</v>
      </c>
      <c r="C712" s="23">
        <v>0.96389999999999998</v>
      </c>
      <c r="D712" s="22">
        <v>6</v>
      </c>
      <c r="E712" s="24">
        <v>1.7361111111111112E-4</v>
      </c>
      <c r="F712" s="24">
        <v>1.8518518518518519E-3</v>
      </c>
      <c r="G712" s="24">
        <v>1.9097222222222222E-3</v>
      </c>
      <c r="H712" s="24">
        <v>0.81820000000000004</v>
      </c>
      <c r="I712" s="18">
        <f t="shared" si="56"/>
        <v>9.639E-3</v>
      </c>
      <c r="J712" s="18">
        <f t="shared" si="60"/>
        <v>8.182E-3</v>
      </c>
      <c r="K712" s="19">
        <f t="shared" si="57"/>
        <v>6</v>
      </c>
      <c r="L712" s="18">
        <f t="shared" si="58"/>
        <v>3.614457831325301E-2</v>
      </c>
      <c r="M712" s="18">
        <f t="shared" si="59"/>
        <v>0.96385542168674698</v>
      </c>
    </row>
    <row r="713" spans="1:13" x14ac:dyDescent="0.3">
      <c r="A713" s="22">
        <v>73</v>
      </c>
      <c r="B713" s="22">
        <v>68</v>
      </c>
      <c r="C713" s="23">
        <v>0.93149999999999999</v>
      </c>
      <c r="D713" s="22">
        <v>5</v>
      </c>
      <c r="E713" s="24">
        <v>1.7361111111111112E-4</v>
      </c>
      <c r="F713" s="24">
        <v>1.5393518518518519E-3</v>
      </c>
      <c r="G713" s="24">
        <v>1.712962962962963E-3</v>
      </c>
      <c r="H713" s="24">
        <v>0.78869999999999996</v>
      </c>
      <c r="I713" s="18">
        <f t="shared" si="56"/>
        <v>9.3150000000000004E-3</v>
      </c>
      <c r="J713" s="18">
        <f t="shared" si="60"/>
        <v>7.8869999999999999E-3</v>
      </c>
      <c r="K713" s="19">
        <f t="shared" si="57"/>
        <v>5</v>
      </c>
      <c r="L713" s="18">
        <f t="shared" si="58"/>
        <v>6.8493150684931503E-2</v>
      </c>
      <c r="M713" s="18">
        <f t="shared" si="59"/>
        <v>0.93150684931506844</v>
      </c>
    </row>
    <row r="714" spans="1:13" x14ac:dyDescent="0.3">
      <c r="A714" s="22">
        <v>170</v>
      </c>
      <c r="B714" s="22">
        <v>159</v>
      </c>
      <c r="C714" s="23">
        <v>0.93530000000000002</v>
      </c>
      <c r="D714" s="22">
        <v>11</v>
      </c>
      <c r="E714" s="24">
        <v>2.3148148148148149E-4</v>
      </c>
      <c r="F714" s="24">
        <v>1.8518518518518519E-3</v>
      </c>
      <c r="G714" s="24">
        <v>3.3680555555555556E-3</v>
      </c>
      <c r="H714" s="24">
        <v>0.73209999999999997</v>
      </c>
      <c r="I714" s="18">
        <f t="shared" si="56"/>
        <v>9.3530000000000002E-3</v>
      </c>
      <c r="J714" s="18">
        <f t="shared" si="60"/>
        <v>7.3209999999999994E-3</v>
      </c>
      <c r="K714" s="19">
        <f t="shared" si="57"/>
        <v>11</v>
      </c>
      <c r="L714" s="18">
        <f t="shared" si="58"/>
        <v>6.4705882352941183E-2</v>
      </c>
      <c r="M714" s="18">
        <f t="shared" si="59"/>
        <v>0.93529411764705883</v>
      </c>
    </row>
    <row r="715" spans="1:13" x14ac:dyDescent="0.3">
      <c r="A715" s="22">
        <v>188</v>
      </c>
      <c r="B715" s="22">
        <v>181</v>
      </c>
      <c r="C715" s="23">
        <v>0.96279999999999999</v>
      </c>
      <c r="D715" s="22">
        <v>7</v>
      </c>
      <c r="E715" s="24">
        <v>2.6620370370370372E-4</v>
      </c>
      <c r="F715" s="24">
        <v>1.8402777777777777E-3</v>
      </c>
      <c r="G715" s="24">
        <v>2.0949074074074073E-3</v>
      </c>
      <c r="H715" s="24">
        <v>0.68279999999999996</v>
      </c>
      <c r="I715" s="18">
        <f t="shared" si="56"/>
        <v>9.6279999999999994E-3</v>
      </c>
      <c r="J715" s="18">
        <f t="shared" si="60"/>
        <v>6.8279999999999999E-3</v>
      </c>
      <c r="K715" s="19">
        <f t="shared" si="57"/>
        <v>7</v>
      </c>
      <c r="L715" s="18">
        <f t="shared" si="58"/>
        <v>3.7234042553191488E-2</v>
      </c>
      <c r="M715" s="18">
        <f t="shared" si="59"/>
        <v>0.96276595744680848</v>
      </c>
    </row>
    <row r="716" spans="1:13" x14ac:dyDescent="0.3">
      <c r="A716" s="22">
        <v>306</v>
      </c>
      <c r="B716" s="22">
        <v>262</v>
      </c>
      <c r="C716" s="23">
        <v>0.85619999999999996</v>
      </c>
      <c r="D716" s="22">
        <v>44</v>
      </c>
      <c r="E716" s="24">
        <v>5.0925925925925921E-4</v>
      </c>
      <c r="F716" s="24">
        <v>1.9444444444444444E-3</v>
      </c>
      <c r="G716" s="24">
        <v>5.2893518518518515E-3</v>
      </c>
      <c r="H716" s="24">
        <v>0.46329999999999999</v>
      </c>
      <c r="I716" s="18">
        <f t="shared" si="56"/>
        <v>8.5620000000000002E-3</v>
      </c>
      <c r="J716" s="18">
        <f t="shared" si="60"/>
        <v>4.633E-3</v>
      </c>
      <c r="K716" s="19">
        <f t="shared" si="57"/>
        <v>44</v>
      </c>
      <c r="L716" s="18">
        <f t="shared" si="58"/>
        <v>0.1437908496732026</v>
      </c>
      <c r="M716" s="18">
        <f t="shared" si="59"/>
        <v>0.85620915032679734</v>
      </c>
    </row>
    <row r="717" spans="1:13" x14ac:dyDescent="0.3">
      <c r="A717" s="22">
        <v>201</v>
      </c>
      <c r="B717" s="22">
        <v>185</v>
      </c>
      <c r="C717" s="23">
        <v>0.9204</v>
      </c>
      <c r="D717" s="22">
        <v>16</v>
      </c>
      <c r="E717" s="24">
        <v>2.6620370370370372E-4</v>
      </c>
      <c r="F717" s="24">
        <v>1.8287037037037037E-3</v>
      </c>
      <c r="G717" s="24">
        <v>1.9212962962962964E-3</v>
      </c>
      <c r="H717" s="24">
        <v>0.6734</v>
      </c>
      <c r="I717" s="18">
        <f t="shared" si="56"/>
        <v>9.2040000000000004E-3</v>
      </c>
      <c r="J717" s="18">
        <f t="shared" si="60"/>
        <v>6.7340000000000004E-3</v>
      </c>
      <c r="K717" s="19">
        <f t="shared" si="57"/>
        <v>16</v>
      </c>
      <c r="L717" s="18">
        <f t="shared" si="58"/>
        <v>7.9601990049751242E-2</v>
      </c>
      <c r="M717" s="18">
        <f t="shared" si="59"/>
        <v>0.92039800995024879</v>
      </c>
    </row>
    <row r="718" spans="1:13" x14ac:dyDescent="0.3">
      <c r="A718" s="22">
        <v>188</v>
      </c>
      <c r="B718" s="22">
        <v>184</v>
      </c>
      <c r="C718" s="23">
        <v>0.97870000000000001</v>
      </c>
      <c r="D718" s="22">
        <v>4</v>
      </c>
      <c r="E718" s="24">
        <v>1.9675925925925926E-4</v>
      </c>
      <c r="F718" s="24">
        <v>1.8055555555555555E-3</v>
      </c>
      <c r="G718" s="24">
        <v>1.6435185185185185E-3</v>
      </c>
      <c r="H718" s="24">
        <v>0.79259999999999997</v>
      </c>
      <c r="I718" s="18">
        <f t="shared" si="56"/>
        <v>9.7870000000000006E-3</v>
      </c>
      <c r="J718" s="18">
        <f t="shared" si="60"/>
        <v>7.925999999999999E-3</v>
      </c>
      <c r="K718" s="19">
        <f t="shared" si="57"/>
        <v>4</v>
      </c>
      <c r="L718" s="18">
        <f t="shared" si="58"/>
        <v>2.1276595744680851E-2</v>
      </c>
      <c r="M718" s="18">
        <f t="shared" si="59"/>
        <v>0.97872340425531912</v>
      </c>
    </row>
    <row r="719" spans="1:13" x14ac:dyDescent="0.3">
      <c r="A719" s="22">
        <v>148</v>
      </c>
      <c r="B719" s="22">
        <v>131</v>
      </c>
      <c r="C719" s="23">
        <v>0.8851</v>
      </c>
      <c r="D719" s="22">
        <v>17</v>
      </c>
      <c r="E719" s="24">
        <v>3.5879629629629629E-4</v>
      </c>
      <c r="F719" s="24">
        <v>1.9791666666666668E-3</v>
      </c>
      <c r="G719" s="24">
        <v>2.5000000000000001E-3</v>
      </c>
      <c r="H719" s="24">
        <v>0.53059999999999996</v>
      </c>
      <c r="I719" s="18">
        <f t="shared" si="56"/>
        <v>8.8509999999999995E-3</v>
      </c>
      <c r="J719" s="18">
        <f t="shared" si="60"/>
        <v>5.306E-3</v>
      </c>
      <c r="K719" s="19">
        <f t="shared" si="57"/>
        <v>17</v>
      </c>
      <c r="L719" s="18">
        <f t="shared" si="58"/>
        <v>0.11486486486486487</v>
      </c>
      <c r="M719" s="18">
        <f t="shared" si="59"/>
        <v>0.88513513513513509</v>
      </c>
    </row>
    <row r="720" spans="1:13" x14ac:dyDescent="0.3">
      <c r="A720" s="22">
        <v>21</v>
      </c>
      <c r="B720" s="22">
        <v>17</v>
      </c>
      <c r="C720" s="23">
        <v>0.8095</v>
      </c>
      <c r="D720" s="22">
        <v>4</v>
      </c>
      <c r="E720" s="24">
        <v>6.018518518518519E-4</v>
      </c>
      <c r="F720" s="24">
        <v>2.4189814814814816E-3</v>
      </c>
      <c r="G720" s="24">
        <v>7.6388888888888886E-3</v>
      </c>
      <c r="H720" s="24">
        <v>0.52380000000000004</v>
      </c>
      <c r="I720" s="18">
        <f t="shared" si="56"/>
        <v>8.0949999999999998E-3</v>
      </c>
      <c r="J720" s="18">
        <f t="shared" si="60"/>
        <v>5.2380000000000005E-3</v>
      </c>
      <c r="K720" s="19">
        <f t="shared" si="57"/>
        <v>4</v>
      </c>
      <c r="L720" s="18">
        <f t="shared" si="58"/>
        <v>0.19047619047619047</v>
      </c>
      <c r="M720" s="18">
        <f t="shared" si="59"/>
        <v>0.80952380952380953</v>
      </c>
    </row>
    <row r="721" spans="1:13" x14ac:dyDescent="0.3">
      <c r="A721" s="22">
        <v>148</v>
      </c>
      <c r="B721" s="22">
        <v>129</v>
      </c>
      <c r="C721" s="23">
        <v>0.87160000000000004</v>
      </c>
      <c r="D721" s="22">
        <v>19</v>
      </c>
      <c r="E721" s="24">
        <v>4.6296296296296298E-4</v>
      </c>
      <c r="F721" s="24">
        <v>2.0949074074074073E-3</v>
      </c>
      <c r="G721" s="24">
        <v>4.8148148148148152E-3</v>
      </c>
      <c r="H721" s="24">
        <v>0.45519999999999999</v>
      </c>
      <c r="I721" s="18">
        <f t="shared" si="56"/>
        <v>8.7159999999999998E-3</v>
      </c>
      <c r="J721" s="18">
        <f t="shared" si="60"/>
        <v>4.5519999999999996E-3</v>
      </c>
      <c r="K721" s="19">
        <f t="shared" si="57"/>
        <v>19</v>
      </c>
      <c r="L721" s="18">
        <f t="shared" si="58"/>
        <v>0.12837837837837837</v>
      </c>
      <c r="M721" s="18">
        <f t="shared" si="59"/>
        <v>0.8716216216216216</v>
      </c>
    </row>
    <row r="722" spans="1:13" x14ac:dyDescent="0.3">
      <c r="A722" s="22">
        <v>167</v>
      </c>
      <c r="B722" s="22">
        <v>154</v>
      </c>
      <c r="C722" s="23">
        <v>0.92220000000000002</v>
      </c>
      <c r="D722" s="22">
        <v>13</v>
      </c>
      <c r="E722" s="24">
        <v>1.9675925925925926E-4</v>
      </c>
      <c r="F722" s="24">
        <v>1.8865740740740742E-3</v>
      </c>
      <c r="G722" s="24">
        <v>1.9560185185185184E-3</v>
      </c>
      <c r="H722" s="24">
        <v>0.7349</v>
      </c>
      <c r="I722" s="18">
        <f t="shared" si="56"/>
        <v>9.222000000000001E-3</v>
      </c>
      <c r="J722" s="18">
        <f t="shared" si="60"/>
        <v>7.3489999999999996E-3</v>
      </c>
      <c r="K722" s="19">
        <f t="shared" si="57"/>
        <v>13</v>
      </c>
      <c r="L722" s="18">
        <f t="shared" si="58"/>
        <v>7.7844311377245512E-2</v>
      </c>
      <c r="M722" s="18">
        <f t="shared" si="59"/>
        <v>0.92215568862275454</v>
      </c>
    </row>
    <row r="723" spans="1:13" x14ac:dyDescent="0.3">
      <c r="A723" s="22">
        <v>169</v>
      </c>
      <c r="B723" s="22">
        <v>158</v>
      </c>
      <c r="C723" s="23">
        <v>0.93489999999999995</v>
      </c>
      <c r="D723" s="22">
        <v>11</v>
      </c>
      <c r="E723" s="24">
        <v>1.8518518518518518E-4</v>
      </c>
      <c r="F723" s="24">
        <v>1.8055555555555555E-3</v>
      </c>
      <c r="G723" s="24">
        <v>1.2037037037037038E-3</v>
      </c>
      <c r="H723" s="24">
        <v>0.75</v>
      </c>
      <c r="I723" s="18">
        <f t="shared" si="56"/>
        <v>9.3489999999999997E-3</v>
      </c>
      <c r="J723" s="18">
        <f t="shared" si="60"/>
        <v>7.4999999999999997E-3</v>
      </c>
      <c r="K723" s="19">
        <f t="shared" si="57"/>
        <v>11</v>
      </c>
      <c r="L723" s="18">
        <f t="shared" si="58"/>
        <v>6.5088757396449703E-2</v>
      </c>
      <c r="M723" s="18">
        <f t="shared" si="59"/>
        <v>0.9349112426035503</v>
      </c>
    </row>
    <row r="724" spans="1:13" x14ac:dyDescent="0.3">
      <c r="A724" s="22">
        <v>175</v>
      </c>
      <c r="B724" s="22">
        <v>163</v>
      </c>
      <c r="C724" s="23">
        <v>0.93140000000000001</v>
      </c>
      <c r="D724" s="22">
        <v>12</v>
      </c>
      <c r="E724" s="24">
        <v>2.5462962962962961E-4</v>
      </c>
      <c r="F724" s="24">
        <v>1.8171296296296297E-3</v>
      </c>
      <c r="G724" s="24">
        <v>1.5972222222222223E-3</v>
      </c>
      <c r="H724" s="24">
        <v>0.71099999999999997</v>
      </c>
      <c r="I724" s="18">
        <f t="shared" si="56"/>
        <v>9.3139999999999994E-3</v>
      </c>
      <c r="J724" s="18">
        <f t="shared" si="60"/>
        <v>7.11E-3</v>
      </c>
      <c r="K724" s="19">
        <f t="shared" si="57"/>
        <v>12</v>
      </c>
      <c r="L724" s="18">
        <f t="shared" si="58"/>
        <v>6.8571428571428575E-2</v>
      </c>
      <c r="M724" s="18">
        <f t="shared" si="59"/>
        <v>0.93142857142857138</v>
      </c>
    </row>
    <row r="725" spans="1:13" x14ac:dyDescent="0.3">
      <c r="A725" s="22">
        <v>193</v>
      </c>
      <c r="B725" s="22">
        <v>183</v>
      </c>
      <c r="C725" s="23">
        <v>0.94820000000000004</v>
      </c>
      <c r="D725" s="22">
        <v>10</v>
      </c>
      <c r="E725" s="24">
        <v>1.8518518518518518E-4</v>
      </c>
      <c r="F725" s="24">
        <v>1.9560185185185184E-3</v>
      </c>
      <c r="G725" s="24">
        <v>1.9444444444444444E-3</v>
      </c>
      <c r="H725" s="24">
        <v>0.80210000000000004</v>
      </c>
      <c r="I725" s="18">
        <f t="shared" si="56"/>
        <v>9.4820000000000008E-3</v>
      </c>
      <c r="J725" s="18">
        <f t="shared" si="60"/>
        <v>8.0210000000000004E-3</v>
      </c>
      <c r="K725" s="19">
        <f t="shared" si="57"/>
        <v>10</v>
      </c>
      <c r="L725" s="18">
        <f t="shared" si="58"/>
        <v>5.181347150259067E-2</v>
      </c>
      <c r="M725" s="18">
        <f t="shared" si="59"/>
        <v>0.94818652849740936</v>
      </c>
    </row>
    <row r="726" spans="1:13" x14ac:dyDescent="0.3">
      <c r="A726" s="22">
        <v>154</v>
      </c>
      <c r="B726" s="22">
        <v>144</v>
      </c>
      <c r="C726" s="23">
        <v>0.93510000000000004</v>
      </c>
      <c r="D726" s="22">
        <v>10</v>
      </c>
      <c r="E726" s="24">
        <v>2.3148148148148149E-4</v>
      </c>
      <c r="F726" s="24">
        <v>1.8634259259259259E-3</v>
      </c>
      <c r="G726" s="24">
        <v>2.0138888888888888E-3</v>
      </c>
      <c r="H726" s="24">
        <v>0.73509999999999998</v>
      </c>
      <c r="I726" s="18">
        <f t="shared" si="56"/>
        <v>9.3509999999999999E-3</v>
      </c>
      <c r="J726" s="18">
        <f t="shared" si="60"/>
        <v>7.3509999999999999E-3</v>
      </c>
      <c r="K726" s="19">
        <f t="shared" si="57"/>
        <v>10</v>
      </c>
      <c r="L726" s="18">
        <f t="shared" si="58"/>
        <v>6.4935064935064929E-2</v>
      </c>
      <c r="M726" s="18">
        <f t="shared" si="59"/>
        <v>0.93506493506493504</v>
      </c>
    </row>
    <row r="727" spans="1:13" x14ac:dyDescent="0.3">
      <c r="A727" s="22">
        <v>35</v>
      </c>
      <c r="B727" s="22">
        <v>34</v>
      </c>
      <c r="C727" s="23">
        <v>0.97140000000000004</v>
      </c>
      <c r="D727" s="22">
        <v>1</v>
      </c>
      <c r="E727" s="24">
        <v>1.6203703703703703E-4</v>
      </c>
      <c r="F727" s="24">
        <v>2.1527777777777778E-3</v>
      </c>
      <c r="G727" s="24">
        <v>6.7129629629629625E-4</v>
      </c>
      <c r="H727" s="24">
        <v>0.77139999999999997</v>
      </c>
      <c r="I727" s="18">
        <f t="shared" si="56"/>
        <v>9.7140000000000004E-3</v>
      </c>
      <c r="J727" s="18">
        <f t="shared" si="60"/>
        <v>7.7139999999999995E-3</v>
      </c>
      <c r="K727" s="19">
        <f t="shared" si="57"/>
        <v>1</v>
      </c>
      <c r="L727" s="18">
        <f t="shared" si="58"/>
        <v>2.8571428571428571E-2</v>
      </c>
      <c r="M727" s="18">
        <f t="shared" si="59"/>
        <v>0.97142857142857142</v>
      </c>
    </row>
    <row r="728" spans="1:13" x14ac:dyDescent="0.3">
      <c r="A728" s="22">
        <v>172</v>
      </c>
      <c r="B728" s="22">
        <v>161</v>
      </c>
      <c r="C728" s="23">
        <v>0.93600000000000005</v>
      </c>
      <c r="D728" s="22">
        <v>11</v>
      </c>
      <c r="E728" s="24">
        <v>2.3148148148148149E-4</v>
      </c>
      <c r="F728" s="24">
        <v>1.9444444444444444E-3</v>
      </c>
      <c r="G728" s="24">
        <v>1.7592592592592592E-3</v>
      </c>
      <c r="H728" s="24">
        <v>0.72089999999999999</v>
      </c>
      <c r="I728" s="18">
        <f t="shared" si="56"/>
        <v>9.3600000000000003E-3</v>
      </c>
      <c r="J728" s="18">
        <f t="shared" si="60"/>
        <v>7.2090000000000001E-3</v>
      </c>
      <c r="K728" s="19">
        <f t="shared" si="57"/>
        <v>11</v>
      </c>
      <c r="L728" s="18">
        <f t="shared" si="58"/>
        <v>6.3953488372093026E-2</v>
      </c>
      <c r="M728" s="18">
        <f t="shared" si="59"/>
        <v>0.93604651162790697</v>
      </c>
    </row>
    <row r="729" spans="1:13" x14ac:dyDescent="0.3">
      <c r="A729" s="22">
        <v>195</v>
      </c>
      <c r="B729" s="22">
        <v>182</v>
      </c>
      <c r="C729" s="23">
        <v>0.93330000000000002</v>
      </c>
      <c r="D729" s="22">
        <v>13</v>
      </c>
      <c r="E729" s="24">
        <v>2.7777777777777778E-4</v>
      </c>
      <c r="F729" s="24">
        <v>1.9791666666666668E-3</v>
      </c>
      <c r="G729" s="24">
        <v>2.1990740740740742E-3</v>
      </c>
      <c r="H729" s="24">
        <v>0.66839999999999999</v>
      </c>
      <c r="I729" s="18">
        <f t="shared" si="56"/>
        <v>9.333000000000001E-3</v>
      </c>
      <c r="J729" s="18">
        <f t="shared" si="60"/>
        <v>6.6839999999999998E-3</v>
      </c>
      <c r="K729" s="19">
        <f t="shared" si="57"/>
        <v>13</v>
      </c>
      <c r="L729" s="18">
        <f t="shared" si="58"/>
        <v>6.6666666666666666E-2</v>
      </c>
      <c r="M729" s="18">
        <f t="shared" si="59"/>
        <v>0.93333333333333335</v>
      </c>
    </row>
    <row r="730" spans="1:13" x14ac:dyDescent="0.3">
      <c r="A730" s="22">
        <v>163</v>
      </c>
      <c r="B730" s="22">
        <v>157</v>
      </c>
      <c r="C730" s="23">
        <v>0.96319999999999995</v>
      </c>
      <c r="D730" s="22">
        <v>6</v>
      </c>
      <c r="E730" s="24">
        <v>1.9675925925925926E-4</v>
      </c>
      <c r="F730" s="24">
        <v>1.9212962962962964E-3</v>
      </c>
      <c r="G730" s="24">
        <v>3.8541666666666668E-3</v>
      </c>
      <c r="H730" s="24">
        <v>0.82210000000000005</v>
      </c>
      <c r="I730" s="18">
        <f t="shared" si="56"/>
        <v>9.6319999999999999E-3</v>
      </c>
      <c r="J730" s="18">
        <f t="shared" si="60"/>
        <v>8.2210000000000009E-3</v>
      </c>
      <c r="K730" s="19">
        <f t="shared" si="57"/>
        <v>6</v>
      </c>
      <c r="L730" s="18">
        <f t="shared" si="58"/>
        <v>3.6809815950920248E-2</v>
      </c>
      <c r="M730" s="18">
        <f t="shared" si="59"/>
        <v>0.96319018404907975</v>
      </c>
    </row>
    <row r="731" spans="1:13" x14ac:dyDescent="0.3">
      <c r="A731" s="22">
        <v>134</v>
      </c>
      <c r="B731" s="22">
        <v>126</v>
      </c>
      <c r="C731" s="23">
        <v>0.94030000000000002</v>
      </c>
      <c r="D731" s="22">
        <v>8</v>
      </c>
      <c r="E731" s="24">
        <v>3.4722222222222224E-4</v>
      </c>
      <c r="F731" s="24">
        <v>2.0601851851851853E-3</v>
      </c>
      <c r="G731" s="24">
        <v>3.460648148148148E-3</v>
      </c>
      <c r="H731" s="24">
        <v>0.63570000000000004</v>
      </c>
      <c r="I731" s="18">
        <f t="shared" si="56"/>
        <v>9.4029999999999999E-3</v>
      </c>
      <c r="J731" s="18">
        <f t="shared" si="60"/>
        <v>6.3570000000000007E-3</v>
      </c>
      <c r="K731" s="19">
        <f t="shared" si="57"/>
        <v>8</v>
      </c>
      <c r="L731" s="18">
        <f t="shared" si="58"/>
        <v>5.9701492537313432E-2</v>
      </c>
      <c r="M731" s="18">
        <f t="shared" si="59"/>
        <v>0.94029850746268662</v>
      </c>
    </row>
    <row r="732" spans="1:13" x14ac:dyDescent="0.3">
      <c r="A732" s="22">
        <v>158</v>
      </c>
      <c r="B732" s="22">
        <v>142</v>
      </c>
      <c r="C732" s="23">
        <v>0.89870000000000005</v>
      </c>
      <c r="D732" s="22">
        <v>16</v>
      </c>
      <c r="E732" s="24">
        <v>2.8935185185185184E-4</v>
      </c>
      <c r="F732" s="24">
        <v>1.9097222222222222E-3</v>
      </c>
      <c r="G732" s="24">
        <v>2.0370370370370369E-3</v>
      </c>
      <c r="H732" s="24">
        <v>0.59350000000000003</v>
      </c>
      <c r="I732" s="18">
        <f t="shared" si="56"/>
        <v>8.9870000000000002E-3</v>
      </c>
      <c r="J732" s="18">
        <f t="shared" si="60"/>
        <v>5.9350000000000002E-3</v>
      </c>
      <c r="K732" s="19">
        <f t="shared" si="57"/>
        <v>16</v>
      </c>
      <c r="L732" s="18">
        <f t="shared" si="58"/>
        <v>0.10126582278481013</v>
      </c>
      <c r="M732" s="18">
        <f t="shared" si="59"/>
        <v>0.89873417721518989</v>
      </c>
    </row>
    <row r="733" spans="1:13" x14ac:dyDescent="0.3">
      <c r="A733" s="22">
        <v>161</v>
      </c>
      <c r="B733" s="22">
        <v>144</v>
      </c>
      <c r="C733" s="23">
        <v>0.89439999999999997</v>
      </c>
      <c r="D733" s="22">
        <v>17</v>
      </c>
      <c r="E733" s="24">
        <v>3.9351851851851852E-4</v>
      </c>
      <c r="F733" s="24">
        <v>1.9560185185185184E-3</v>
      </c>
      <c r="G733" s="24">
        <v>3.472222222222222E-3</v>
      </c>
      <c r="H733" s="24">
        <v>0.53129999999999999</v>
      </c>
      <c r="I733" s="18">
        <f t="shared" si="56"/>
        <v>8.9440000000000006E-3</v>
      </c>
      <c r="J733" s="18">
        <f t="shared" si="60"/>
        <v>5.313E-3</v>
      </c>
      <c r="K733" s="19">
        <f t="shared" si="57"/>
        <v>17</v>
      </c>
      <c r="L733" s="18">
        <f t="shared" si="58"/>
        <v>0.10559006211180125</v>
      </c>
      <c r="M733" s="18">
        <f t="shared" si="59"/>
        <v>0.89440993788819878</v>
      </c>
    </row>
    <row r="734" spans="1:13" x14ac:dyDescent="0.3">
      <c r="A734" s="22">
        <v>36</v>
      </c>
      <c r="B734" s="22">
        <v>34</v>
      </c>
      <c r="C734" s="23">
        <v>0.94440000000000002</v>
      </c>
      <c r="D734" s="22">
        <v>2</v>
      </c>
      <c r="E734" s="24">
        <v>2.3148148148148149E-4</v>
      </c>
      <c r="F734" s="24">
        <v>1.4467592592592592E-3</v>
      </c>
      <c r="G734" s="24">
        <v>1.3541666666666667E-3</v>
      </c>
      <c r="H734" s="24">
        <v>0.72219999999999995</v>
      </c>
      <c r="I734" s="18">
        <f t="shared" si="56"/>
        <v>9.444000000000001E-3</v>
      </c>
      <c r="J734" s="18">
        <f t="shared" si="60"/>
        <v>7.2219999999999993E-3</v>
      </c>
      <c r="K734" s="19">
        <f t="shared" si="57"/>
        <v>2</v>
      </c>
      <c r="L734" s="18">
        <f t="shared" si="58"/>
        <v>5.5555555555555552E-2</v>
      </c>
      <c r="M734" s="18">
        <f t="shared" si="59"/>
        <v>0.94444444444444442</v>
      </c>
    </row>
    <row r="735" spans="1:13" x14ac:dyDescent="0.3">
      <c r="A735" s="22">
        <v>147</v>
      </c>
      <c r="B735" s="22">
        <v>136</v>
      </c>
      <c r="C735" s="23">
        <v>0.92520000000000002</v>
      </c>
      <c r="D735" s="22">
        <v>11</v>
      </c>
      <c r="E735" s="24">
        <v>1.9675925925925926E-4</v>
      </c>
      <c r="F735" s="24">
        <v>2.0254629629629629E-3</v>
      </c>
      <c r="G735" s="24">
        <v>2.2569444444444442E-3</v>
      </c>
      <c r="H735" s="24">
        <v>0.7671</v>
      </c>
      <c r="I735" s="18">
        <f t="shared" si="56"/>
        <v>9.2519999999999998E-3</v>
      </c>
      <c r="J735" s="18">
        <f t="shared" si="60"/>
        <v>7.6709999999999999E-3</v>
      </c>
      <c r="K735" s="19">
        <f t="shared" si="57"/>
        <v>11</v>
      </c>
      <c r="L735" s="18">
        <f t="shared" si="58"/>
        <v>7.4829931972789115E-2</v>
      </c>
      <c r="M735" s="18">
        <f t="shared" si="59"/>
        <v>0.92517006802721091</v>
      </c>
    </row>
    <row r="736" spans="1:13" x14ac:dyDescent="0.3">
      <c r="A736" s="22">
        <v>131</v>
      </c>
      <c r="B736" s="22">
        <v>130</v>
      </c>
      <c r="C736" s="23">
        <v>0.99239999999999995</v>
      </c>
      <c r="D736" s="22">
        <v>1</v>
      </c>
      <c r="E736" s="24">
        <v>2.0833333333333335E-4</v>
      </c>
      <c r="F736" s="24">
        <v>1.9328703703703704E-3</v>
      </c>
      <c r="G736" s="24">
        <v>2.2916666666666667E-3</v>
      </c>
      <c r="H736" s="24">
        <v>0.76919999999999999</v>
      </c>
      <c r="I736" s="18">
        <f t="shared" si="56"/>
        <v>9.9239999999999988E-3</v>
      </c>
      <c r="J736" s="18">
        <f t="shared" si="60"/>
        <v>7.6920000000000001E-3</v>
      </c>
      <c r="K736" s="19">
        <f t="shared" si="57"/>
        <v>1</v>
      </c>
      <c r="L736" s="18">
        <f t="shared" si="58"/>
        <v>7.6335877862595417E-3</v>
      </c>
      <c r="M736" s="18">
        <f t="shared" si="59"/>
        <v>0.99236641221374045</v>
      </c>
    </row>
    <row r="737" spans="1:13" x14ac:dyDescent="0.3">
      <c r="A737" s="22">
        <v>128</v>
      </c>
      <c r="B737" s="22">
        <v>120</v>
      </c>
      <c r="C737" s="23">
        <v>0.9375</v>
      </c>
      <c r="D737" s="22">
        <v>8</v>
      </c>
      <c r="E737" s="24">
        <v>2.5462962962962961E-4</v>
      </c>
      <c r="F737" s="24">
        <v>1.9328703703703704E-3</v>
      </c>
      <c r="G737" s="24">
        <v>1.3194444444444445E-3</v>
      </c>
      <c r="H737" s="24">
        <v>0.6825</v>
      </c>
      <c r="I737" s="18">
        <f t="shared" si="56"/>
        <v>9.3749999999999997E-3</v>
      </c>
      <c r="J737" s="18">
        <f t="shared" si="60"/>
        <v>6.8250000000000003E-3</v>
      </c>
      <c r="K737" s="19">
        <f t="shared" si="57"/>
        <v>8</v>
      </c>
      <c r="L737" s="18">
        <f t="shared" si="58"/>
        <v>6.25E-2</v>
      </c>
      <c r="M737" s="18">
        <f t="shared" si="59"/>
        <v>0.9375</v>
      </c>
    </row>
    <row r="738" spans="1:13" x14ac:dyDescent="0.3">
      <c r="A738" s="22">
        <v>136</v>
      </c>
      <c r="B738" s="22">
        <v>119</v>
      </c>
      <c r="C738" s="23">
        <v>0.875</v>
      </c>
      <c r="D738" s="22">
        <v>17</v>
      </c>
      <c r="E738" s="24">
        <v>3.0092592592592595E-4</v>
      </c>
      <c r="F738" s="24">
        <v>1.9907407407407408E-3</v>
      </c>
      <c r="G738" s="24">
        <v>3.1828703703703702E-3</v>
      </c>
      <c r="H738" s="24">
        <v>0.60150000000000003</v>
      </c>
      <c r="I738" s="18">
        <f t="shared" si="56"/>
        <v>8.7500000000000008E-3</v>
      </c>
      <c r="J738" s="18">
        <f t="shared" si="60"/>
        <v>6.0150000000000004E-3</v>
      </c>
      <c r="K738" s="19">
        <f t="shared" si="57"/>
        <v>17</v>
      </c>
      <c r="L738" s="18">
        <f t="shared" si="58"/>
        <v>0.125</v>
      </c>
      <c r="M738" s="18">
        <f t="shared" si="59"/>
        <v>0.875</v>
      </c>
    </row>
    <row r="739" spans="1:13" x14ac:dyDescent="0.3">
      <c r="A739" s="22">
        <v>225</v>
      </c>
      <c r="B739" s="22">
        <v>209</v>
      </c>
      <c r="C739" s="23">
        <v>0.92889999999999995</v>
      </c>
      <c r="D739" s="22">
        <v>16</v>
      </c>
      <c r="E739" s="24">
        <v>2.199074074074074E-4</v>
      </c>
      <c r="F739" s="24">
        <v>1.724537037037037E-3</v>
      </c>
      <c r="G739" s="24">
        <v>2.8472222222222223E-3</v>
      </c>
      <c r="H739" s="24">
        <v>0.76019999999999999</v>
      </c>
      <c r="I739" s="18">
        <f t="shared" si="56"/>
        <v>9.2889999999999986E-3</v>
      </c>
      <c r="J739" s="18">
        <f t="shared" si="60"/>
        <v>7.6020000000000003E-3</v>
      </c>
      <c r="K739" s="19">
        <f t="shared" si="57"/>
        <v>16</v>
      </c>
      <c r="L739" s="18">
        <f t="shared" si="58"/>
        <v>7.1111111111111111E-2</v>
      </c>
      <c r="M739" s="18">
        <f t="shared" si="59"/>
        <v>0.92888888888888888</v>
      </c>
    </row>
    <row r="740" spans="1:13" x14ac:dyDescent="0.3">
      <c r="A740" s="22">
        <v>167</v>
      </c>
      <c r="B740" s="22">
        <v>151</v>
      </c>
      <c r="C740" s="23">
        <v>0.9042</v>
      </c>
      <c r="D740" s="22">
        <v>16</v>
      </c>
      <c r="E740" s="24">
        <v>2.199074074074074E-4</v>
      </c>
      <c r="F740" s="24">
        <v>1.7013888888888888E-3</v>
      </c>
      <c r="G740" s="24">
        <v>1.8981481481481482E-3</v>
      </c>
      <c r="H740" s="24">
        <v>0.73329999999999995</v>
      </c>
      <c r="I740" s="18">
        <f t="shared" si="56"/>
        <v>9.0419999999999997E-3</v>
      </c>
      <c r="J740" s="18">
        <f t="shared" si="60"/>
        <v>7.3329999999999992E-3</v>
      </c>
      <c r="K740" s="19">
        <f t="shared" si="57"/>
        <v>16</v>
      </c>
      <c r="L740" s="18">
        <f t="shared" si="58"/>
        <v>9.580838323353294E-2</v>
      </c>
      <c r="M740" s="18">
        <f t="shared" si="59"/>
        <v>0.90419161676646709</v>
      </c>
    </row>
    <row r="741" spans="1:13" x14ac:dyDescent="0.3">
      <c r="A741" s="22">
        <v>48</v>
      </c>
      <c r="B741" s="22">
        <v>46</v>
      </c>
      <c r="C741" s="23">
        <v>0.95830000000000004</v>
      </c>
      <c r="D741" s="22">
        <v>2</v>
      </c>
      <c r="E741" s="24">
        <v>1.8518518518518518E-4</v>
      </c>
      <c r="F741" s="24">
        <v>1.6898148148148148E-3</v>
      </c>
      <c r="G741" s="24">
        <v>1.8287037037037037E-3</v>
      </c>
      <c r="H741" s="24">
        <v>0.78720000000000001</v>
      </c>
      <c r="I741" s="18">
        <f t="shared" si="56"/>
        <v>9.5830000000000012E-3</v>
      </c>
      <c r="J741" s="18">
        <f t="shared" si="60"/>
        <v>7.8720000000000005E-3</v>
      </c>
      <c r="K741" s="19">
        <f t="shared" si="57"/>
        <v>2</v>
      </c>
      <c r="L741" s="18">
        <f t="shared" si="58"/>
        <v>4.1666666666666664E-2</v>
      </c>
      <c r="M741" s="18">
        <f t="shared" si="59"/>
        <v>0.95833333333333337</v>
      </c>
    </row>
    <row r="742" spans="1:13" x14ac:dyDescent="0.3">
      <c r="A742" s="22">
        <v>232</v>
      </c>
      <c r="B742" s="22">
        <v>204</v>
      </c>
      <c r="C742" s="23">
        <v>0.87929999999999997</v>
      </c>
      <c r="D742" s="22">
        <v>28</v>
      </c>
      <c r="E742" s="24">
        <v>3.7037037037037035E-4</v>
      </c>
      <c r="F742" s="24">
        <v>1.6435185185185185E-3</v>
      </c>
      <c r="G742" s="24">
        <v>2.7314814814814814E-3</v>
      </c>
      <c r="H742" s="24">
        <v>0.55410000000000004</v>
      </c>
      <c r="I742" s="18">
        <f t="shared" si="56"/>
        <v>8.7930000000000005E-3</v>
      </c>
      <c r="J742" s="18">
        <f t="shared" si="60"/>
        <v>5.5410000000000008E-3</v>
      </c>
      <c r="K742" s="19">
        <f t="shared" si="57"/>
        <v>28</v>
      </c>
      <c r="L742" s="18">
        <f t="shared" si="58"/>
        <v>0.1206896551724138</v>
      </c>
      <c r="M742" s="18">
        <f t="shared" si="59"/>
        <v>0.87931034482758619</v>
      </c>
    </row>
    <row r="743" spans="1:13" x14ac:dyDescent="0.3">
      <c r="A743" s="22">
        <v>198</v>
      </c>
      <c r="B743" s="22">
        <v>187</v>
      </c>
      <c r="C743" s="23">
        <v>0.94440000000000002</v>
      </c>
      <c r="D743" s="22">
        <v>11</v>
      </c>
      <c r="E743" s="24">
        <v>3.1250000000000001E-4</v>
      </c>
      <c r="F743" s="24">
        <v>1.9444444444444444E-3</v>
      </c>
      <c r="G743" s="24">
        <v>2.2337962962962962E-3</v>
      </c>
      <c r="H743" s="24">
        <v>0.60199999999999998</v>
      </c>
      <c r="I743" s="18">
        <f t="shared" si="56"/>
        <v>9.444000000000001E-3</v>
      </c>
      <c r="J743" s="18">
        <f t="shared" si="60"/>
        <v>6.0200000000000002E-3</v>
      </c>
      <c r="K743" s="19">
        <f t="shared" si="57"/>
        <v>11</v>
      </c>
      <c r="L743" s="18">
        <f t="shared" si="58"/>
        <v>5.5555555555555552E-2</v>
      </c>
      <c r="M743" s="18">
        <f t="shared" si="59"/>
        <v>0.94444444444444442</v>
      </c>
    </row>
    <row r="744" spans="1:13" x14ac:dyDescent="0.3">
      <c r="A744" s="22">
        <v>171</v>
      </c>
      <c r="B744" s="22">
        <v>163</v>
      </c>
      <c r="C744" s="23">
        <v>0.95320000000000005</v>
      </c>
      <c r="D744" s="22">
        <v>8</v>
      </c>
      <c r="E744" s="24">
        <v>2.199074074074074E-4</v>
      </c>
      <c r="F744" s="24">
        <v>1.8634259259259259E-3</v>
      </c>
      <c r="G744" s="24">
        <v>1.9444444444444444E-3</v>
      </c>
      <c r="H744" s="24">
        <v>0.69410000000000005</v>
      </c>
      <c r="I744" s="18">
        <f t="shared" si="56"/>
        <v>9.5320000000000005E-3</v>
      </c>
      <c r="J744" s="18">
        <f t="shared" si="60"/>
        <v>6.9410000000000001E-3</v>
      </c>
      <c r="K744" s="19">
        <f t="shared" si="57"/>
        <v>8</v>
      </c>
      <c r="L744" s="18">
        <f t="shared" si="58"/>
        <v>4.6783625730994149E-2</v>
      </c>
      <c r="M744" s="18">
        <f t="shared" si="59"/>
        <v>0.95321637426900585</v>
      </c>
    </row>
    <row r="745" spans="1:13" x14ac:dyDescent="0.3">
      <c r="A745" s="22">
        <v>180</v>
      </c>
      <c r="B745" s="22">
        <v>173</v>
      </c>
      <c r="C745" s="23">
        <v>0.96109999999999995</v>
      </c>
      <c r="D745" s="22">
        <v>7</v>
      </c>
      <c r="E745" s="24">
        <v>3.5879629629629629E-4</v>
      </c>
      <c r="F745" s="24">
        <v>1.9560185185185184E-3</v>
      </c>
      <c r="G745" s="24">
        <v>5.7060185185185183E-3</v>
      </c>
      <c r="H745" s="24">
        <v>0.72219999999999995</v>
      </c>
      <c r="I745" s="18">
        <f t="shared" si="56"/>
        <v>9.6109999999999998E-3</v>
      </c>
      <c r="J745" s="18">
        <f t="shared" si="60"/>
        <v>7.2219999999999993E-3</v>
      </c>
      <c r="K745" s="19">
        <f t="shared" si="57"/>
        <v>7</v>
      </c>
      <c r="L745" s="18">
        <f t="shared" si="58"/>
        <v>3.888888888888889E-2</v>
      </c>
      <c r="M745" s="18">
        <f t="shared" si="59"/>
        <v>0.96111111111111114</v>
      </c>
    </row>
    <row r="746" spans="1:13" x14ac:dyDescent="0.3">
      <c r="A746" s="22">
        <v>192</v>
      </c>
      <c r="B746" s="22">
        <v>175</v>
      </c>
      <c r="C746" s="23">
        <v>0.91149999999999998</v>
      </c>
      <c r="D746" s="22">
        <v>17</v>
      </c>
      <c r="E746" s="24">
        <v>3.0092592592592595E-4</v>
      </c>
      <c r="F746" s="24">
        <v>2.0949074074074073E-3</v>
      </c>
      <c r="G746" s="24">
        <v>2.5462962962962965E-3</v>
      </c>
      <c r="H746" s="24">
        <v>0.61580000000000001</v>
      </c>
      <c r="I746" s="18">
        <f t="shared" si="56"/>
        <v>9.1149999999999998E-3</v>
      </c>
      <c r="J746" s="18">
        <f t="shared" si="60"/>
        <v>6.1580000000000003E-3</v>
      </c>
      <c r="K746" s="19">
        <f t="shared" si="57"/>
        <v>17</v>
      </c>
      <c r="L746" s="18">
        <f t="shared" si="58"/>
        <v>8.8541666666666671E-2</v>
      </c>
      <c r="M746" s="18">
        <f t="shared" si="59"/>
        <v>0.91145833333333337</v>
      </c>
    </row>
    <row r="747" spans="1:13" x14ac:dyDescent="0.3">
      <c r="A747" s="22">
        <v>194</v>
      </c>
      <c r="B747" s="22">
        <v>180</v>
      </c>
      <c r="C747" s="23">
        <v>0.92779999999999996</v>
      </c>
      <c r="D747" s="22">
        <v>14</v>
      </c>
      <c r="E747" s="24">
        <v>2.8935185185185184E-4</v>
      </c>
      <c r="F747" s="24">
        <v>1.9675925925925924E-3</v>
      </c>
      <c r="G747" s="24">
        <v>2.8124999999999999E-3</v>
      </c>
      <c r="H747" s="24">
        <v>0.68389999999999995</v>
      </c>
      <c r="I747" s="18">
        <f t="shared" si="56"/>
        <v>9.2779999999999998E-3</v>
      </c>
      <c r="J747" s="18">
        <f t="shared" si="60"/>
        <v>6.8389999999999996E-3</v>
      </c>
      <c r="K747" s="19">
        <f t="shared" si="57"/>
        <v>14</v>
      </c>
      <c r="L747" s="18">
        <f t="shared" si="58"/>
        <v>7.2164948453608241E-2</v>
      </c>
      <c r="M747" s="18">
        <f t="shared" si="59"/>
        <v>0.92783505154639179</v>
      </c>
    </row>
    <row r="748" spans="1:13" x14ac:dyDescent="0.3">
      <c r="A748" s="22">
        <v>37</v>
      </c>
      <c r="B748" s="22">
        <v>27</v>
      </c>
      <c r="C748" s="23">
        <v>0.72970000000000002</v>
      </c>
      <c r="D748" s="22">
        <v>10</v>
      </c>
      <c r="E748" s="24">
        <v>4.0509259259259258E-4</v>
      </c>
      <c r="F748" s="24">
        <v>2.0023148148148148E-3</v>
      </c>
      <c r="G748" s="24">
        <v>2.0601851851851853E-3</v>
      </c>
      <c r="H748" s="24">
        <v>0.5</v>
      </c>
      <c r="I748" s="18">
        <f t="shared" si="56"/>
        <v>7.2970000000000005E-3</v>
      </c>
      <c r="J748" s="18">
        <f t="shared" si="60"/>
        <v>5.0000000000000001E-3</v>
      </c>
      <c r="K748" s="19">
        <f t="shared" si="57"/>
        <v>10</v>
      </c>
      <c r="L748" s="18">
        <f t="shared" si="58"/>
        <v>0.27027027027027029</v>
      </c>
      <c r="M748" s="18">
        <f t="shared" si="59"/>
        <v>0.72972972972972971</v>
      </c>
    </row>
    <row r="749" spans="1:13" x14ac:dyDescent="0.3">
      <c r="A749" s="22">
        <v>180</v>
      </c>
      <c r="B749" s="22">
        <v>169</v>
      </c>
      <c r="C749" s="23">
        <v>0.93889999999999996</v>
      </c>
      <c r="D749" s="22">
        <v>11</v>
      </c>
      <c r="E749" s="24">
        <v>2.6620370370370372E-4</v>
      </c>
      <c r="F749" s="24">
        <v>1.8981481481481482E-3</v>
      </c>
      <c r="G749" s="24">
        <v>1.4467592592592592E-3</v>
      </c>
      <c r="H749" s="24">
        <v>0.67979999999999996</v>
      </c>
      <c r="I749" s="18">
        <f t="shared" si="56"/>
        <v>9.3889999999999998E-3</v>
      </c>
      <c r="J749" s="18">
        <f t="shared" si="60"/>
        <v>6.7979999999999994E-3</v>
      </c>
      <c r="K749" s="19">
        <f t="shared" si="57"/>
        <v>11</v>
      </c>
      <c r="L749" s="18">
        <f t="shared" si="58"/>
        <v>6.1111111111111109E-2</v>
      </c>
      <c r="M749" s="18">
        <f t="shared" si="59"/>
        <v>0.93888888888888888</v>
      </c>
    </row>
    <row r="750" spans="1:13" x14ac:dyDescent="0.3">
      <c r="A750" s="22">
        <v>213</v>
      </c>
      <c r="B750" s="22">
        <v>198</v>
      </c>
      <c r="C750" s="23">
        <v>0.92959999999999998</v>
      </c>
      <c r="D750" s="22">
        <v>15</v>
      </c>
      <c r="E750" s="24">
        <v>1.8518518518518518E-4</v>
      </c>
      <c r="F750" s="24">
        <v>1.9328703703703704E-3</v>
      </c>
      <c r="G750" s="24">
        <v>4.409722222222222E-3</v>
      </c>
      <c r="H750" s="24">
        <v>0.77249999999999996</v>
      </c>
      <c r="I750" s="18">
        <f t="shared" si="56"/>
        <v>9.2960000000000004E-3</v>
      </c>
      <c r="J750" s="18">
        <f t="shared" si="60"/>
        <v>7.7249999999999992E-3</v>
      </c>
      <c r="K750" s="19">
        <f t="shared" si="57"/>
        <v>15</v>
      </c>
      <c r="L750" s="18">
        <f t="shared" si="58"/>
        <v>7.0422535211267609E-2</v>
      </c>
      <c r="M750" s="18">
        <f t="shared" si="59"/>
        <v>0.92957746478873238</v>
      </c>
    </row>
    <row r="751" spans="1:13" x14ac:dyDescent="0.3">
      <c r="A751" s="22">
        <v>251</v>
      </c>
      <c r="B751" s="22">
        <v>239</v>
      </c>
      <c r="C751" s="23">
        <v>0.95220000000000005</v>
      </c>
      <c r="D751" s="22">
        <v>12</v>
      </c>
      <c r="E751" s="24">
        <v>2.4305555555555555E-4</v>
      </c>
      <c r="F751" s="24">
        <v>1.5972222222222223E-3</v>
      </c>
      <c r="G751" s="24">
        <v>1.9444444444444444E-3</v>
      </c>
      <c r="H751" s="24">
        <v>0.7177</v>
      </c>
      <c r="I751" s="18">
        <f t="shared" si="56"/>
        <v>9.5220000000000009E-3</v>
      </c>
      <c r="J751" s="18">
        <f t="shared" si="60"/>
        <v>7.1770000000000002E-3</v>
      </c>
      <c r="K751" s="19">
        <f t="shared" si="57"/>
        <v>12</v>
      </c>
      <c r="L751" s="18">
        <f t="shared" si="58"/>
        <v>4.7808764940239043E-2</v>
      </c>
      <c r="M751" s="18">
        <f t="shared" si="59"/>
        <v>0.952191235059761</v>
      </c>
    </row>
    <row r="752" spans="1:13" x14ac:dyDescent="0.3">
      <c r="A752" s="22">
        <v>200</v>
      </c>
      <c r="B752" s="22">
        <v>189</v>
      </c>
      <c r="C752" s="23">
        <v>0.94499999999999995</v>
      </c>
      <c r="D752" s="22">
        <v>11</v>
      </c>
      <c r="E752" s="24">
        <v>2.199074074074074E-4</v>
      </c>
      <c r="F752" s="24">
        <v>2.0023148148148148E-3</v>
      </c>
      <c r="G752" s="24">
        <v>3.1944444444444446E-3</v>
      </c>
      <c r="H752" s="24">
        <v>0.76259999999999994</v>
      </c>
      <c r="I752" s="18">
        <f t="shared" si="56"/>
        <v>9.4500000000000001E-3</v>
      </c>
      <c r="J752" s="18">
        <f t="shared" si="60"/>
        <v>7.6259999999999991E-3</v>
      </c>
      <c r="K752" s="19">
        <f t="shared" si="57"/>
        <v>11</v>
      </c>
      <c r="L752" s="18">
        <f t="shared" si="58"/>
        <v>5.5E-2</v>
      </c>
      <c r="M752" s="18">
        <f t="shared" si="59"/>
        <v>0.94499999999999995</v>
      </c>
    </row>
    <row r="753" spans="1:13" x14ac:dyDescent="0.3">
      <c r="A753" s="22">
        <v>214</v>
      </c>
      <c r="B753" s="22">
        <v>205</v>
      </c>
      <c r="C753" s="23">
        <v>0.95789999999999997</v>
      </c>
      <c r="D753" s="22">
        <v>9</v>
      </c>
      <c r="E753" s="24">
        <v>2.8935185185185184E-4</v>
      </c>
      <c r="F753" s="24">
        <v>1.9444444444444444E-3</v>
      </c>
      <c r="G753" s="24">
        <v>5.0578703703703706E-3</v>
      </c>
      <c r="H753" s="24">
        <v>0.71960000000000002</v>
      </c>
      <c r="I753" s="18">
        <f t="shared" si="56"/>
        <v>9.578999999999999E-3</v>
      </c>
      <c r="J753" s="18">
        <f t="shared" si="60"/>
        <v>7.1960000000000001E-3</v>
      </c>
      <c r="K753" s="19">
        <f t="shared" si="57"/>
        <v>9</v>
      </c>
      <c r="L753" s="18">
        <f t="shared" si="58"/>
        <v>4.2056074766355138E-2</v>
      </c>
      <c r="M753" s="18">
        <f t="shared" si="59"/>
        <v>0.95794392523364491</v>
      </c>
    </row>
    <row r="754" spans="1:13" x14ac:dyDescent="0.3">
      <c r="A754" s="22">
        <v>185</v>
      </c>
      <c r="B754" s="22">
        <v>154</v>
      </c>
      <c r="C754" s="23">
        <v>0.83240000000000003</v>
      </c>
      <c r="D754" s="22">
        <v>31</v>
      </c>
      <c r="E754" s="24">
        <v>5.4398148148148144E-4</v>
      </c>
      <c r="F754" s="24">
        <v>2.0370370370370369E-3</v>
      </c>
      <c r="G754" s="24">
        <v>2.2685185185185187E-3</v>
      </c>
      <c r="H754" s="24">
        <v>0.35909999999999997</v>
      </c>
      <c r="I754" s="18">
        <f t="shared" si="56"/>
        <v>8.3239999999999998E-3</v>
      </c>
      <c r="J754" s="18">
        <f t="shared" si="60"/>
        <v>3.5909999999999996E-3</v>
      </c>
      <c r="K754" s="19">
        <f t="shared" si="57"/>
        <v>31</v>
      </c>
      <c r="L754" s="18">
        <f t="shared" si="58"/>
        <v>0.16756756756756758</v>
      </c>
      <c r="M754" s="18">
        <f t="shared" si="59"/>
        <v>0.83243243243243248</v>
      </c>
    </row>
    <row r="755" spans="1:13" x14ac:dyDescent="0.3">
      <c r="A755" s="22">
        <v>49</v>
      </c>
      <c r="B755" s="22">
        <v>46</v>
      </c>
      <c r="C755" s="23">
        <v>0.93879999999999997</v>
      </c>
      <c r="D755" s="22">
        <v>3</v>
      </c>
      <c r="E755" s="24">
        <v>4.3981481481481481E-4</v>
      </c>
      <c r="F755" s="24">
        <v>1.6319444444444445E-3</v>
      </c>
      <c r="G755" s="24">
        <v>1.5740740740740741E-3</v>
      </c>
      <c r="H755" s="24">
        <v>0.52080000000000004</v>
      </c>
      <c r="I755" s="18">
        <f t="shared" si="56"/>
        <v>9.3880000000000005E-3</v>
      </c>
      <c r="J755" s="18">
        <f t="shared" si="60"/>
        <v>5.2080000000000008E-3</v>
      </c>
      <c r="K755" s="19">
        <f t="shared" si="57"/>
        <v>3</v>
      </c>
      <c r="L755" s="18">
        <f t="shared" si="58"/>
        <v>6.1224489795918366E-2</v>
      </c>
      <c r="M755" s="18">
        <f t="shared" si="59"/>
        <v>0.93877551020408168</v>
      </c>
    </row>
    <row r="756" spans="1:13" x14ac:dyDescent="0.3">
      <c r="A756" s="22">
        <v>193</v>
      </c>
      <c r="B756" s="22">
        <v>185</v>
      </c>
      <c r="C756" s="23">
        <v>0.95850000000000002</v>
      </c>
      <c r="D756" s="22">
        <v>8</v>
      </c>
      <c r="E756" s="24">
        <v>2.4305555555555555E-4</v>
      </c>
      <c r="F756" s="24">
        <v>1.9791666666666668E-3</v>
      </c>
      <c r="G756" s="24">
        <v>2.7430555555555554E-3</v>
      </c>
      <c r="H756" s="24">
        <v>0.75790000000000002</v>
      </c>
      <c r="I756" s="18">
        <f t="shared" si="56"/>
        <v>9.5849999999999998E-3</v>
      </c>
      <c r="J756" s="18">
        <f t="shared" si="60"/>
        <v>7.5789999999999998E-3</v>
      </c>
      <c r="K756" s="19">
        <f t="shared" si="57"/>
        <v>8</v>
      </c>
      <c r="L756" s="18">
        <f t="shared" si="58"/>
        <v>4.145077720207254E-2</v>
      </c>
      <c r="M756" s="18">
        <f t="shared" si="59"/>
        <v>0.95854922279792742</v>
      </c>
    </row>
    <row r="757" spans="1:13" x14ac:dyDescent="0.3">
      <c r="A757" s="22">
        <v>195</v>
      </c>
      <c r="B757" s="22">
        <v>184</v>
      </c>
      <c r="C757" s="23">
        <v>0.94359999999999999</v>
      </c>
      <c r="D757" s="22">
        <v>11</v>
      </c>
      <c r="E757" s="24">
        <v>2.5462962962962961E-4</v>
      </c>
      <c r="F757" s="24">
        <v>1.8402777777777777E-3</v>
      </c>
      <c r="G757" s="24">
        <v>1.8287037037037037E-3</v>
      </c>
      <c r="H757" s="24">
        <v>0.7</v>
      </c>
      <c r="I757" s="18">
        <f t="shared" si="56"/>
        <v>9.4359999999999999E-3</v>
      </c>
      <c r="J757" s="18">
        <f t="shared" si="60"/>
        <v>6.9999999999999993E-3</v>
      </c>
      <c r="K757" s="19">
        <f t="shared" si="57"/>
        <v>11</v>
      </c>
      <c r="L757" s="18">
        <f t="shared" si="58"/>
        <v>5.6410256410256411E-2</v>
      </c>
      <c r="M757" s="18">
        <f t="shared" si="59"/>
        <v>0.94358974358974357</v>
      </c>
    </row>
    <row r="758" spans="1:13" x14ac:dyDescent="0.3">
      <c r="A758" s="22">
        <v>211</v>
      </c>
      <c r="B758" s="22">
        <v>195</v>
      </c>
      <c r="C758" s="23">
        <v>0.92420000000000002</v>
      </c>
      <c r="D758" s="22">
        <v>16</v>
      </c>
      <c r="E758" s="24">
        <v>3.9351851851851852E-4</v>
      </c>
      <c r="F758" s="24">
        <v>1.9791666666666668E-3</v>
      </c>
      <c r="G758" s="24">
        <v>3.1365740740740742E-3</v>
      </c>
      <c r="H758" s="24">
        <v>0.56940000000000002</v>
      </c>
      <c r="I758" s="18">
        <f t="shared" si="56"/>
        <v>9.2420000000000002E-3</v>
      </c>
      <c r="J758" s="18">
        <f t="shared" si="60"/>
        <v>5.6940000000000003E-3</v>
      </c>
      <c r="K758" s="19">
        <f t="shared" si="57"/>
        <v>16</v>
      </c>
      <c r="L758" s="18">
        <f t="shared" si="58"/>
        <v>7.582938388625593E-2</v>
      </c>
      <c r="M758" s="18">
        <f t="shared" si="59"/>
        <v>0.92417061611374407</v>
      </c>
    </row>
    <row r="759" spans="1:13" x14ac:dyDescent="0.3">
      <c r="A759" s="22">
        <v>200</v>
      </c>
      <c r="B759" s="22">
        <v>190</v>
      </c>
      <c r="C759" s="23">
        <v>0.95</v>
      </c>
      <c r="D759" s="22">
        <v>10</v>
      </c>
      <c r="E759" s="24">
        <v>1.7361111111111112E-4</v>
      </c>
      <c r="F759" s="24">
        <v>2.0370370370370369E-3</v>
      </c>
      <c r="G759" s="24">
        <v>2.1527777777777778E-3</v>
      </c>
      <c r="H759" s="24">
        <v>0.80930000000000002</v>
      </c>
      <c r="I759" s="18">
        <f t="shared" si="56"/>
        <v>9.4999999999999998E-3</v>
      </c>
      <c r="J759" s="18">
        <f t="shared" si="60"/>
        <v>8.0929999999999995E-3</v>
      </c>
      <c r="K759" s="19">
        <f t="shared" si="57"/>
        <v>10</v>
      </c>
      <c r="L759" s="18">
        <f t="shared" si="58"/>
        <v>0.05</v>
      </c>
      <c r="M759" s="18">
        <f t="shared" si="59"/>
        <v>0.95</v>
      </c>
    </row>
    <row r="760" spans="1:13" x14ac:dyDescent="0.3">
      <c r="A760" s="22">
        <v>48</v>
      </c>
      <c r="B760" s="22">
        <v>47</v>
      </c>
      <c r="C760" s="23">
        <v>0.97919999999999996</v>
      </c>
      <c r="D760" s="22">
        <v>1</v>
      </c>
      <c r="E760" s="24">
        <v>1.7361111111111112E-4</v>
      </c>
      <c r="F760" s="24">
        <v>2.2337962962962962E-3</v>
      </c>
      <c r="G760" s="24">
        <v>2.0601851851851853E-3</v>
      </c>
      <c r="H760" s="24">
        <v>0.8125</v>
      </c>
      <c r="I760" s="18">
        <f t="shared" si="56"/>
        <v>9.7920000000000004E-3</v>
      </c>
      <c r="J760" s="18">
        <f t="shared" si="60"/>
        <v>8.1250000000000003E-3</v>
      </c>
      <c r="K760" s="19">
        <f t="shared" si="57"/>
        <v>1</v>
      </c>
      <c r="L760" s="18">
        <f t="shared" si="58"/>
        <v>2.0833333333333332E-2</v>
      </c>
      <c r="M760" s="18">
        <f t="shared" si="59"/>
        <v>0.97916666666666663</v>
      </c>
    </row>
    <row r="761" spans="1:13" x14ac:dyDescent="0.3">
      <c r="A761" s="22">
        <v>164</v>
      </c>
      <c r="B761" s="22">
        <v>159</v>
      </c>
      <c r="C761" s="23">
        <v>0.96950000000000003</v>
      </c>
      <c r="D761" s="22">
        <v>5</v>
      </c>
      <c r="E761" s="24">
        <v>2.3148148148148149E-4</v>
      </c>
      <c r="F761" s="24">
        <v>1.9791666666666668E-3</v>
      </c>
      <c r="G761" s="24">
        <v>3.3217592592592591E-3</v>
      </c>
      <c r="H761" s="24">
        <v>0.77780000000000005</v>
      </c>
      <c r="I761" s="18">
        <f t="shared" si="56"/>
        <v>9.6950000000000005E-3</v>
      </c>
      <c r="J761" s="18">
        <f t="shared" si="60"/>
        <v>7.7780000000000002E-3</v>
      </c>
      <c r="K761" s="19">
        <f t="shared" si="57"/>
        <v>5</v>
      </c>
      <c r="L761" s="18">
        <f t="shared" si="58"/>
        <v>3.048780487804878E-2</v>
      </c>
      <c r="M761" s="18">
        <f t="shared" si="59"/>
        <v>0.96951219512195119</v>
      </c>
    </row>
    <row r="762" spans="1:13" x14ac:dyDescent="0.3">
      <c r="A762" s="22">
        <v>43</v>
      </c>
      <c r="B762" s="22">
        <v>42</v>
      </c>
      <c r="C762" s="23">
        <v>0.97670000000000001</v>
      </c>
      <c r="D762" s="22">
        <v>1</v>
      </c>
      <c r="E762" s="24">
        <v>1.6203703703703703E-4</v>
      </c>
      <c r="F762" s="24">
        <v>1.7592592592592592E-3</v>
      </c>
      <c r="G762" s="24">
        <v>1.7824074074074075E-3</v>
      </c>
      <c r="H762" s="24">
        <v>0.83720000000000006</v>
      </c>
      <c r="I762" s="18">
        <f t="shared" si="56"/>
        <v>9.7669999999999996E-3</v>
      </c>
      <c r="J762" s="18">
        <f t="shared" si="60"/>
        <v>8.372000000000001E-3</v>
      </c>
      <c r="K762" s="19">
        <f t="shared" si="57"/>
        <v>1</v>
      </c>
      <c r="L762" s="18">
        <f t="shared" si="58"/>
        <v>2.3255813953488372E-2</v>
      </c>
      <c r="M762" s="18">
        <f t="shared" si="59"/>
        <v>0.97674418604651159</v>
      </c>
    </row>
    <row r="763" spans="1:13" x14ac:dyDescent="0.3">
      <c r="A763" s="22">
        <v>236</v>
      </c>
      <c r="B763" s="22">
        <v>223</v>
      </c>
      <c r="C763" s="23">
        <v>0.94489999999999996</v>
      </c>
      <c r="D763" s="22">
        <v>13</v>
      </c>
      <c r="E763" s="24">
        <v>3.0092592592592595E-4</v>
      </c>
      <c r="F763" s="24">
        <v>1.9212962962962964E-3</v>
      </c>
      <c r="G763" s="24">
        <v>2.5231481481481481E-3</v>
      </c>
      <c r="H763" s="24">
        <v>0.64829999999999999</v>
      </c>
      <c r="I763" s="18">
        <f t="shared" si="56"/>
        <v>9.4489999999999991E-3</v>
      </c>
      <c r="J763" s="18">
        <f t="shared" si="60"/>
        <v>6.483E-3</v>
      </c>
      <c r="K763" s="19">
        <f t="shared" si="57"/>
        <v>13</v>
      </c>
      <c r="L763" s="18">
        <f t="shared" si="58"/>
        <v>5.5084745762711863E-2</v>
      </c>
      <c r="M763" s="18">
        <f t="shared" si="59"/>
        <v>0.94491525423728817</v>
      </c>
    </row>
    <row r="764" spans="1:13" x14ac:dyDescent="0.3">
      <c r="A764" s="22">
        <v>270</v>
      </c>
      <c r="B764" s="22">
        <v>262</v>
      </c>
      <c r="C764" s="23">
        <v>0.97040000000000004</v>
      </c>
      <c r="D764" s="22">
        <v>8</v>
      </c>
      <c r="E764" s="24">
        <v>1.7361111111111112E-4</v>
      </c>
      <c r="F764" s="24">
        <v>1.8055555555555555E-3</v>
      </c>
      <c r="G764" s="24">
        <v>1.4814814814814814E-3</v>
      </c>
      <c r="H764" s="24">
        <v>0.83209999999999995</v>
      </c>
      <c r="I764" s="18">
        <f t="shared" si="56"/>
        <v>9.7040000000000008E-3</v>
      </c>
      <c r="J764" s="18">
        <f t="shared" si="60"/>
        <v>8.3210000000000003E-3</v>
      </c>
      <c r="K764" s="19">
        <f t="shared" si="57"/>
        <v>8</v>
      </c>
      <c r="L764" s="18">
        <f t="shared" si="58"/>
        <v>2.9629629629629631E-2</v>
      </c>
      <c r="M764" s="18">
        <f t="shared" si="59"/>
        <v>0.97037037037037033</v>
      </c>
    </row>
    <row r="765" spans="1:13" x14ac:dyDescent="0.3">
      <c r="A765" s="22">
        <v>304</v>
      </c>
      <c r="B765" s="22">
        <v>262</v>
      </c>
      <c r="C765" s="23">
        <v>0.86180000000000001</v>
      </c>
      <c r="D765" s="22">
        <v>42</v>
      </c>
      <c r="E765" s="24">
        <v>3.9351851851851852E-4</v>
      </c>
      <c r="F765" s="24">
        <v>2.0370370370370369E-3</v>
      </c>
      <c r="G765" s="24">
        <v>4.8726851851851848E-3</v>
      </c>
      <c r="H765" s="24">
        <v>0.56620000000000004</v>
      </c>
      <c r="I765" s="18">
        <f t="shared" si="56"/>
        <v>8.6180000000000007E-3</v>
      </c>
      <c r="J765" s="18">
        <f t="shared" si="60"/>
        <v>5.6620000000000004E-3</v>
      </c>
      <c r="K765" s="19">
        <f t="shared" si="57"/>
        <v>42</v>
      </c>
      <c r="L765" s="18">
        <f t="shared" si="58"/>
        <v>0.13815789473684212</v>
      </c>
      <c r="M765" s="18">
        <f t="shared" si="59"/>
        <v>0.86184210526315785</v>
      </c>
    </row>
    <row r="766" spans="1:13" x14ac:dyDescent="0.3">
      <c r="A766" s="22">
        <v>286</v>
      </c>
      <c r="B766" s="22">
        <v>270</v>
      </c>
      <c r="C766" s="23">
        <v>0.94410000000000005</v>
      </c>
      <c r="D766" s="22">
        <v>16</v>
      </c>
      <c r="E766" s="24">
        <v>2.3148148148148149E-4</v>
      </c>
      <c r="F766" s="24">
        <v>1.9444444444444444E-3</v>
      </c>
      <c r="G766" s="24">
        <v>2.1527777777777778E-3</v>
      </c>
      <c r="H766" s="24">
        <v>0.71479999999999999</v>
      </c>
      <c r="I766" s="18">
        <f t="shared" si="56"/>
        <v>9.4409999999999997E-3</v>
      </c>
      <c r="J766" s="18">
        <f t="shared" si="60"/>
        <v>7.1479999999999998E-3</v>
      </c>
      <c r="K766" s="19">
        <f t="shared" si="57"/>
        <v>16</v>
      </c>
      <c r="L766" s="18">
        <f t="shared" si="58"/>
        <v>5.5944055944055944E-2</v>
      </c>
      <c r="M766" s="18">
        <f t="shared" si="59"/>
        <v>0.94405594405594406</v>
      </c>
    </row>
    <row r="767" spans="1:13" x14ac:dyDescent="0.3">
      <c r="A767" s="22">
        <v>317</v>
      </c>
      <c r="B767" s="22">
        <v>284</v>
      </c>
      <c r="C767" s="23">
        <v>0.89590000000000003</v>
      </c>
      <c r="D767" s="22">
        <v>33</v>
      </c>
      <c r="E767" s="24">
        <v>3.4722222222222224E-4</v>
      </c>
      <c r="F767" s="24">
        <v>1.9444444444444444E-3</v>
      </c>
      <c r="G767" s="24">
        <v>5.7407407407407407E-3</v>
      </c>
      <c r="H767" s="24">
        <v>0.6603</v>
      </c>
      <c r="I767" s="18">
        <f t="shared" si="56"/>
        <v>8.9589999999999999E-3</v>
      </c>
      <c r="J767" s="18">
        <f t="shared" si="60"/>
        <v>6.6030000000000004E-3</v>
      </c>
      <c r="K767" s="19">
        <f t="shared" si="57"/>
        <v>33</v>
      </c>
      <c r="L767" s="18">
        <f t="shared" si="58"/>
        <v>0.10410094637223975</v>
      </c>
      <c r="M767" s="18">
        <f t="shared" si="59"/>
        <v>0.89589905362776023</v>
      </c>
    </row>
    <row r="768" spans="1:13" x14ac:dyDescent="0.3">
      <c r="A768" s="22">
        <v>471</v>
      </c>
      <c r="B768" s="22">
        <v>396</v>
      </c>
      <c r="C768" s="23">
        <v>0.84079999999999999</v>
      </c>
      <c r="D768" s="22">
        <v>75</v>
      </c>
      <c r="E768" s="24">
        <v>6.8287037037037036E-4</v>
      </c>
      <c r="F768" s="24">
        <v>1.8634259259259259E-3</v>
      </c>
      <c r="G768" s="24">
        <v>3.8078703703703703E-3</v>
      </c>
      <c r="H768" s="24">
        <v>0.308</v>
      </c>
      <c r="I768" s="18">
        <f t="shared" si="56"/>
        <v>8.4080000000000005E-3</v>
      </c>
      <c r="J768" s="18">
        <f t="shared" si="60"/>
        <v>3.0799999999999998E-3</v>
      </c>
      <c r="K768" s="19">
        <f t="shared" si="57"/>
        <v>75</v>
      </c>
      <c r="L768" s="18">
        <f t="shared" si="58"/>
        <v>0.15923566878980891</v>
      </c>
      <c r="M768" s="18">
        <f t="shared" si="59"/>
        <v>0.84076433121019112</v>
      </c>
    </row>
    <row r="769" spans="1:13" x14ac:dyDescent="0.3">
      <c r="A769" s="22">
        <v>48</v>
      </c>
      <c r="B769" s="22">
        <v>44</v>
      </c>
      <c r="C769" s="23">
        <v>0.91669999999999996</v>
      </c>
      <c r="D769" s="22">
        <v>4</v>
      </c>
      <c r="E769" s="24">
        <v>3.3564814814814812E-4</v>
      </c>
      <c r="F769" s="24">
        <v>1.7476851851851852E-3</v>
      </c>
      <c r="G769" s="24">
        <v>2.1643518518518518E-3</v>
      </c>
      <c r="H769" s="24">
        <v>0.65959999999999996</v>
      </c>
      <c r="I769" s="18">
        <f t="shared" si="56"/>
        <v>9.1669999999999998E-3</v>
      </c>
      <c r="J769" s="18">
        <f t="shared" si="60"/>
        <v>6.5959999999999994E-3</v>
      </c>
      <c r="K769" s="19">
        <f t="shared" si="57"/>
        <v>4</v>
      </c>
      <c r="L769" s="18">
        <f t="shared" si="58"/>
        <v>8.3333333333333329E-2</v>
      </c>
      <c r="M769" s="18">
        <f t="shared" si="59"/>
        <v>0.91666666666666663</v>
      </c>
    </row>
    <row r="770" spans="1:13" x14ac:dyDescent="0.3">
      <c r="A770" s="22">
        <v>375</v>
      </c>
      <c r="B770" s="22">
        <v>317</v>
      </c>
      <c r="C770" s="23">
        <v>0.84530000000000005</v>
      </c>
      <c r="D770" s="22">
        <v>58</v>
      </c>
      <c r="E770" s="24">
        <v>4.9768518518518521E-4</v>
      </c>
      <c r="F770" s="24">
        <v>1.9907407407407408E-3</v>
      </c>
      <c r="G770" s="24">
        <v>3.5416666666666665E-3</v>
      </c>
      <c r="H770" s="24">
        <v>0.40870000000000001</v>
      </c>
      <c r="I770" s="18">
        <f t="shared" si="56"/>
        <v>8.4530000000000004E-3</v>
      </c>
      <c r="J770" s="18">
        <f t="shared" si="60"/>
        <v>4.0870000000000004E-3</v>
      </c>
      <c r="K770" s="19">
        <f t="shared" si="57"/>
        <v>58</v>
      </c>
      <c r="L770" s="18">
        <f t="shared" si="58"/>
        <v>0.15466666666666667</v>
      </c>
      <c r="M770" s="18">
        <f t="shared" si="59"/>
        <v>0.84533333333333338</v>
      </c>
    </row>
    <row r="771" spans="1:13" x14ac:dyDescent="0.3">
      <c r="A771" s="22">
        <v>327</v>
      </c>
      <c r="B771" s="22">
        <v>309</v>
      </c>
      <c r="C771" s="23">
        <v>0.94499999999999995</v>
      </c>
      <c r="D771" s="22">
        <v>18</v>
      </c>
      <c r="E771" s="24">
        <v>2.5462962962962961E-4</v>
      </c>
      <c r="F771" s="24">
        <v>1.9444444444444444E-3</v>
      </c>
      <c r="G771" s="24">
        <v>2.6157407407407405E-3</v>
      </c>
      <c r="H771" s="24">
        <v>0.68210000000000004</v>
      </c>
      <c r="I771" s="18">
        <f t="shared" ref="I771:I834" si="61">VALUE(SUBSTITUTE(C771,"%",""))/100</f>
        <v>9.4500000000000001E-3</v>
      </c>
      <c r="J771" s="18">
        <f t="shared" si="60"/>
        <v>6.8210000000000007E-3</v>
      </c>
      <c r="K771" s="19">
        <f t="shared" ref="K771:K834" si="62">A771-B771</f>
        <v>18</v>
      </c>
      <c r="L771" s="18">
        <f t="shared" ref="L771:L834" si="63">D771/A771</f>
        <v>5.5045871559633031E-2</v>
      </c>
      <c r="M771" s="18">
        <f t="shared" ref="M771:M834" si="64">B771/A771</f>
        <v>0.94495412844036697</v>
      </c>
    </row>
    <row r="772" spans="1:13" x14ac:dyDescent="0.3">
      <c r="A772" s="22">
        <v>366</v>
      </c>
      <c r="B772" s="22">
        <v>316</v>
      </c>
      <c r="C772" s="23">
        <v>0.86339999999999995</v>
      </c>
      <c r="D772" s="22">
        <v>50</v>
      </c>
      <c r="E772" s="24">
        <v>4.2824074074074075E-4</v>
      </c>
      <c r="F772" s="24">
        <v>1.8981481481481482E-3</v>
      </c>
      <c r="G772" s="24">
        <v>3.5995370370370369E-3</v>
      </c>
      <c r="H772" s="24">
        <v>0.53739999999999999</v>
      </c>
      <c r="I772" s="18">
        <f t="shared" si="61"/>
        <v>8.6339999999999993E-3</v>
      </c>
      <c r="J772" s="18">
        <f t="shared" si="60"/>
        <v>5.3740000000000003E-3</v>
      </c>
      <c r="K772" s="19">
        <f t="shared" si="62"/>
        <v>50</v>
      </c>
      <c r="L772" s="18">
        <f t="shared" si="63"/>
        <v>0.13661202185792351</v>
      </c>
      <c r="M772" s="18">
        <f t="shared" si="64"/>
        <v>0.86338797814207646</v>
      </c>
    </row>
    <row r="773" spans="1:13" x14ac:dyDescent="0.3">
      <c r="A773" s="22">
        <v>121</v>
      </c>
      <c r="B773" s="22">
        <v>105</v>
      </c>
      <c r="C773" s="23">
        <v>0.86780000000000002</v>
      </c>
      <c r="D773" s="22">
        <v>16</v>
      </c>
      <c r="E773" s="24">
        <v>5.4398148148148144E-4</v>
      </c>
      <c r="F773" s="24">
        <v>2.0833333333333333E-3</v>
      </c>
      <c r="G773" s="24">
        <v>6.030092592592593E-3</v>
      </c>
      <c r="H773" s="24">
        <v>0.6</v>
      </c>
      <c r="I773" s="18">
        <f t="shared" si="61"/>
        <v>8.6779999999999999E-3</v>
      </c>
      <c r="J773" s="18">
        <f t="shared" si="60"/>
        <v>6.0000000000000001E-3</v>
      </c>
      <c r="K773" s="19">
        <f t="shared" si="62"/>
        <v>16</v>
      </c>
      <c r="L773" s="18">
        <f t="shared" si="63"/>
        <v>0.13223140495867769</v>
      </c>
      <c r="M773" s="18">
        <f t="shared" si="64"/>
        <v>0.86776859504132231</v>
      </c>
    </row>
    <row r="774" spans="1:13" x14ac:dyDescent="0.3">
      <c r="A774" s="22">
        <v>287</v>
      </c>
      <c r="B774" s="22">
        <v>266</v>
      </c>
      <c r="C774" s="23">
        <v>0.92679999999999996</v>
      </c>
      <c r="D774" s="22">
        <v>21</v>
      </c>
      <c r="E774" s="24">
        <v>3.9351851851851852E-4</v>
      </c>
      <c r="F774" s="24">
        <v>2.1527777777777778E-3</v>
      </c>
      <c r="G774" s="24">
        <v>2.8703703703703703E-3</v>
      </c>
      <c r="H774" s="24">
        <v>0.59719999999999995</v>
      </c>
      <c r="I774" s="18">
        <f t="shared" si="61"/>
        <v>9.2680000000000002E-3</v>
      </c>
      <c r="J774" s="18">
        <f t="shared" ref="J774:J837" si="65">VALUE(SUBSTITUTE(H774,"%",""))/100</f>
        <v>5.9719999999999999E-3</v>
      </c>
      <c r="K774" s="19">
        <f t="shared" si="62"/>
        <v>21</v>
      </c>
      <c r="L774" s="18">
        <f t="shared" si="63"/>
        <v>7.3170731707317069E-2</v>
      </c>
      <c r="M774" s="18">
        <f t="shared" si="64"/>
        <v>0.92682926829268297</v>
      </c>
    </row>
    <row r="775" spans="1:13" x14ac:dyDescent="0.3">
      <c r="A775" s="22">
        <v>298</v>
      </c>
      <c r="B775" s="22">
        <v>277</v>
      </c>
      <c r="C775" s="23">
        <v>0.92949999999999999</v>
      </c>
      <c r="D775" s="22">
        <v>21</v>
      </c>
      <c r="E775" s="24">
        <v>4.5138888888888887E-4</v>
      </c>
      <c r="F775" s="24">
        <v>2.1759259259259258E-3</v>
      </c>
      <c r="G775" s="24">
        <v>2.488425925925926E-3</v>
      </c>
      <c r="H775" s="24">
        <v>0.51180000000000003</v>
      </c>
      <c r="I775" s="18">
        <f t="shared" si="61"/>
        <v>9.2949999999999994E-3</v>
      </c>
      <c r="J775" s="18">
        <f t="shared" si="65"/>
        <v>5.1180000000000002E-3</v>
      </c>
      <c r="K775" s="19">
        <f t="shared" si="62"/>
        <v>21</v>
      </c>
      <c r="L775" s="18">
        <f t="shared" si="63"/>
        <v>7.0469798657718116E-2</v>
      </c>
      <c r="M775" s="18">
        <f t="shared" si="64"/>
        <v>0.92953020134228193</v>
      </c>
    </row>
    <row r="776" spans="1:13" x14ac:dyDescent="0.3">
      <c r="A776" s="22">
        <v>70</v>
      </c>
      <c r="B776" s="22">
        <v>56</v>
      </c>
      <c r="C776" s="23">
        <v>0.8</v>
      </c>
      <c r="D776" s="22">
        <v>14</v>
      </c>
      <c r="E776" s="24">
        <v>5.3240740740740744E-4</v>
      </c>
      <c r="F776" s="24">
        <v>2.3495370370370371E-3</v>
      </c>
      <c r="G776" s="24">
        <v>3.5648148148148149E-3</v>
      </c>
      <c r="H776" s="24">
        <v>0.45710000000000001</v>
      </c>
      <c r="I776" s="18">
        <f t="shared" si="61"/>
        <v>8.0000000000000002E-3</v>
      </c>
      <c r="J776" s="18">
        <f t="shared" si="65"/>
        <v>4.5710000000000004E-3</v>
      </c>
      <c r="K776" s="19">
        <f t="shared" si="62"/>
        <v>14</v>
      </c>
      <c r="L776" s="18">
        <f t="shared" si="63"/>
        <v>0.2</v>
      </c>
      <c r="M776" s="18">
        <f t="shared" si="64"/>
        <v>0.8</v>
      </c>
    </row>
    <row r="777" spans="1:13" x14ac:dyDescent="0.3">
      <c r="A777" s="22">
        <v>287</v>
      </c>
      <c r="B777" s="22">
        <v>255</v>
      </c>
      <c r="C777" s="23">
        <v>0.88849999999999996</v>
      </c>
      <c r="D777" s="22">
        <v>32</v>
      </c>
      <c r="E777" s="24">
        <v>4.6296296296296298E-4</v>
      </c>
      <c r="F777" s="24">
        <v>2.4305555555555556E-3</v>
      </c>
      <c r="G777" s="24">
        <v>2.8819444444444444E-3</v>
      </c>
      <c r="H777" s="24">
        <v>0.46810000000000002</v>
      </c>
      <c r="I777" s="18">
        <f t="shared" si="61"/>
        <v>8.8849999999999988E-3</v>
      </c>
      <c r="J777" s="18">
        <f t="shared" si="65"/>
        <v>4.6810000000000003E-3</v>
      </c>
      <c r="K777" s="19">
        <f t="shared" si="62"/>
        <v>32</v>
      </c>
      <c r="L777" s="18">
        <f t="shared" si="63"/>
        <v>0.11149825783972125</v>
      </c>
      <c r="M777" s="18">
        <f t="shared" si="64"/>
        <v>0.88850174216027877</v>
      </c>
    </row>
    <row r="778" spans="1:13" x14ac:dyDescent="0.3">
      <c r="A778" s="22">
        <v>298</v>
      </c>
      <c r="B778" s="22">
        <v>259</v>
      </c>
      <c r="C778" s="23">
        <v>0.86909999999999998</v>
      </c>
      <c r="D778" s="22">
        <v>39</v>
      </c>
      <c r="E778" s="24">
        <v>3.4722222222222224E-4</v>
      </c>
      <c r="F778" s="24">
        <v>2.2453703703703702E-3</v>
      </c>
      <c r="G778" s="24">
        <v>5.0347222222222225E-3</v>
      </c>
      <c r="H778" s="24">
        <v>0.57969999999999999</v>
      </c>
      <c r="I778" s="18">
        <f t="shared" si="61"/>
        <v>8.6909999999999991E-3</v>
      </c>
      <c r="J778" s="18">
        <f t="shared" si="65"/>
        <v>5.7970000000000001E-3</v>
      </c>
      <c r="K778" s="19">
        <f t="shared" si="62"/>
        <v>39</v>
      </c>
      <c r="L778" s="18">
        <f t="shared" si="63"/>
        <v>0.13087248322147652</v>
      </c>
      <c r="M778" s="18">
        <f t="shared" si="64"/>
        <v>0.86912751677852351</v>
      </c>
    </row>
    <row r="779" spans="1:13" x14ac:dyDescent="0.3">
      <c r="A779" s="22">
        <v>347</v>
      </c>
      <c r="B779" s="22">
        <v>317</v>
      </c>
      <c r="C779" s="23">
        <v>0.91349999999999998</v>
      </c>
      <c r="D779" s="22">
        <v>30</v>
      </c>
      <c r="E779" s="24">
        <v>3.4722222222222224E-4</v>
      </c>
      <c r="F779" s="24">
        <v>2.2106481481481482E-3</v>
      </c>
      <c r="G779" s="24">
        <v>4.0740740740740737E-3</v>
      </c>
      <c r="H779" s="24">
        <v>0.59770000000000001</v>
      </c>
      <c r="I779" s="18">
        <f t="shared" si="61"/>
        <v>9.134999999999999E-3</v>
      </c>
      <c r="J779" s="18">
        <f t="shared" si="65"/>
        <v>5.9769999999999997E-3</v>
      </c>
      <c r="K779" s="19">
        <f t="shared" si="62"/>
        <v>30</v>
      </c>
      <c r="L779" s="18">
        <f t="shared" si="63"/>
        <v>8.645533141210375E-2</v>
      </c>
      <c r="M779" s="18">
        <f t="shared" si="64"/>
        <v>0.91354466858789629</v>
      </c>
    </row>
    <row r="780" spans="1:13" x14ac:dyDescent="0.3">
      <c r="A780" s="22">
        <v>414</v>
      </c>
      <c r="B780" s="22">
        <v>356</v>
      </c>
      <c r="C780" s="23">
        <v>0.8599</v>
      </c>
      <c r="D780" s="22">
        <v>58</v>
      </c>
      <c r="E780" s="24">
        <v>4.9768518518518521E-4</v>
      </c>
      <c r="F780" s="24">
        <v>2.3958333333333331E-3</v>
      </c>
      <c r="G780" s="24">
        <v>1.0787037037037038E-2</v>
      </c>
      <c r="H780" s="24">
        <v>0.47149999999999997</v>
      </c>
      <c r="I780" s="18">
        <f t="shared" si="61"/>
        <v>8.5990000000000007E-3</v>
      </c>
      <c r="J780" s="18">
        <f t="shared" si="65"/>
        <v>4.7149999999999996E-3</v>
      </c>
      <c r="K780" s="19">
        <f t="shared" si="62"/>
        <v>58</v>
      </c>
      <c r="L780" s="18">
        <f t="shared" si="63"/>
        <v>0.14009661835748793</v>
      </c>
      <c r="M780" s="18">
        <f t="shared" si="64"/>
        <v>0.85990338164251212</v>
      </c>
    </row>
    <row r="781" spans="1:13" x14ac:dyDescent="0.3">
      <c r="A781" s="22">
        <v>406</v>
      </c>
      <c r="B781" s="22">
        <v>362</v>
      </c>
      <c r="C781" s="23">
        <v>0.89159999999999995</v>
      </c>
      <c r="D781" s="22">
        <v>44</v>
      </c>
      <c r="E781" s="24">
        <v>4.2824074074074075E-4</v>
      </c>
      <c r="F781" s="24">
        <v>2.1064814814814813E-3</v>
      </c>
      <c r="G781" s="24">
        <v>3.6689814814814814E-3</v>
      </c>
      <c r="H781" s="24">
        <v>0.53480000000000005</v>
      </c>
      <c r="I781" s="18">
        <f t="shared" si="61"/>
        <v>8.9160000000000003E-3</v>
      </c>
      <c r="J781" s="18">
        <f t="shared" si="65"/>
        <v>5.3480000000000003E-3</v>
      </c>
      <c r="K781" s="19">
        <f t="shared" si="62"/>
        <v>44</v>
      </c>
      <c r="L781" s="18">
        <f t="shared" si="63"/>
        <v>0.10837438423645321</v>
      </c>
      <c r="M781" s="18">
        <f t="shared" si="64"/>
        <v>0.89162561576354682</v>
      </c>
    </row>
    <row r="782" spans="1:13" x14ac:dyDescent="0.3">
      <c r="A782" s="22">
        <v>366</v>
      </c>
      <c r="B782" s="22">
        <v>322</v>
      </c>
      <c r="C782" s="23">
        <v>0.87980000000000003</v>
      </c>
      <c r="D782" s="22">
        <v>44</v>
      </c>
      <c r="E782" s="24">
        <v>4.0509259259259258E-4</v>
      </c>
      <c r="F782" s="24">
        <v>2.1180555555555558E-3</v>
      </c>
      <c r="G782" s="24">
        <v>7.7777777777777776E-3</v>
      </c>
      <c r="H782" s="24">
        <v>0.5706</v>
      </c>
      <c r="I782" s="18">
        <f t="shared" si="61"/>
        <v>8.7980000000000003E-3</v>
      </c>
      <c r="J782" s="18">
        <f t="shared" si="65"/>
        <v>5.7060000000000001E-3</v>
      </c>
      <c r="K782" s="19">
        <f t="shared" si="62"/>
        <v>44</v>
      </c>
      <c r="L782" s="18">
        <f t="shared" si="63"/>
        <v>0.12021857923497267</v>
      </c>
      <c r="M782" s="18">
        <f t="shared" si="64"/>
        <v>0.8797814207650273</v>
      </c>
    </row>
    <row r="783" spans="1:13" x14ac:dyDescent="0.3">
      <c r="A783" s="22">
        <v>68</v>
      </c>
      <c r="B783" s="22">
        <v>64</v>
      </c>
      <c r="C783" s="23">
        <v>0.94120000000000004</v>
      </c>
      <c r="D783" s="22">
        <v>4</v>
      </c>
      <c r="E783" s="24">
        <v>1.6203703703703703E-4</v>
      </c>
      <c r="F783" s="24">
        <v>2.0601851851851853E-3</v>
      </c>
      <c r="G783" s="24">
        <v>1.4351851851851852E-3</v>
      </c>
      <c r="H783" s="24">
        <v>0.82350000000000001</v>
      </c>
      <c r="I783" s="18">
        <f t="shared" si="61"/>
        <v>9.4120000000000002E-3</v>
      </c>
      <c r="J783" s="18">
        <f t="shared" si="65"/>
        <v>8.2349999999999993E-3</v>
      </c>
      <c r="K783" s="19">
        <f t="shared" si="62"/>
        <v>4</v>
      </c>
      <c r="L783" s="18">
        <f t="shared" si="63"/>
        <v>5.8823529411764705E-2</v>
      </c>
      <c r="M783" s="18">
        <f t="shared" si="64"/>
        <v>0.94117647058823528</v>
      </c>
    </row>
    <row r="784" spans="1:13" x14ac:dyDescent="0.3">
      <c r="A784" s="22">
        <v>350</v>
      </c>
      <c r="B784" s="22">
        <v>320</v>
      </c>
      <c r="C784" s="23">
        <v>0.9143</v>
      </c>
      <c r="D784" s="22">
        <v>30</v>
      </c>
      <c r="E784" s="24">
        <v>4.2824074074074075E-4</v>
      </c>
      <c r="F784" s="24">
        <v>2.2337962962962962E-3</v>
      </c>
      <c r="G784" s="24">
        <v>3.9236111111111112E-3</v>
      </c>
      <c r="H784" s="24">
        <v>0.54179999999999995</v>
      </c>
      <c r="I784" s="18">
        <f t="shared" si="61"/>
        <v>9.1430000000000001E-3</v>
      </c>
      <c r="J784" s="18">
        <f t="shared" si="65"/>
        <v>5.4179999999999992E-3</v>
      </c>
      <c r="K784" s="19">
        <f t="shared" si="62"/>
        <v>30</v>
      </c>
      <c r="L784" s="18">
        <f t="shared" si="63"/>
        <v>8.5714285714285715E-2</v>
      </c>
      <c r="M784" s="18">
        <f t="shared" si="64"/>
        <v>0.91428571428571426</v>
      </c>
    </row>
    <row r="785" spans="1:13" x14ac:dyDescent="0.3">
      <c r="A785" s="22">
        <v>437</v>
      </c>
      <c r="B785" s="22">
        <v>352</v>
      </c>
      <c r="C785" s="23">
        <v>0.80549999999999999</v>
      </c>
      <c r="D785" s="22">
        <v>85</v>
      </c>
      <c r="E785" s="24">
        <v>6.018518518518519E-4</v>
      </c>
      <c r="F785" s="24">
        <v>2.0949074074074073E-3</v>
      </c>
      <c r="G785" s="24">
        <v>6.6319444444444446E-3</v>
      </c>
      <c r="H785" s="24">
        <v>0.41260000000000002</v>
      </c>
      <c r="I785" s="18">
        <f t="shared" si="61"/>
        <v>8.0549999999999997E-3</v>
      </c>
      <c r="J785" s="18">
        <f t="shared" si="65"/>
        <v>4.1260000000000003E-3</v>
      </c>
      <c r="K785" s="19">
        <f t="shared" si="62"/>
        <v>85</v>
      </c>
      <c r="L785" s="18">
        <f t="shared" si="63"/>
        <v>0.19450800915331809</v>
      </c>
      <c r="M785" s="18">
        <f t="shared" si="64"/>
        <v>0.80549199084668188</v>
      </c>
    </row>
    <row r="786" spans="1:13" x14ac:dyDescent="0.3">
      <c r="A786" s="22">
        <v>484</v>
      </c>
      <c r="B786" s="22">
        <v>438</v>
      </c>
      <c r="C786" s="23">
        <v>0.90500000000000003</v>
      </c>
      <c r="D786" s="22">
        <v>46</v>
      </c>
      <c r="E786" s="24">
        <v>5.2083333333333333E-4</v>
      </c>
      <c r="F786" s="24">
        <v>2.0486111111111113E-3</v>
      </c>
      <c r="G786" s="24">
        <v>4.0162037037037041E-3</v>
      </c>
      <c r="H786" s="24">
        <v>0.44790000000000002</v>
      </c>
      <c r="I786" s="18">
        <f t="shared" si="61"/>
        <v>9.0500000000000008E-3</v>
      </c>
      <c r="J786" s="18">
        <f t="shared" si="65"/>
        <v>4.4790000000000003E-3</v>
      </c>
      <c r="K786" s="19">
        <f t="shared" si="62"/>
        <v>46</v>
      </c>
      <c r="L786" s="18">
        <f t="shared" si="63"/>
        <v>9.5041322314049589E-2</v>
      </c>
      <c r="M786" s="18">
        <f t="shared" si="64"/>
        <v>0.9049586776859504</v>
      </c>
    </row>
    <row r="787" spans="1:13" x14ac:dyDescent="0.3">
      <c r="A787" s="22">
        <v>405</v>
      </c>
      <c r="B787" s="22">
        <v>368</v>
      </c>
      <c r="C787" s="23">
        <v>0.90859999999999996</v>
      </c>
      <c r="D787" s="22">
        <v>37</v>
      </c>
      <c r="E787" s="24">
        <v>4.0509259259259258E-4</v>
      </c>
      <c r="F787" s="24">
        <v>2.1875000000000002E-3</v>
      </c>
      <c r="G787" s="24">
        <v>3.9467592592592592E-3</v>
      </c>
      <c r="H787" s="24">
        <v>0.58099999999999996</v>
      </c>
      <c r="I787" s="18">
        <f t="shared" si="61"/>
        <v>9.0860000000000003E-3</v>
      </c>
      <c r="J787" s="18">
        <f t="shared" si="65"/>
        <v>5.8099999999999992E-3</v>
      </c>
      <c r="K787" s="19">
        <f t="shared" si="62"/>
        <v>37</v>
      </c>
      <c r="L787" s="18">
        <f t="shared" si="63"/>
        <v>9.1358024691358022E-2</v>
      </c>
      <c r="M787" s="18">
        <f t="shared" si="64"/>
        <v>0.90864197530864199</v>
      </c>
    </row>
    <row r="788" spans="1:13" x14ac:dyDescent="0.3">
      <c r="A788" s="22">
        <v>570</v>
      </c>
      <c r="B788" s="22">
        <v>368</v>
      </c>
      <c r="C788" s="23">
        <v>0.64559999999999995</v>
      </c>
      <c r="D788" s="22">
        <v>202</v>
      </c>
      <c r="E788" s="24">
        <v>8.2175925925925927E-4</v>
      </c>
      <c r="F788" s="24">
        <v>2.3611111111111111E-3</v>
      </c>
      <c r="G788" s="24">
        <v>1.7951388888888888E-2</v>
      </c>
      <c r="H788" s="24">
        <v>0.2354</v>
      </c>
      <c r="I788" s="18">
        <f t="shared" si="61"/>
        <v>6.4559999999999999E-3</v>
      </c>
      <c r="J788" s="18">
        <f t="shared" si="65"/>
        <v>2.3540000000000002E-3</v>
      </c>
      <c r="K788" s="19">
        <f t="shared" si="62"/>
        <v>202</v>
      </c>
      <c r="L788" s="18">
        <f t="shared" si="63"/>
        <v>0.35438596491228069</v>
      </c>
      <c r="M788" s="18">
        <f t="shared" si="64"/>
        <v>0.64561403508771931</v>
      </c>
    </row>
    <row r="789" spans="1:13" x14ac:dyDescent="0.3">
      <c r="A789" s="22">
        <v>424</v>
      </c>
      <c r="B789" s="22">
        <v>384</v>
      </c>
      <c r="C789" s="23">
        <v>0.90569999999999995</v>
      </c>
      <c r="D789" s="22">
        <v>40</v>
      </c>
      <c r="E789" s="24">
        <v>5.6712962962962967E-4</v>
      </c>
      <c r="F789" s="24">
        <v>2.2453703703703702E-3</v>
      </c>
      <c r="G789" s="24">
        <v>6.2037037037037035E-3</v>
      </c>
      <c r="H789" s="24">
        <v>0.3952</v>
      </c>
      <c r="I789" s="18">
        <f t="shared" si="61"/>
        <v>9.0569999999999991E-3</v>
      </c>
      <c r="J789" s="18">
        <f t="shared" si="65"/>
        <v>3.9519999999999998E-3</v>
      </c>
      <c r="K789" s="19">
        <f t="shared" si="62"/>
        <v>40</v>
      </c>
      <c r="L789" s="18">
        <f t="shared" si="63"/>
        <v>9.4339622641509441E-2</v>
      </c>
      <c r="M789" s="18">
        <f t="shared" si="64"/>
        <v>0.90566037735849059</v>
      </c>
    </row>
    <row r="790" spans="1:13" x14ac:dyDescent="0.3">
      <c r="A790" s="22">
        <v>60</v>
      </c>
      <c r="B790" s="22">
        <v>57</v>
      </c>
      <c r="C790" s="23">
        <v>0.95</v>
      </c>
      <c r="D790" s="22">
        <v>3</v>
      </c>
      <c r="E790" s="24">
        <v>3.7037037037037035E-4</v>
      </c>
      <c r="F790" s="24">
        <v>2.3032407407407407E-3</v>
      </c>
      <c r="G790" s="24">
        <v>2.0833333333333333E-3</v>
      </c>
      <c r="H790" s="24">
        <v>0.55930000000000002</v>
      </c>
      <c r="I790" s="18">
        <f t="shared" si="61"/>
        <v>9.4999999999999998E-3</v>
      </c>
      <c r="J790" s="18">
        <f t="shared" si="65"/>
        <v>5.5929999999999999E-3</v>
      </c>
      <c r="K790" s="19">
        <f t="shared" si="62"/>
        <v>3</v>
      </c>
      <c r="L790" s="18">
        <f t="shared" si="63"/>
        <v>0.05</v>
      </c>
      <c r="M790" s="18">
        <f t="shared" si="64"/>
        <v>0.95</v>
      </c>
    </row>
    <row r="791" spans="1:13" x14ac:dyDescent="0.3">
      <c r="A791" s="22">
        <v>497</v>
      </c>
      <c r="B791" s="22">
        <v>442</v>
      </c>
      <c r="C791" s="23">
        <v>0.88929999999999998</v>
      </c>
      <c r="D791" s="22">
        <v>55</v>
      </c>
      <c r="E791" s="24">
        <v>5.5555555555555556E-4</v>
      </c>
      <c r="F791" s="24">
        <v>1.1111111111111111E-3</v>
      </c>
      <c r="G791" s="24">
        <v>7.4652777777777781E-3</v>
      </c>
      <c r="H791" s="24">
        <v>0.57579999999999998</v>
      </c>
      <c r="I791" s="18">
        <f t="shared" si="61"/>
        <v>8.8929999999999999E-3</v>
      </c>
      <c r="J791" s="18">
        <f t="shared" si="65"/>
        <v>5.7580000000000001E-3</v>
      </c>
      <c r="K791" s="19">
        <f t="shared" si="62"/>
        <v>55</v>
      </c>
      <c r="L791" s="18">
        <f t="shared" si="63"/>
        <v>0.11066398390342053</v>
      </c>
      <c r="M791" s="18">
        <f t="shared" si="64"/>
        <v>0.88933601609657953</v>
      </c>
    </row>
    <row r="792" spans="1:13" x14ac:dyDescent="0.3">
      <c r="A792" s="22">
        <v>429</v>
      </c>
      <c r="B792" s="22">
        <v>378</v>
      </c>
      <c r="C792" s="23">
        <v>0.88109999999999999</v>
      </c>
      <c r="D792" s="22">
        <v>51</v>
      </c>
      <c r="E792" s="24">
        <v>4.2824074074074075E-4</v>
      </c>
      <c r="F792" s="24">
        <v>1.4467592592592592E-3</v>
      </c>
      <c r="G792" s="24">
        <v>7.5810185185185182E-3</v>
      </c>
      <c r="H792" s="24">
        <v>0.55289999999999995</v>
      </c>
      <c r="I792" s="18">
        <f t="shared" si="61"/>
        <v>8.8109999999999994E-3</v>
      </c>
      <c r="J792" s="18">
        <f t="shared" si="65"/>
        <v>5.5289999999999992E-3</v>
      </c>
      <c r="K792" s="19">
        <f t="shared" si="62"/>
        <v>51</v>
      </c>
      <c r="L792" s="18">
        <f t="shared" si="63"/>
        <v>0.11888111888111888</v>
      </c>
      <c r="M792" s="18">
        <f t="shared" si="64"/>
        <v>0.88111888111888115</v>
      </c>
    </row>
    <row r="793" spans="1:13" x14ac:dyDescent="0.3">
      <c r="A793" s="22">
        <v>499</v>
      </c>
      <c r="B793" s="22">
        <v>388</v>
      </c>
      <c r="C793" s="23">
        <v>0.77759999999999996</v>
      </c>
      <c r="D793" s="22">
        <v>111</v>
      </c>
      <c r="E793" s="24">
        <v>6.2500000000000001E-4</v>
      </c>
      <c r="F793" s="24">
        <v>1.5625000000000001E-3</v>
      </c>
      <c r="G793" s="24">
        <v>1.1793981481481482E-2</v>
      </c>
      <c r="H793" s="24">
        <v>0.47760000000000002</v>
      </c>
      <c r="I793" s="18">
        <f t="shared" si="61"/>
        <v>7.7759999999999999E-3</v>
      </c>
      <c r="J793" s="18">
        <f t="shared" si="65"/>
        <v>4.7759999999999999E-3</v>
      </c>
      <c r="K793" s="19">
        <f t="shared" si="62"/>
        <v>111</v>
      </c>
      <c r="L793" s="18">
        <f t="shared" si="63"/>
        <v>0.22244488977955912</v>
      </c>
      <c r="M793" s="18">
        <f t="shared" si="64"/>
        <v>0.77755511022044088</v>
      </c>
    </row>
    <row r="794" spans="1:13" x14ac:dyDescent="0.3">
      <c r="A794" s="22">
        <v>510</v>
      </c>
      <c r="B794" s="22">
        <v>434</v>
      </c>
      <c r="C794" s="23">
        <v>0.85099999999999998</v>
      </c>
      <c r="D794" s="22">
        <v>76</v>
      </c>
      <c r="E794" s="24">
        <v>5.5555555555555556E-4</v>
      </c>
      <c r="F794" s="24">
        <v>2.4189814814814816E-3</v>
      </c>
      <c r="G794" s="24">
        <v>7.1875000000000003E-3</v>
      </c>
      <c r="H794" s="24">
        <v>0.4219</v>
      </c>
      <c r="I794" s="18">
        <f t="shared" si="61"/>
        <v>8.5100000000000002E-3</v>
      </c>
      <c r="J794" s="18">
        <f t="shared" si="65"/>
        <v>4.2189999999999997E-3</v>
      </c>
      <c r="K794" s="19">
        <f t="shared" si="62"/>
        <v>76</v>
      </c>
      <c r="L794" s="18">
        <f t="shared" si="63"/>
        <v>0.14901960784313725</v>
      </c>
      <c r="M794" s="18">
        <f t="shared" si="64"/>
        <v>0.85098039215686272</v>
      </c>
    </row>
    <row r="795" spans="1:13" x14ac:dyDescent="0.3">
      <c r="A795" s="22">
        <v>549</v>
      </c>
      <c r="B795" s="22">
        <v>458</v>
      </c>
      <c r="C795" s="23">
        <v>0.83420000000000005</v>
      </c>
      <c r="D795" s="22">
        <v>91</v>
      </c>
      <c r="E795" s="24">
        <v>8.4490740740740739E-4</v>
      </c>
      <c r="F795" s="24">
        <v>2.488425925925926E-3</v>
      </c>
      <c r="G795" s="24">
        <v>6.3888888888888893E-3</v>
      </c>
      <c r="H795" s="24">
        <v>0.29070000000000001</v>
      </c>
      <c r="I795" s="18">
        <f t="shared" si="61"/>
        <v>8.3420000000000005E-3</v>
      </c>
      <c r="J795" s="18">
        <f t="shared" si="65"/>
        <v>2.9070000000000003E-3</v>
      </c>
      <c r="K795" s="19">
        <f t="shared" si="62"/>
        <v>91</v>
      </c>
      <c r="L795" s="18">
        <f t="shared" si="63"/>
        <v>0.16575591985428051</v>
      </c>
      <c r="M795" s="18">
        <f t="shared" si="64"/>
        <v>0.83424408014571949</v>
      </c>
    </row>
    <row r="796" spans="1:13" x14ac:dyDescent="0.3">
      <c r="A796" s="22">
        <v>590</v>
      </c>
      <c r="B796" s="22">
        <v>444</v>
      </c>
      <c r="C796" s="23">
        <v>0.75249999999999995</v>
      </c>
      <c r="D796" s="22">
        <v>146</v>
      </c>
      <c r="E796" s="24">
        <v>9.6064814814814819E-4</v>
      </c>
      <c r="F796" s="24">
        <v>2.476851851851852E-3</v>
      </c>
      <c r="G796" s="24">
        <v>6.2268518518518515E-3</v>
      </c>
      <c r="H796" s="24">
        <v>0.1903</v>
      </c>
      <c r="I796" s="18">
        <f t="shared" si="61"/>
        <v>7.5249999999999996E-3</v>
      </c>
      <c r="J796" s="18">
        <f t="shared" si="65"/>
        <v>1.903E-3</v>
      </c>
      <c r="K796" s="19">
        <f t="shared" si="62"/>
        <v>146</v>
      </c>
      <c r="L796" s="18">
        <f t="shared" si="63"/>
        <v>0.24745762711864408</v>
      </c>
      <c r="M796" s="18">
        <f t="shared" si="64"/>
        <v>0.75254237288135595</v>
      </c>
    </row>
    <row r="797" spans="1:13" x14ac:dyDescent="0.3">
      <c r="A797" s="22">
        <v>137</v>
      </c>
      <c r="B797" s="22">
        <v>120</v>
      </c>
      <c r="C797" s="23">
        <v>0.87590000000000001</v>
      </c>
      <c r="D797" s="22">
        <v>17</v>
      </c>
      <c r="E797" s="24">
        <v>6.7129629629629625E-4</v>
      </c>
      <c r="F797" s="24">
        <v>2.2106481481481482E-3</v>
      </c>
      <c r="G797" s="24">
        <v>3.7268518518518519E-3</v>
      </c>
      <c r="H797" s="24">
        <v>0.33090000000000003</v>
      </c>
      <c r="I797" s="18">
        <f t="shared" si="61"/>
        <v>8.7589999999999994E-3</v>
      </c>
      <c r="J797" s="18">
        <f t="shared" si="65"/>
        <v>3.3090000000000003E-3</v>
      </c>
      <c r="K797" s="19">
        <f t="shared" si="62"/>
        <v>17</v>
      </c>
      <c r="L797" s="18">
        <f t="shared" si="63"/>
        <v>0.12408759124087591</v>
      </c>
      <c r="M797" s="18">
        <f t="shared" si="64"/>
        <v>0.87591240875912413</v>
      </c>
    </row>
    <row r="798" spans="1:13" x14ac:dyDescent="0.3">
      <c r="A798" s="22">
        <v>598</v>
      </c>
      <c r="B798" s="22">
        <v>476</v>
      </c>
      <c r="C798" s="23">
        <v>0.79600000000000004</v>
      </c>
      <c r="D798" s="22">
        <v>122</v>
      </c>
      <c r="E798" s="24">
        <v>6.7129629629629625E-4</v>
      </c>
      <c r="F798" s="24">
        <v>2.5347222222222221E-3</v>
      </c>
      <c r="G798" s="24">
        <v>6.076388888888889E-3</v>
      </c>
      <c r="H798" s="24">
        <v>0.32029999999999997</v>
      </c>
      <c r="I798" s="18">
        <f t="shared" si="61"/>
        <v>7.9600000000000001E-3</v>
      </c>
      <c r="J798" s="18">
        <f t="shared" si="65"/>
        <v>3.2029999999999997E-3</v>
      </c>
      <c r="K798" s="19">
        <f t="shared" si="62"/>
        <v>122</v>
      </c>
      <c r="L798" s="18">
        <f t="shared" si="63"/>
        <v>0.20401337792642141</v>
      </c>
      <c r="M798" s="18">
        <f t="shared" si="64"/>
        <v>0.79598662207357862</v>
      </c>
    </row>
    <row r="799" spans="1:13" x14ac:dyDescent="0.3">
      <c r="A799" s="22">
        <v>231</v>
      </c>
      <c r="B799" s="22">
        <v>180</v>
      </c>
      <c r="C799" s="23">
        <v>0.7792</v>
      </c>
      <c r="D799" s="22">
        <v>51</v>
      </c>
      <c r="E799" s="24">
        <v>7.407407407407407E-4</v>
      </c>
      <c r="F799" s="24">
        <v>2.4652777777777776E-3</v>
      </c>
      <c r="G799" s="24">
        <v>6.3310185185185188E-3</v>
      </c>
      <c r="H799" s="24">
        <v>0.33779999999999999</v>
      </c>
      <c r="I799" s="18">
        <f t="shared" si="61"/>
        <v>7.7920000000000003E-3</v>
      </c>
      <c r="J799" s="18">
        <f t="shared" si="65"/>
        <v>3.3779999999999999E-3</v>
      </c>
      <c r="K799" s="19">
        <f t="shared" si="62"/>
        <v>51</v>
      </c>
      <c r="L799" s="18">
        <f t="shared" si="63"/>
        <v>0.22077922077922077</v>
      </c>
      <c r="M799" s="18">
        <f t="shared" si="64"/>
        <v>0.77922077922077926</v>
      </c>
    </row>
    <row r="800" spans="1:13" x14ac:dyDescent="0.3">
      <c r="A800" s="22">
        <v>724</v>
      </c>
      <c r="B800" s="22">
        <v>362</v>
      </c>
      <c r="C800" s="23">
        <v>0.5</v>
      </c>
      <c r="D800" s="22">
        <v>362</v>
      </c>
      <c r="E800" s="24">
        <v>1.4004629629629629E-3</v>
      </c>
      <c r="F800" s="24">
        <v>2.7199074074074074E-3</v>
      </c>
      <c r="G800" s="24">
        <v>8.5416666666666662E-3</v>
      </c>
      <c r="H800" s="24">
        <v>0.1166</v>
      </c>
      <c r="I800" s="18">
        <f t="shared" si="61"/>
        <v>5.0000000000000001E-3</v>
      </c>
      <c r="J800" s="18">
        <f t="shared" si="65"/>
        <v>1.1659999999999999E-3</v>
      </c>
      <c r="K800" s="19">
        <f t="shared" si="62"/>
        <v>362</v>
      </c>
      <c r="L800" s="18">
        <f t="shared" si="63"/>
        <v>0.5</v>
      </c>
      <c r="M800" s="18">
        <f t="shared" si="64"/>
        <v>0.5</v>
      </c>
    </row>
    <row r="801" spans="1:13" x14ac:dyDescent="0.3">
      <c r="A801" s="22">
        <v>732</v>
      </c>
      <c r="B801" s="22">
        <v>367</v>
      </c>
      <c r="C801" s="23">
        <v>0.50139999999999996</v>
      </c>
      <c r="D801" s="22">
        <v>365</v>
      </c>
      <c r="E801" s="24">
        <v>1.9444444444444444E-3</v>
      </c>
      <c r="F801" s="24">
        <v>1.9907407407407408E-3</v>
      </c>
      <c r="G801" s="24">
        <v>1.1550925925925926E-2</v>
      </c>
      <c r="H801" s="24">
        <v>8.09E-2</v>
      </c>
      <c r="I801" s="18">
        <f t="shared" si="61"/>
        <v>5.0139999999999994E-3</v>
      </c>
      <c r="J801" s="18">
        <f t="shared" si="65"/>
        <v>8.0900000000000004E-4</v>
      </c>
      <c r="K801" s="19">
        <f t="shared" si="62"/>
        <v>365</v>
      </c>
      <c r="L801" s="18">
        <f t="shared" si="63"/>
        <v>0.49863387978142076</v>
      </c>
      <c r="M801" s="18">
        <f t="shared" si="64"/>
        <v>0.50136612021857918</v>
      </c>
    </row>
    <row r="802" spans="1:13" x14ac:dyDescent="0.3">
      <c r="A802" s="22">
        <v>582</v>
      </c>
      <c r="B802" s="22">
        <v>301</v>
      </c>
      <c r="C802" s="23">
        <v>0.51719999999999999</v>
      </c>
      <c r="D802" s="22">
        <v>281</v>
      </c>
      <c r="E802" s="24">
        <v>1.8634259259259259E-3</v>
      </c>
      <c r="F802" s="24">
        <v>2.9282407407407408E-3</v>
      </c>
      <c r="G802" s="24">
        <v>1.5069444444444444E-2</v>
      </c>
      <c r="H802" s="24">
        <v>0.1208</v>
      </c>
      <c r="I802" s="18">
        <f t="shared" si="61"/>
        <v>5.1719999999999995E-3</v>
      </c>
      <c r="J802" s="18">
        <f t="shared" si="65"/>
        <v>1.2080000000000001E-3</v>
      </c>
      <c r="K802" s="19">
        <f t="shared" si="62"/>
        <v>281</v>
      </c>
      <c r="L802" s="18">
        <f t="shared" si="63"/>
        <v>0.48281786941580757</v>
      </c>
      <c r="M802" s="18">
        <f t="shared" si="64"/>
        <v>0.51718213058419249</v>
      </c>
    </row>
    <row r="803" spans="1:13" x14ac:dyDescent="0.3">
      <c r="A803" s="22">
        <v>621</v>
      </c>
      <c r="B803" s="22">
        <v>344</v>
      </c>
      <c r="C803" s="23">
        <v>0.55389999999999995</v>
      </c>
      <c r="D803" s="22">
        <v>277</v>
      </c>
      <c r="E803" s="24">
        <v>1.4699074074074074E-3</v>
      </c>
      <c r="F803" s="24">
        <v>2.4189814814814816E-3</v>
      </c>
      <c r="G803" s="24">
        <v>8.611111111111111E-3</v>
      </c>
      <c r="H803" s="24">
        <v>0.1447</v>
      </c>
      <c r="I803" s="18">
        <f t="shared" si="61"/>
        <v>5.5389999999999997E-3</v>
      </c>
      <c r="J803" s="18">
        <f t="shared" si="65"/>
        <v>1.4469999999999999E-3</v>
      </c>
      <c r="K803" s="19">
        <f t="shared" si="62"/>
        <v>277</v>
      </c>
      <c r="L803" s="18">
        <f t="shared" si="63"/>
        <v>0.44605475040257647</v>
      </c>
      <c r="M803" s="18">
        <f t="shared" si="64"/>
        <v>0.55394524959742353</v>
      </c>
    </row>
    <row r="804" spans="1:13" x14ac:dyDescent="0.3">
      <c r="A804" s="22">
        <v>116</v>
      </c>
      <c r="B804" s="22">
        <v>106</v>
      </c>
      <c r="C804" s="23">
        <v>0.91379999999999995</v>
      </c>
      <c r="D804" s="22">
        <v>10</v>
      </c>
      <c r="E804" s="24">
        <v>3.9351851851851852E-4</v>
      </c>
      <c r="F804" s="24">
        <v>3.0439814814814813E-3</v>
      </c>
      <c r="G804" s="24">
        <v>3.2870370370370371E-3</v>
      </c>
      <c r="H804" s="24">
        <v>0.62929999999999997</v>
      </c>
      <c r="I804" s="18">
        <f t="shared" si="61"/>
        <v>9.1380000000000003E-3</v>
      </c>
      <c r="J804" s="18">
        <f t="shared" si="65"/>
        <v>6.293E-3</v>
      </c>
      <c r="K804" s="19">
        <f t="shared" si="62"/>
        <v>10</v>
      </c>
      <c r="L804" s="18">
        <f t="shared" si="63"/>
        <v>8.6206896551724144E-2</v>
      </c>
      <c r="M804" s="18">
        <f t="shared" si="64"/>
        <v>0.91379310344827591</v>
      </c>
    </row>
    <row r="805" spans="1:13" x14ac:dyDescent="0.3">
      <c r="A805" s="22">
        <v>533</v>
      </c>
      <c r="B805" s="22">
        <v>300</v>
      </c>
      <c r="C805" s="23">
        <v>0.56289999999999996</v>
      </c>
      <c r="D805" s="22">
        <v>233</v>
      </c>
      <c r="E805" s="24">
        <v>1.5277777777777779E-3</v>
      </c>
      <c r="F805" s="24">
        <v>2.8124999999999999E-3</v>
      </c>
      <c r="G805" s="24">
        <v>8.611111111111111E-3</v>
      </c>
      <c r="H805" s="24">
        <v>0.1255</v>
      </c>
      <c r="I805" s="18">
        <f t="shared" si="61"/>
        <v>5.6289999999999995E-3</v>
      </c>
      <c r="J805" s="18">
        <f t="shared" si="65"/>
        <v>1.255E-3</v>
      </c>
      <c r="K805" s="19">
        <f t="shared" si="62"/>
        <v>233</v>
      </c>
      <c r="L805" s="18">
        <f t="shared" si="63"/>
        <v>0.43714821763602252</v>
      </c>
      <c r="M805" s="18">
        <f t="shared" si="64"/>
        <v>0.56285178236397748</v>
      </c>
    </row>
    <row r="806" spans="1:13" x14ac:dyDescent="0.3">
      <c r="A806" s="22">
        <v>416</v>
      </c>
      <c r="B806" s="22">
        <v>322</v>
      </c>
      <c r="C806" s="23">
        <v>0.77400000000000002</v>
      </c>
      <c r="D806" s="22">
        <v>94</v>
      </c>
      <c r="E806" s="24">
        <v>7.407407407407407E-4</v>
      </c>
      <c r="F806" s="24">
        <v>2.476851851851852E-3</v>
      </c>
      <c r="G806" s="24">
        <v>4.3055555555555555E-3</v>
      </c>
      <c r="H806" s="24">
        <v>0.38590000000000002</v>
      </c>
      <c r="I806" s="18">
        <f t="shared" si="61"/>
        <v>7.7400000000000004E-3</v>
      </c>
      <c r="J806" s="18">
        <f t="shared" si="65"/>
        <v>3.859E-3</v>
      </c>
      <c r="K806" s="19">
        <f t="shared" si="62"/>
        <v>94</v>
      </c>
      <c r="L806" s="18">
        <f t="shared" si="63"/>
        <v>0.22596153846153846</v>
      </c>
      <c r="M806" s="18">
        <f t="shared" si="64"/>
        <v>0.77403846153846156</v>
      </c>
    </row>
    <row r="807" spans="1:13" x14ac:dyDescent="0.3">
      <c r="A807" s="22">
        <v>415</v>
      </c>
      <c r="B807" s="22">
        <v>259</v>
      </c>
      <c r="C807" s="23">
        <v>0.62409999999999999</v>
      </c>
      <c r="D807" s="22">
        <v>156</v>
      </c>
      <c r="E807" s="24">
        <v>1.5046296296296296E-3</v>
      </c>
      <c r="F807" s="24">
        <v>2.7430555555555554E-3</v>
      </c>
      <c r="G807" s="24">
        <v>9.4675925925925934E-3</v>
      </c>
      <c r="H807" s="24">
        <v>0.1789</v>
      </c>
      <c r="I807" s="18">
        <f t="shared" si="61"/>
        <v>6.241E-3</v>
      </c>
      <c r="J807" s="18">
        <f t="shared" si="65"/>
        <v>1.789E-3</v>
      </c>
      <c r="K807" s="19">
        <f t="shared" si="62"/>
        <v>156</v>
      </c>
      <c r="L807" s="18">
        <f t="shared" si="63"/>
        <v>0.37590361445783133</v>
      </c>
      <c r="M807" s="18">
        <f t="shared" si="64"/>
        <v>0.62409638554216873</v>
      </c>
    </row>
    <row r="808" spans="1:13" x14ac:dyDescent="0.3">
      <c r="A808" s="22">
        <v>433</v>
      </c>
      <c r="B808" s="22">
        <v>289</v>
      </c>
      <c r="C808" s="23">
        <v>0.66739999999999999</v>
      </c>
      <c r="D808" s="22">
        <v>144</v>
      </c>
      <c r="E808" s="24">
        <v>1.1805555555555556E-3</v>
      </c>
      <c r="F808" s="24">
        <v>2.4074074074074076E-3</v>
      </c>
      <c r="G808" s="24">
        <v>9.1666666666666667E-3</v>
      </c>
      <c r="H808" s="24">
        <v>0.22950000000000001</v>
      </c>
      <c r="I808" s="18">
        <f t="shared" si="61"/>
        <v>6.6740000000000002E-3</v>
      </c>
      <c r="J808" s="18">
        <f t="shared" si="65"/>
        <v>2.2950000000000002E-3</v>
      </c>
      <c r="K808" s="19">
        <f t="shared" si="62"/>
        <v>144</v>
      </c>
      <c r="L808" s="18">
        <f t="shared" si="63"/>
        <v>0.33256351039260967</v>
      </c>
      <c r="M808" s="18">
        <f t="shared" si="64"/>
        <v>0.66743648960739033</v>
      </c>
    </row>
    <row r="809" spans="1:13" x14ac:dyDescent="0.3">
      <c r="A809" s="22">
        <v>454</v>
      </c>
      <c r="B809" s="22">
        <v>284</v>
      </c>
      <c r="C809" s="23">
        <v>0.62560000000000004</v>
      </c>
      <c r="D809" s="22">
        <v>170</v>
      </c>
      <c r="E809" s="24">
        <v>1.3078703703703703E-3</v>
      </c>
      <c r="F809" s="24">
        <v>2.476851851851852E-3</v>
      </c>
      <c r="G809" s="24">
        <v>1.3449074074074073E-2</v>
      </c>
      <c r="H809" s="24">
        <v>0.24440000000000001</v>
      </c>
      <c r="I809" s="18">
        <f t="shared" si="61"/>
        <v>6.2560000000000003E-3</v>
      </c>
      <c r="J809" s="18">
        <f t="shared" si="65"/>
        <v>2.444E-3</v>
      </c>
      <c r="K809" s="19">
        <f t="shared" si="62"/>
        <v>170</v>
      </c>
      <c r="L809" s="18">
        <f t="shared" si="63"/>
        <v>0.37444933920704848</v>
      </c>
      <c r="M809" s="18">
        <f t="shared" si="64"/>
        <v>0.62555066079295152</v>
      </c>
    </row>
    <row r="810" spans="1:13" x14ac:dyDescent="0.3">
      <c r="A810" s="22">
        <v>244</v>
      </c>
      <c r="B810" s="22">
        <v>195</v>
      </c>
      <c r="C810" s="23">
        <v>0.79920000000000002</v>
      </c>
      <c r="D810" s="22">
        <v>49</v>
      </c>
      <c r="E810" s="24">
        <v>9.837962962962962E-4</v>
      </c>
      <c r="F810" s="24">
        <v>2.673611111111111E-3</v>
      </c>
      <c r="G810" s="24">
        <v>7.8935185185185185E-3</v>
      </c>
      <c r="H810" s="24">
        <v>0.36670000000000003</v>
      </c>
      <c r="I810" s="18">
        <f t="shared" si="61"/>
        <v>7.9920000000000008E-3</v>
      </c>
      <c r="J810" s="18">
        <f t="shared" si="65"/>
        <v>3.6670000000000001E-3</v>
      </c>
      <c r="K810" s="19">
        <f t="shared" si="62"/>
        <v>49</v>
      </c>
      <c r="L810" s="18">
        <f t="shared" si="63"/>
        <v>0.20081967213114754</v>
      </c>
      <c r="M810" s="18">
        <f t="shared" si="64"/>
        <v>0.79918032786885251</v>
      </c>
    </row>
    <row r="811" spans="1:13" x14ac:dyDescent="0.3">
      <c r="A811" s="22">
        <v>51</v>
      </c>
      <c r="B811" s="22">
        <v>48</v>
      </c>
      <c r="C811" s="23">
        <v>0.94120000000000004</v>
      </c>
      <c r="D811" s="22">
        <v>3</v>
      </c>
      <c r="E811" s="24">
        <v>1.6203703703703703E-4</v>
      </c>
      <c r="F811" s="24">
        <v>2.3842592592592591E-3</v>
      </c>
      <c r="G811" s="24">
        <v>2.3263888888888887E-3</v>
      </c>
      <c r="H811" s="24">
        <v>0.84309999999999996</v>
      </c>
      <c r="I811" s="18">
        <f t="shared" si="61"/>
        <v>9.4120000000000002E-3</v>
      </c>
      <c r="J811" s="18">
        <f t="shared" si="65"/>
        <v>8.4309999999999993E-3</v>
      </c>
      <c r="K811" s="19">
        <f t="shared" si="62"/>
        <v>3</v>
      </c>
      <c r="L811" s="18">
        <f t="shared" si="63"/>
        <v>5.8823529411764705E-2</v>
      </c>
      <c r="M811" s="18">
        <f t="shared" si="64"/>
        <v>0.94117647058823528</v>
      </c>
    </row>
    <row r="812" spans="1:13" x14ac:dyDescent="0.3">
      <c r="A812" s="22">
        <v>202</v>
      </c>
      <c r="B812" s="22">
        <v>176</v>
      </c>
      <c r="C812" s="23">
        <v>0.87129999999999996</v>
      </c>
      <c r="D812" s="22">
        <v>26</v>
      </c>
      <c r="E812" s="24">
        <v>2.7777777777777778E-4</v>
      </c>
      <c r="F812" s="24">
        <v>2.5694444444444445E-3</v>
      </c>
      <c r="G812" s="24">
        <v>3.7962962962962963E-3</v>
      </c>
      <c r="H812" s="24">
        <v>0.67159999999999997</v>
      </c>
      <c r="I812" s="18">
        <f t="shared" si="61"/>
        <v>8.7130000000000003E-3</v>
      </c>
      <c r="J812" s="18">
        <f t="shared" si="65"/>
        <v>6.7159999999999997E-3</v>
      </c>
      <c r="K812" s="19">
        <f t="shared" si="62"/>
        <v>26</v>
      </c>
      <c r="L812" s="18">
        <f t="shared" si="63"/>
        <v>0.12871287128712872</v>
      </c>
      <c r="M812" s="18">
        <f t="shared" si="64"/>
        <v>0.87128712871287128</v>
      </c>
    </row>
    <row r="813" spans="1:13" x14ac:dyDescent="0.3">
      <c r="A813" s="22">
        <v>128</v>
      </c>
      <c r="B813" s="22">
        <v>118</v>
      </c>
      <c r="C813" s="23">
        <v>0.92190000000000005</v>
      </c>
      <c r="D813" s="22">
        <v>10</v>
      </c>
      <c r="E813" s="24">
        <v>3.4722222222222224E-4</v>
      </c>
      <c r="F813" s="24">
        <v>2.5694444444444445E-3</v>
      </c>
      <c r="G813" s="24">
        <v>5.4745370370370373E-3</v>
      </c>
      <c r="H813" s="24">
        <v>0.74019999999999997</v>
      </c>
      <c r="I813" s="18">
        <f t="shared" si="61"/>
        <v>9.2189999999999998E-3</v>
      </c>
      <c r="J813" s="18">
        <f t="shared" si="65"/>
        <v>7.4019999999999997E-3</v>
      </c>
      <c r="K813" s="19">
        <f t="shared" si="62"/>
        <v>10</v>
      </c>
      <c r="L813" s="18">
        <f t="shared" si="63"/>
        <v>7.8125E-2</v>
      </c>
      <c r="M813" s="18">
        <f t="shared" si="64"/>
        <v>0.921875</v>
      </c>
    </row>
    <row r="814" spans="1:13" x14ac:dyDescent="0.3">
      <c r="A814" s="22">
        <v>102</v>
      </c>
      <c r="B814" s="22">
        <v>100</v>
      </c>
      <c r="C814" s="23">
        <v>0.98040000000000005</v>
      </c>
      <c r="D814" s="22">
        <v>2</v>
      </c>
      <c r="E814" s="24">
        <v>1.6203703703703703E-4</v>
      </c>
      <c r="F814" s="24">
        <v>2.4537037037037036E-3</v>
      </c>
      <c r="G814" s="24">
        <v>2.1875000000000002E-3</v>
      </c>
      <c r="H814" s="24">
        <v>0.85289999999999999</v>
      </c>
      <c r="I814" s="18">
        <f t="shared" si="61"/>
        <v>9.8040000000000002E-3</v>
      </c>
      <c r="J814" s="18">
        <f t="shared" si="65"/>
        <v>8.5290000000000001E-3</v>
      </c>
      <c r="K814" s="19">
        <f t="shared" si="62"/>
        <v>2</v>
      </c>
      <c r="L814" s="18">
        <f t="shared" si="63"/>
        <v>1.9607843137254902E-2</v>
      </c>
      <c r="M814" s="18">
        <f t="shared" si="64"/>
        <v>0.98039215686274506</v>
      </c>
    </row>
    <row r="815" spans="1:13" x14ac:dyDescent="0.3">
      <c r="A815" s="22">
        <v>201</v>
      </c>
      <c r="B815" s="22">
        <v>169</v>
      </c>
      <c r="C815" s="23">
        <v>0.84079999999999999</v>
      </c>
      <c r="D815" s="22">
        <v>32</v>
      </c>
      <c r="E815" s="24">
        <v>3.7037037037037035E-4</v>
      </c>
      <c r="F815" s="24">
        <v>2.3726851851851851E-3</v>
      </c>
      <c r="G815" s="24">
        <v>4.3055555555555555E-3</v>
      </c>
      <c r="H815" s="24">
        <v>0.58079999999999998</v>
      </c>
      <c r="I815" s="18">
        <f t="shared" si="61"/>
        <v>8.4080000000000005E-3</v>
      </c>
      <c r="J815" s="18">
        <f t="shared" si="65"/>
        <v>5.8079999999999998E-3</v>
      </c>
      <c r="K815" s="19">
        <f t="shared" si="62"/>
        <v>32</v>
      </c>
      <c r="L815" s="18">
        <f t="shared" si="63"/>
        <v>0.15920398009950248</v>
      </c>
      <c r="M815" s="18">
        <f t="shared" si="64"/>
        <v>0.84079601990049746</v>
      </c>
    </row>
    <row r="816" spans="1:13" x14ac:dyDescent="0.3">
      <c r="A816" s="22">
        <v>261</v>
      </c>
      <c r="B816" s="22">
        <v>195</v>
      </c>
      <c r="C816" s="23">
        <v>0.74709999999999999</v>
      </c>
      <c r="D816" s="22">
        <v>66</v>
      </c>
      <c r="E816" s="24">
        <v>7.0601851851851847E-4</v>
      </c>
      <c r="F816" s="24">
        <v>2.3958333333333331E-3</v>
      </c>
      <c r="G816" s="24">
        <v>5.4976851851851853E-3</v>
      </c>
      <c r="H816" s="24">
        <v>0.37980000000000003</v>
      </c>
      <c r="I816" s="18">
        <f t="shared" si="61"/>
        <v>7.4710000000000002E-3</v>
      </c>
      <c r="J816" s="18">
        <f t="shared" si="65"/>
        <v>3.7980000000000002E-3</v>
      </c>
      <c r="K816" s="19">
        <f t="shared" si="62"/>
        <v>66</v>
      </c>
      <c r="L816" s="18">
        <f t="shared" si="63"/>
        <v>0.25287356321839083</v>
      </c>
      <c r="M816" s="18">
        <f t="shared" si="64"/>
        <v>0.74712643678160917</v>
      </c>
    </row>
    <row r="817" spans="1:13" x14ac:dyDescent="0.3">
      <c r="A817" s="22">
        <v>201</v>
      </c>
      <c r="B817" s="22">
        <v>173</v>
      </c>
      <c r="C817" s="23">
        <v>0.86070000000000002</v>
      </c>
      <c r="D817" s="22">
        <v>28</v>
      </c>
      <c r="E817" s="24">
        <v>4.7453703703703704E-4</v>
      </c>
      <c r="F817" s="24">
        <v>2.2569444444444442E-3</v>
      </c>
      <c r="G817" s="24">
        <v>4.7453703703703703E-3</v>
      </c>
      <c r="H817" s="24">
        <v>0.59499999999999997</v>
      </c>
      <c r="I817" s="18">
        <f t="shared" si="61"/>
        <v>8.6070000000000001E-3</v>
      </c>
      <c r="J817" s="18">
        <f t="shared" si="65"/>
        <v>5.9499999999999996E-3</v>
      </c>
      <c r="K817" s="19">
        <f t="shared" si="62"/>
        <v>28</v>
      </c>
      <c r="L817" s="18">
        <f t="shared" si="63"/>
        <v>0.13930348258706468</v>
      </c>
      <c r="M817" s="18">
        <f t="shared" si="64"/>
        <v>0.86069651741293529</v>
      </c>
    </row>
    <row r="818" spans="1:13" x14ac:dyDescent="0.3">
      <c r="A818" s="22">
        <v>64</v>
      </c>
      <c r="B818" s="22">
        <v>61</v>
      </c>
      <c r="C818" s="23">
        <v>0.95309999999999995</v>
      </c>
      <c r="D818" s="22">
        <v>3</v>
      </c>
      <c r="E818" s="24">
        <v>1.0416666666666667E-4</v>
      </c>
      <c r="F818" s="24">
        <v>2.2569444444444442E-3</v>
      </c>
      <c r="G818" s="24">
        <v>1.6550925925925926E-3</v>
      </c>
      <c r="H818" s="24">
        <v>0.92059999999999997</v>
      </c>
      <c r="I818" s="18">
        <f t="shared" si="61"/>
        <v>9.5309999999999995E-3</v>
      </c>
      <c r="J818" s="18">
        <f t="shared" si="65"/>
        <v>9.2059999999999989E-3</v>
      </c>
      <c r="K818" s="19">
        <f t="shared" si="62"/>
        <v>3</v>
      </c>
      <c r="L818" s="18">
        <f t="shared" si="63"/>
        <v>4.6875E-2</v>
      </c>
      <c r="M818" s="18">
        <f t="shared" si="64"/>
        <v>0.953125</v>
      </c>
    </row>
    <row r="819" spans="1:13" x14ac:dyDescent="0.3">
      <c r="A819" s="22">
        <v>200</v>
      </c>
      <c r="B819" s="22">
        <v>168</v>
      </c>
      <c r="C819" s="23">
        <v>0.84</v>
      </c>
      <c r="D819" s="22">
        <v>32</v>
      </c>
      <c r="E819" s="24">
        <v>5.9027777777777778E-4</v>
      </c>
      <c r="F819" s="24">
        <v>2.3495370370370371E-3</v>
      </c>
      <c r="G819" s="24">
        <v>4.6990740740740743E-3</v>
      </c>
      <c r="H819" s="24">
        <v>0.4874</v>
      </c>
      <c r="I819" s="18">
        <f t="shared" si="61"/>
        <v>8.3999999999999995E-3</v>
      </c>
      <c r="J819" s="18">
        <f t="shared" si="65"/>
        <v>4.8739999999999999E-3</v>
      </c>
      <c r="K819" s="19">
        <f t="shared" si="62"/>
        <v>32</v>
      </c>
      <c r="L819" s="18">
        <f t="shared" si="63"/>
        <v>0.16</v>
      </c>
      <c r="M819" s="18">
        <f t="shared" si="64"/>
        <v>0.84</v>
      </c>
    </row>
    <row r="820" spans="1:13" x14ac:dyDescent="0.3">
      <c r="A820" s="22">
        <v>158</v>
      </c>
      <c r="B820" s="22">
        <v>148</v>
      </c>
      <c r="C820" s="23">
        <v>0.93669999999999998</v>
      </c>
      <c r="D820" s="22">
        <v>10</v>
      </c>
      <c r="E820" s="24">
        <v>3.4722222222222224E-4</v>
      </c>
      <c r="F820" s="24">
        <v>2.2800925925925927E-3</v>
      </c>
      <c r="G820" s="24">
        <v>2.8703703703703703E-3</v>
      </c>
      <c r="H820" s="24">
        <v>0.56689999999999996</v>
      </c>
      <c r="I820" s="18">
        <f t="shared" si="61"/>
        <v>9.3670000000000003E-3</v>
      </c>
      <c r="J820" s="18">
        <f t="shared" si="65"/>
        <v>5.6689999999999996E-3</v>
      </c>
      <c r="K820" s="19">
        <f t="shared" si="62"/>
        <v>10</v>
      </c>
      <c r="L820" s="18">
        <f t="shared" si="63"/>
        <v>6.3291139240506333E-2</v>
      </c>
      <c r="M820" s="18">
        <f t="shared" si="64"/>
        <v>0.93670886075949367</v>
      </c>
    </row>
    <row r="821" spans="1:13" x14ac:dyDescent="0.3">
      <c r="A821" s="22">
        <v>174</v>
      </c>
      <c r="B821" s="22">
        <v>155</v>
      </c>
      <c r="C821" s="23">
        <v>0.89080000000000004</v>
      </c>
      <c r="D821" s="22">
        <v>19</v>
      </c>
      <c r="E821" s="24">
        <v>3.0092592592592595E-4</v>
      </c>
      <c r="F821" s="24">
        <v>2.0949074074074073E-3</v>
      </c>
      <c r="G821" s="24">
        <v>3.5879629629629629E-3</v>
      </c>
      <c r="H821" s="24">
        <v>0.62350000000000005</v>
      </c>
      <c r="I821" s="18">
        <f t="shared" si="61"/>
        <v>8.908000000000001E-3</v>
      </c>
      <c r="J821" s="18">
        <f t="shared" si="65"/>
        <v>6.235000000000001E-3</v>
      </c>
      <c r="K821" s="19">
        <f t="shared" si="62"/>
        <v>19</v>
      </c>
      <c r="L821" s="18">
        <f t="shared" si="63"/>
        <v>0.10919540229885058</v>
      </c>
      <c r="M821" s="18">
        <f t="shared" si="64"/>
        <v>0.89080459770114939</v>
      </c>
    </row>
    <row r="822" spans="1:13" x14ac:dyDescent="0.3">
      <c r="A822" s="22">
        <v>67</v>
      </c>
      <c r="B822" s="22">
        <v>64</v>
      </c>
      <c r="C822" s="23">
        <v>0.95520000000000005</v>
      </c>
      <c r="D822" s="22">
        <v>3</v>
      </c>
      <c r="E822" s="24">
        <v>3.0092592592592595E-4</v>
      </c>
      <c r="F822" s="24">
        <v>2.4421296296296296E-3</v>
      </c>
      <c r="G822" s="24">
        <v>3.449074074074074E-3</v>
      </c>
      <c r="H822" s="24">
        <v>0.71209999999999996</v>
      </c>
      <c r="I822" s="18">
        <f t="shared" si="61"/>
        <v>9.5519999999999997E-3</v>
      </c>
      <c r="J822" s="18">
        <f t="shared" si="65"/>
        <v>7.1209999999999997E-3</v>
      </c>
      <c r="K822" s="19">
        <f t="shared" si="62"/>
        <v>3</v>
      </c>
      <c r="L822" s="18">
        <f t="shared" si="63"/>
        <v>4.4776119402985072E-2</v>
      </c>
      <c r="M822" s="18">
        <f t="shared" si="64"/>
        <v>0.95522388059701491</v>
      </c>
    </row>
    <row r="823" spans="1:13" x14ac:dyDescent="0.3">
      <c r="A823" s="22">
        <v>24</v>
      </c>
      <c r="B823" s="22">
        <v>23</v>
      </c>
      <c r="C823" s="23">
        <v>0.95830000000000004</v>
      </c>
      <c r="D823" s="22">
        <v>1</v>
      </c>
      <c r="E823" s="24">
        <v>2.6620370370370372E-4</v>
      </c>
      <c r="F823" s="24">
        <v>1.9675925925925924E-3</v>
      </c>
      <c r="G823" s="24">
        <v>1.4004629629629629E-3</v>
      </c>
      <c r="H823" s="24">
        <v>0.75</v>
      </c>
      <c r="I823" s="18">
        <f t="shared" si="61"/>
        <v>9.5830000000000012E-3</v>
      </c>
      <c r="J823" s="18">
        <f t="shared" si="65"/>
        <v>7.4999999999999997E-3</v>
      </c>
      <c r="K823" s="19">
        <f t="shared" si="62"/>
        <v>1</v>
      </c>
      <c r="L823" s="18">
        <f t="shared" si="63"/>
        <v>4.1666666666666664E-2</v>
      </c>
      <c r="M823" s="18">
        <f t="shared" si="64"/>
        <v>0.95833333333333337</v>
      </c>
    </row>
    <row r="824" spans="1:13" x14ac:dyDescent="0.3">
      <c r="A824" s="22">
        <v>106</v>
      </c>
      <c r="B824" s="22">
        <v>92</v>
      </c>
      <c r="C824" s="23">
        <v>0.8679</v>
      </c>
      <c r="D824" s="22">
        <v>14</v>
      </c>
      <c r="E824" s="24">
        <v>5.0925925925925921E-4</v>
      </c>
      <c r="F824" s="24">
        <v>2.1180555555555558E-3</v>
      </c>
      <c r="G824" s="24">
        <v>3.5185185185185185E-3</v>
      </c>
      <c r="H824" s="24">
        <v>0.45629999999999998</v>
      </c>
      <c r="I824" s="18">
        <f t="shared" si="61"/>
        <v>8.6789999999999992E-3</v>
      </c>
      <c r="J824" s="18">
        <f t="shared" si="65"/>
        <v>4.5630000000000002E-3</v>
      </c>
      <c r="K824" s="19">
        <f t="shared" si="62"/>
        <v>14</v>
      </c>
      <c r="L824" s="18">
        <f t="shared" si="63"/>
        <v>0.13207547169811321</v>
      </c>
      <c r="M824" s="18">
        <f t="shared" si="64"/>
        <v>0.86792452830188682</v>
      </c>
    </row>
    <row r="825" spans="1:13" x14ac:dyDescent="0.3">
      <c r="A825" s="22">
        <v>52</v>
      </c>
      <c r="B825" s="22">
        <v>50</v>
      </c>
      <c r="C825" s="23">
        <v>0.96150000000000002</v>
      </c>
      <c r="D825" s="22">
        <v>2</v>
      </c>
      <c r="E825" s="24">
        <v>1.273148148148148E-4</v>
      </c>
      <c r="F825" s="24">
        <v>2.3032407407407407E-3</v>
      </c>
      <c r="G825" s="24">
        <v>9.7222222222222219E-4</v>
      </c>
      <c r="H825" s="24">
        <v>0.88460000000000005</v>
      </c>
      <c r="I825" s="18">
        <f t="shared" si="61"/>
        <v>9.6150000000000003E-3</v>
      </c>
      <c r="J825" s="18">
        <f t="shared" si="65"/>
        <v>8.8459999999999997E-3</v>
      </c>
      <c r="K825" s="19">
        <f t="shared" si="62"/>
        <v>2</v>
      </c>
      <c r="L825" s="18">
        <f t="shared" si="63"/>
        <v>3.8461538461538464E-2</v>
      </c>
      <c r="M825" s="18">
        <f t="shared" si="64"/>
        <v>0.96153846153846156</v>
      </c>
    </row>
    <row r="826" spans="1:13" x14ac:dyDescent="0.3">
      <c r="A826" s="22">
        <v>223</v>
      </c>
      <c r="B826" s="22">
        <v>203</v>
      </c>
      <c r="C826" s="23">
        <v>0.9103</v>
      </c>
      <c r="D826" s="22">
        <v>20</v>
      </c>
      <c r="E826" s="24">
        <v>3.5879629629629629E-4</v>
      </c>
      <c r="F826" s="24">
        <v>2.2916666666666667E-3</v>
      </c>
      <c r="G826" s="24">
        <v>2.9050925925925928E-3</v>
      </c>
      <c r="H826" s="24">
        <v>0.621</v>
      </c>
      <c r="I826" s="18">
        <f t="shared" si="61"/>
        <v>9.103E-3</v>
      </c>
      <c r="J826" s="18">
        <f t="shared" si="65"/>
        <v>6.2100000000000002E-3</v>
      </c>
      <c r="K826" s="19">
        <f t="shared" si="62"/>
        <v>20</v>
      </c>
      <c r="L826" s="18">
        <f t="shared" si="63"/>
        <v>8.9686098654708515E-2</v>
      </c>
      <c r="M826" s="18">
        <f t="shared" si="64"/>
        <v>0.91031390134529144</v>
      </c>
    </row>
    <row r="827" spans="1:13" x14ac:dyDescent="0.3">
      <c r="A827" s="22">
        <v>274</v>
      </c>
      <c r="B827" s="22">
        <v>233</v>
      </c>
      <c r="C827" s="23">
        <v>0.85040000000000004</v>
      </c>
      <c r="D827" s="22">
        <v>41</v>
      </c>
      <c r="E827" s="24">
        <v>5.5555555555555556E-4</v>
      </c>
      <c r="F827" s="24">
        <v>2.3958333333333331E-3</v>
      </c>
      <c r="G827" s="24">
        <v>3.5879629629629629E-3</v>
      </c>
      <c r="H827" s="24">
        <v>0.36059999999999998</v>
      </c>
      <c r="I827" s="18">
        <f t="shared" si="61"/>
        <v>8.5040000000000011E-3</v>
      </c>
      <c r="J827" s="18">
        <f t="shared" si="65"/>
        <v>3.6059999999999998E-3</v>
      </c>
      <c r="K827" s="19">
        <f t="shared" si="62"/>
        <v>41</v>
      </c>
      <c r="L827" s="18">
        <f t="shared" si="63"/>
        <v>0.14963503649635038</v>
      </c>
      <c r="M827" s="18">
        <f t="shared" si="64"/>
        <v>0.85036496350364965</v>
      </c>
    </row>
    <row r="828" spans="1:13" x14ac:dyDescent="0.3">
      <c r="A828" s="22">
        <v>280</v>
      </c>
      <c r="B828" s="22">
        <v>263</v>
      </c>
      <c r="C828" s="23">
        <v>0.93930000000000002</v>
      </c>
      <c r="D828" s="22">
        <v>17</v>
      </c>
      <c r="E828" s="24">
        <v>2.6620370370370372E-4</v>
      </c>
      <c r="F828" s="24">
        <v>2.2337962962962962E-3</v>
      </c>
      <c r="G828" s="24">
        <v>2.662037037037037E-3</v>
      </c>
      <c r="H828" s="24">
        <v>0.6764</v>
      </c>
      <c r="I828" s="18">
        <f t="shared" si="61"/>
        <v>9.3930000000000003E-3</v>
      </c>
      <c r="J828" s="18">
        <f t="shared" si="65"/>
        <v>6.764E-3</v>
      </c>
      <c r="K828" s="19">
        <f t="shared" si="62"/>
        <v>17</v>
      </c>
      <c r="L828" s="18">
        <f t="shared" si="63"/>
        <v>6.0714285714285714E-2</v>
      </c>
      <c r="M828" s="18">
        <f t="shared" si="64"/>
        <v>0.93928571428571428</v>
      </c>
    </row>
    <row r="829" spans="1:13" x14ac:dyDescent="0.3">
      <c r="A829" s="22">
        <v>534</v>
      </c>
      <c r="B829" s="22">
        <v>468</v>
      </c>
      <c r="C829" s="23">
        <v>0.87639999999999996</v>
      </c>
      <c r="D829" s="22">
        <v>66</v>
      </c>
      <c r="E829" s="24">
        <v>3.4722222222222224E-4</v>
      </c>
      <c r="F829" s="24">
        <v>1.9212962962962964E-3</v>
      </c>
      <c r="G829" s="24">
        <v>3.2291666666666666E-3</v>
      </c>
      <c r="H829" s="24">
        <v>0.57469999999999999</v>
      </c>
      <c r="I829" s="18">
        <f t="shared" si="61"/>
        <v>8.7639999999999992E-3</v>
      </c>
      <c r="J829" s="18">
        <f t="shared" si="65"/>
        <v>5.7469999999999995E-3</v>
      </c>
      <c r="K829" s="19">
        <f t="shared" si="62"/>
        <v>66</v>
      </c>
      <c r="L829" s="18">
        <f t="shared" si="63"/>
        <v>0.12359550561797752</v>
      </c>
      <c r="M829" s="18">
        <f t="shared" si="64"/>
        <v>0.8764044943820225</v>
      </c>
    </row>
    <row r="830" spans="1:13" x14ac:dyDescent="0.3">
      <c r="A830" s="22">
        <v>315</v>
      </c>
      <c r="B830" s="22">
        <v>300</v>
      </c>
      <c r="C830" s="23">
        <v>0.95240000000000002</v>
      </c>
      <c r="D830" s="22">
        <v>15</v>
      </c>
      <c r="E830" s="24">
        <v>2.7777777777777778E-4</v>
      </c>
      <c r="F830" s="24">
        <v>2.2106481481481482E-3</v>
      </c>
      <c r="G830" s="24">
        <v>1.9675925925925924E-3</v>
      </c>
      <c r="H830" s="24">
        <v>0.70230000000000004</v>
      </c>
      <c r="I830" s="18">
        <f t="shared" si="61"/>
        <v>9.5239999999999995E-3</v>
      </c>
      <c r="J830" s="18">
        <f t="shared" si="65"/>
        <v>7.0230000000000006E-3</v>
      </c>
      <c r="K830" s="19">
        <f t="shared" si="62"/>
        <v>15</v>
      </c>
      <c r="L830" s="18">
        <f t="shared" si="63"/>
        <v>4.7619047619047616E-2</v>
      </c>
      <c r="M830" s="18">
        <f t="shared" si="64"/>
        <v>0.95238095238095233</v>
      </c>
    </row>
    <row r="831" spans="1:13" x14ac:dyDescent="0.3">
      <c r="A831" s="22">
        <v>122</v>
      </c>
      <c r="B831" s="22">
        <v>113</v>
      </c>
      <c r="C831" s="23">
        <v>0.92620000000000002</v>
      </c>
      <c r="D831" s="22">
        <v>9</v>
      </c>
      <c r="E831" s="24">
        <v>2.3148148148148149E-4</v>
      </c>
      <c r="F831" s="24">
        <v>2.0601851851851853E-3</v>
      </c>
      <c r="G831" s="24">
        <v>1.6087962962962963E-3</v>
      </c>
      <c r="H831" s="24">
        <v>0.76670000000000005</v>
      </c>
      <c r="I831" s="18">
        <f t="shared" si="61"/>
        <v>9.2619999999999994E-3</v>
      </c>
      <c r="J831" s="18">
        <f t="shared" si="65"/>
        <v>7.6670000000000002E-3</v>
      </c>
      <c r="K831" s="19">
        <f t="shared" si="62"/>
        <v>9</v>
      </c>
      <c r="L831" s="18">
        <f t="shared" si="63"/>
        <v>7.3770491803278687E-2</v>
      </c>
      <c r="M831" s="18">
        <f t="shared" si="64"/>
        <v>0.92622950819672134</v>
      </c>
    </row>
    <row r="832" spans="1:13" x14ac:dyDescent="0.3">
      <c r="A832" s="22">
        <v>63</v>
      </c>
      <c r="B832" s="22">
        <v>60</v>
      </c>
      <c r="C832" s="23">
        <v>0.95240000000000002</v>
      </c>
      <c r="D832" s="22">
        <v>3</v>
      </c>
      <c r="E832" s="24">
        <v>2.4305555555555555E-4</v>
      </c>
      <c r="F832" s="24">
        <v>1.9791666666666668E-3</v>
      </c>
      <c r="G832" s="24">
        <v>1.9907407407407408E-3</v>
      </c>
      <c r="H832" s="24">
        <v>0.7419</v>
      </c>
      <c r="I832" s="18">
        <f t="shared" si="61"/>
        <v>9.5239999999999995E-3</v>
      </c>
      <c r="J832" s="18">
        <f t="shared" si="65"/>
        <v>7.4190000000000002E-3</v>
      </c>
      <c r="K832" s="19">
        <f t="shared" si="62"/>
        <v>3</v>
      </c>
      <c r="L832" s="18">
        <f t="shared" si="63"/>
        <v>4.7619047619047616E-2</v>
      </c>
      <c r="M832" s="18">
        <f t="shared" si="64"/>
        <v>0.95238095238095233</v>
      </c>
    </row>
    <row r="833" spans="1:13" x14ac:dyDescent="0.3">
      <c r="A833" s="22">
        <v>402</v>
      </c>
      <c r="B833" s="22">
        <v>368</v>
      </c>
      <c r="C833" s="23">
        <v>0.91539999999999999</v>
      </c>
      <c r="D833" s="22">
        <v>34</v>
      </c>
      <c r="E833" s="24">
        <v>3.7037037037037035E-4</v>
      </c>
      <c r="F833" s="24">
        <v>2.1643518518518518E-3</v>
      </c>
      <c r="G833" s="24">
        <v>2.1527777777777778E-3</v>
      </c>
      <c r="H833" s="24">
        <v>0.54179999999999995</v>
      </c>
      <c r="I833" s="18">
        <f t="shared" si="61"/>
        <v>9.1540000000000007E-3</v>
      </c>
      <c r="J833" s="18">
        <f t="shared" si="65"/>
        <v>5.4179999999999992E-3</v>
      </c>
      <c r="K833" s="19">
        <f t="shared" si="62"/>
        <v>34</v>
      </c>
      <c r="L833" s="18">
        <f t="shared" si="63"/>
        <v>8.45771144278607E-2</v>
      </c>
      <c r="M833" s="18">
        <f t="shared" si="64"/>
        <v>0.91542288557213936</v>
      </c>
    </row>
    <row r="834" spans="1:13" x14ac:dyDescent="0.3">
      <c r="A834" s="22">
        <v>413</v>
      </c>
      <c r="B834" s="22">
        <v>370</v>
      </c>
      <c r="C834" s="23">
        <v>0.89590000000000003</v>
      </c>
      <c r="D834" s="22">
        <v>43</v>
      </c>
      <c r="E834" s="24">
        <v>3.3564814814814812E-4</v>
      </c>
      <c r="F834" s="24">
        <v>2.1990740740740742E-3</v>
      </c>
      <c r="G834" s="24">
        <v>2.3379629629629631E-3</v>
      </c>
      <c r="H834" s="24">
        <v>0.58420000000000005</v>
      </c>
      <c r="I834" s="18">
        <f t="shared" si="61"/>
        <v>8.9589999999999999E-3</v>
      </c>
      <c r="J834" s="18">
        <f t="shared" si="65"/>
        <v>5.8420000000000008E-3</v>
      </c>
      <c r="K834" s="19">
        <f t="shared" si="62"/>
        <v>43</v>
      </c>
      <c r="L834" s="18">
        <f t="shared" si="63"/>
        <v>0.10411622276029056</v>
      </c>
      <c r="M834" s="18">
        <f t="shared" si="64"/>
        <v>0.89588377723970947</v>
      </c>
    </row>
    <row r="835" spans="1:13" x14ac:dyDescent="0.3">
      <c r="A835" s="22">
        <v>389</v>
      </c>
      <c r="B835" s="22">
        <v>346</v>
      </c>
      <c r="C835" s="23">
        <v>0.88949999999999996</v>
      </c>
      <c r="D835" s="22">
        <v>43</v>
      </c>
      <c r="E835" s="24">
        <v>4.1666666666666669E-4</v>
      </c>
      <c r="F835" s="24">
        <v>2.3263888888888887E-3</v>
      </c>
      <c r="G835" s="24">
        <v>3.5879629629629629E-3</v>
      </c>
      <c r="H835" s="24">
        <v>0.49869999999999998</v>
      </c>
      <c r="I835" s="18">
        <f t="shared" ref="I835:I898" si="66">VALUE(SUBSTITUTE(C835,"%",""))/100</f>
        <v>8.8950000000000001E-3</v>
      </c>
      <c r="J835" s="18">
        <f t="shared" si="65"/>
        <v>4.9870000000000001E-3</v>
      </c>
      <c r="K835" s="19">
        <f t="shared" ref="K835:K898" si="67">A835-B835</f>
        <v>43</v>
      </c>
      <c r="L835" s="18">
        <f t="shared" ref="L835:L898" si="68">D835/A835</f>
        <v>0.11053984575835475</v>
      </c>
      <c r="M835" s="18">
        <f t="shared" ref="M835:M898" si="69">B835/A835</f>
        <v>0.88946015424164526</v>
      </c>
    </row>
    <row r="836" spans="1:13" x14ac:dyDescent="0.3">
      <c r="A836" s="22">
        <v>495</v>
      </c>
      <c r="B836" s="22">
        <v>308</v>
      </c>
      <c r="C836" s="23">
        <v>0.62219999999999998</v>
      </c>
      <c r="D836" s="22">
        <v>187</v>
      </c>
      <c r="E836" s="24">
        <v>1.0532407407407407E-3</v>
      </c>
      <c r="F836" s="24">
        <v>2.3726851851851851E-3</v>
      </c>
      <c r="G836" s="24">
        <v>1.1516203703703704E-2</v>
      </c>
      <c r="H836" s="24">
        <v>0.18559999999999999</v>
      </c>
      <c r="I836" s="18">
        <f t="shared" si="66"/>
        <v>6.2220000000000001E-3</v>
      </c>
      <c r="J836" s="18">
        <f t="shared" si="65"/>
        <v>1.8559999999999998E-3</v>
      </c>
      <c r="K836" s="19">
        <f t="shared" si="67"/>
        <v>187</v>
      </c>
      <c r="L836" s="18">
        <f t="shared" si="68"/>
        <v>0.37777777777777777</v>
      </c>
      <c r="M836" s="18">
        <f t="shared" si="69"/>
        <v>0.62222222222222223</v>
      </c>
    </row>
    <row r="837" spans="1:13" x14ac:dyDescent="0.3">
      <c r="A837" s="22">
        <v>712</v>
      </c>
      <c r="B837" s="22">
        <v>340</v>
      </c>
      <c r="C837" s="23">
        <v>0.47749999999999998</v>
      </c>
      <c r="D837" s="22">
        <v>372</v>
      </c>
      <c r="E837" s="24">
        <v>1.3888888888888889E-3</v>
      </c>
      <c r="F837" s="24">
        <v>2.3842592592592591E-3</v>
      </c>
      <c r="G837" s="24">
        <v>1.1400462962962963E-2</v>
      </c>
      <c r="H837" s="24">
        <v>0.1226</v>
      </c>
      <c r="I837" s="18">
        <f t="shared" si="66"/>
        <v>4.7749999999999997E-3</v>
      </c>
      <c r="J837" s="18">
        <f t="shared" si="65"/>
        <v>1.2260000000000001E-3</v>
      </c>
      <c r="K837" s="19">
        <f t="shared" si="67"/>
        <v>372</v>
      </c>
      <c r="L837" s="18">
        <f t="shared" si="68"/>
        <v>0.52247191011235961</v>
      </c>
      <c r="M837" s="18">
        <f t="shared" si="69"/>
        <v>0.47752808988764045</v>
      </c>
    </row>
    <row r="838" spans="1:13" x14ac:dyDescent="0.3">
      <c r="A838" s="22">
        <v>1057</v>
      </c>
      <c r="B838" s="22">
        <v>602</v>
      </c>
      <c r="C838" s="23">
        <v>0.56950000000000001</v>
      </c>
      <c r="D838" s="22">
        <v>455</v>
      </c>
      <c r="E838" s="24">
        <v>1.2037037037037038E-3</v>
      </c>
      <c r="F838" s="24">
        <v>1.7708333333333332E-3</v>
      </c>
      <c r="G838" s="24">
        <v>8.611111111111111E-3</v>
      </c>
      <c r="H838" s="24">
        <v>0.1149</v>
      </c>
      <c r="I838" s="18">
        <f t="shared" si="66"/>
        <v>5.6950000000000004E-3</v>
      </c>
      <c r="J838" s="18">
        <f t="shared" ref="J838:J901" si="70">VALUE(SUBSTITUTE(H838,"%",""))/100</f>
        <v>1.1490000000000001E-3</v>
      </c>
      <c r="K838" s="19">
        <f t="shared" si="67"/>
        <v>455</v>
      </c>
      <c r="L838" s="18">
        <f t="shared" si="68"/>
        <v>0.43046357615894038</v>
      </c>
      <c r="M838" s="18">
        <f t="shared" si="69"/>
        <v>0.56953642384105962</v>
      </c>
    </row>
    <row r="839" spans="1:13" x14ac:dyDescent="0.3">
      <c r="A839" s="22">
        <v>620</v>
      </c>
      <c r="B839" s="22">
        <v>321</v>
      </c>
      <c r="C839" s="23">
        <v>0.51770000000000005</v>
      </c>
      <c r="D839" s="22">
        <v>299</v>
      </c>
      <c r="E839" s="24">
        <v>1.8749999999999999E-3</v>
      </c>
      <c r="F839" s="24">
        <v>2.2337962962962962E-3</v>
      </c>
      <c r="G839" s="24">
        <v>1.150462962962963E-2</v>
      </c>
      <c r="H839" s="24">
        <v>0.1087</v>
      </c>
      <c r="I839" s="18">
        <f t="shared" si="66"/>
        <v>5.1770000000000002E-3</v>
      </c>
      <c r="J839" s="18">
        <f t="shared" si="70"/>
        <v>1.0870000000000001E-3</v>
      </c>
      <c r="K839" s="19">
        <f t="shared" si="67"/>
        <v>299</v>
      </c>
      <c r="L839" s="18">
        <f t="shared" si="68"/>
        <v>0.48225806451612901</v>
      </c>
      <c r="M839" s="18">
        <f t="shared" si="69"/>
        <v>0.51774193548387093</v>
      </c>
    </row>
    <row r="840" spans="1:13" x14ac:dyDescent="0.3">
      <c r="A840" s="22">
        <v>1575</v>
      </c>
      <c r="B840" s="22">
        <v>871</v>
      </c>
      <c r="C840" s="23">
        <v>0.55300000000000005</v>
      </c>
      <c r="D840" s="22">
        <v>704</v>
      </c>
      <c r="E840" s="24">
        <v>1.0648148148148149E-3</v>
      </c>
      <c r="F840" s="24">
        <v>1.7708333333333332E-3</v>
      </c>
      <c r="G840" s="24">
        <v>1.579861111111111E-2</v>
      </c>
      <c r="H840" s="24">
        <v>0.13930000000000001</v>
      </c>
      <c r="I840" s="18">
        <f t="shared" si="66"/>
        <v>5.5300000000000002E-3</v>
      </c>
      <c r="J840" s="18">
        <f t="shared" si="70"/>
        <v>1.3930000000000001E-3</v>
      </c>
      <c r="K840" s="19">
        <f t="shared" si="67"/>
        <v>704</v>
      </c>
      <c r="L840" s="18">
        <f t="shared" si="68"/>
        <v>0.44698412698412698</v>
      </c>
      <c r="M840" s="18">
        <f t="shared" si="69"/>
        <v>0.55301587301587296</v>
      </c>
    </row>
    <row r="841" spans="1:13" x14ac:dyDescent="0.3">
      <c r="A841" s="22">
        <v>1349</v>
      </c>
      <c r="B841" s="22">
        <v>775</v>
      </c>
      <c r="C841" s="23">
        <v>0.57450000000000001</v>
      </c>
      <c r="D841" s="22">
        <v>574</v>
      </c>
      <c r="E841" s="24">
        <v>1.2268518518518518E-3</v>
      </c>
      <c r="F841" s="24">
        <v>2.1990740740740742E-3</v>
      </c>
      <c r="G841" s="24">
        <v>1.1030092592592593E-2</v>
      </c>
      <c r="H841" s="24">
        <v>0.1216</v>
      </c>
      <c r="I841" s="18">
        <f t="shared" si="66"/>
        <v>5.7450000000000001E-3</v>
      </c>
      <c r="J841" s="18">
        <f t="shared" si="70"/>
        <v>1.2160000000000001E-3</v>
      </c>
      <c r="K841" s="19">
        <f t="shared" si="67"/>
        <v>574</v>
      </c>
      <c r="L841" s="18">
        <f t="shared" si="68"/>
        <v>0.42550037064492219</v>
      </c>
      <c r="M841" s="18">
        <f t="shared" si="69"/>
        <v>0.57449962935507781</v>
      </c>
    </row>
    <row r="842" spans="1:13" x14ac:dyDescent="0.3">
      <c r="A842" s="22">
        <v>999</v>
      </c>
      <c r="B842" s="22">
        <v>454</v>
      </c>
      <c r="C842" s="23">
        <v>0.45450000000000002</v>
      </c>
      <c r="D842" s="22">
        <v>545</v>
      </c>
      <c r="E842" s="24">
        <v>1.9444444444444444E-3</v>
      </c>
      <c r="F842" s="24">
        <v>2.2453703703703702E-3</v>
      </c>
      <c r="G842" s="24">
        <v>9.3055555555555548E-3</v>
      </c>
      <c r="H842" s="24">
        <v>4.07E-2</v>
      </c>
      <c r="I842" s="18">
        <f t="shared" si="66"/>
        <v>4.5450000000000004E-3</v>
      </c>
      <c r="J842" s="18">
        <f t="shared" si="70"/>
        <v>4.0700000000000003E-4</v>
      </c>
      <c r="K842" s="19">
        <f t="shared" si="67"/>
        <v>545</v>
      </c>
      <c r="L842" s="18">
        <f t="shared" si="68"/>
        <v>0.54554554554554557</v>
      </c>
      <c r="M842" s="18">
        <f t="shared" si="69"/>
        <v>0.45445445445445448</v>
      </c>
    </row>
    <row r="843" spans="1:13" x14ac:dyDescent="0.3">
      <c r="A843" s="22">
        <v>968</v>
      </c>
      <c r="B843" s="22">
        <v>547</v>
      </c>
      <c r="C843" s="23">
        <v>0.56510000000000005</v>
      </c>
      <c r="D843" s="22">
        <v>421</v>
      </c>
      <c r="E843" s="24">
        <v>1.6898148148148148E-3</v>
      </c>
      <c r="F843" s="24">
        <v>2.2916666666666667E-3</v>
      </c>
      <c r="G843" s="24">
        <v>9.8726851851851857E-3</v>
      </c>
      <c r="H843" s="24">
        <v>0.1171</v>
      </c>
      <c r="I843" s="18">
        <f t="shared" si="66"/>
        <v>5.6510000000000006E-3</v>
      </c>
      <c r="J843" s="18">
        <f t="shared" si="70"/>
        <v>1.1709999999999999E-3</v>
      </c>
      <c r="K843" s="19">
        <f t="shared" si="67"/>
        <v>421</v>
      </c>
      <c r="L843" s="18">
        <f t="shared" si="68"/>
        <v>0.43491735537190085</v>
      </c>
      <c r="M843" s="18">
        <f t="shared" si="69"/>
        <v>0.56508264462809921</v>
      </c>
    </row>
    <row r="844" spans="1:13" x14ac:dyDescent="0.3">
      <c r="A844" s="22">
        <v>1066</v>
      </c>
      <c r="B844" s="22">
        <v>453</v>
      </c>
      <c r="C844" s="23">
        <v>0.42499999999999999</v>
      </c>
      <c r="D844" s="22">
        <v>613</v>
      </c>
      <c r="E844" s="24">
        <v>3.5185185185185185E-3</v>
      </c>
      <c r="F844" s="24">
        <v>2.5347222222222221E-3</v>
      </c>
      <c r="G844" s="24">
        <v>1.5706018518518518E-2</v>
      </c>
      <c r="H844" s="24">
        <v>2.24E-2</v>
      </c>
      <c r="I844" s="18">
        <f t="shared" si="66"/>
        <v>4.2500000000000003E-3</v>
      </c>
      <c r="J844" s="18">
        <f t="shared" si="70"/>
        <v>2.24E-4</v>
      </c>
      <c r="K844" s="19">
        <f t="shared" si="67"/>
        <v>613</v>
      </c>
      <c r="L844" s="18">
        <f t="shared" si="68"/>
        <v>0.575046904315197</v>
      </c>
      <c r="M844" s="18">
        <f t="shared" si="69"/>
        <v>0.424953095684803</v>
      </c>
    </row>
    <row r="845" spans="1:13" x14ac:dyDescent="0.3">
      <c r="A845" s="22">
        <v>788</v>
      </c>
      <c r="B845" s="22">
        <v>633</v>
      </c>
      <c r="C845" s="23">
        <v>0.80330000000000001</v>
      </c>
      <c r="D845" s="22">
        <v>155</v>
      </c>
      <c r="E845" s="24">
        <v>8.4490740740740739E-4</v>
      </c>
      <c r="F845" s="24">
        <v>2.3495370370370371E-3</v>
      </c>
      <c r="G845" s="24">
        <v>8.6342592592592599E-3</v>
      </c>
      <c r="H845" s="24">
        <v>0.20880000000000001</v>
      </c>
      <c r="I845" s="18">
        <f t="shared" si="66"/>
        <v>8.0330000000000002E-3</v>
      </c>
      <c r="J845" s="18">
        <f t="shared" si="70"/>
        <v>2.088E-3</v>
      </c>
      <c r="K845" s="19">
        <f t="shared" si="67"/>
        <v>155</v>
      </c>
      <c r="L845" s="18">
        <f t="shared" si="68"/>
        <v>0.1967005076142132</v>
      </c>
      <c r="M845" s="18">
        <f t="shared" si="69"/>
        <v>0.8032994923857868</v>
      </c>
    </row>
    <row r="846" spans="1:13" x14ac:dyDescent="0.3">
      <c r="A846" s="22">
        <v>252</v>
      </c>
      <c r="B846" s="22">
        <v>213</v>
      </c>
      <c r="C846" s="23">
        <v>0.84519999999999995</v>
      </c>
      <c r="D846" s="22">
        <v>39</v>
      </c>
      <c r="E846" s="24">
        <v>6.134259259259259E-4</v>
      </c>
      <c r="F846" s="24">
        <v>2.4421296296296296E-3</v>
      </c>
      <c r="G846" s="24">
        <v>5.7523148148148151E-3</v>
      </c>
      <c r="H846" s="24">
        <v>0.44080000000000003</v>
      </c>
      <c r="I846" s="18">
        <f t="shared" si="66"/>
        <v>8.4519999999999994E-3</v>
      </c>
      <c r="J846" s="18">
        <f t="shared" si="70"/>
        <v>4.4080000000000005E-3</v>
      </c>
      <c r="K846" s="19">
        <f t="shared" si="67"/>
        <v>39</v>
      </c>
      <c r="L846" s="18">
        <f t="shared" si="68"/>
        <v>0.15476190476190477</v>
      </c>
      <c r="M846" s="18">
        <f t="shared" si="69"/>
        <v>0.84523809523809523</v>
      </c>
    </row>
    <row r="847" spans="1:13" x14ac:dyDescent="0.3">
      <c r="A847" s="22">
        <v>842</v>
      </c>
      <c r="B847" s="22">
        <v>625</v>
      </c>
      <c r="C847" s="23">
        <v>0.74229999999999996</v>
      </c>
      <c r="D847" s="22">
        <v>217</v>
      </c>
      <c r="E847" s="24">
        <v>8.2175925925925927E-4</v>
      </c>
      <c r="F847" s="24">
        <v>2.1990740740740742E-3</v>
      </c>
      <c r="G847" s="24">
        <v>1.0046296296296296E-2</v>
      </c>
      <c r="H847" s="24">
        <v>0.26929999999999998</v>
      </c>
      <c r="I847" s="18">
        <f t="shared" si="66"/>
        <v>7.4229999999999999E-3</v>
      </c>
      <c r="J847" s="18">
        <f t="shared" si="70"/>
        <v>2.6929999999999996E-3</v>
      </c>
      <c r="K847" s="19">
        <f t="shared" si="67"/>
        <v>217</v>
      </c>
      <c r="L847" s="18">
        <f t="shared" si="68"/>
        <v>0.25771971496437057</v>
      </c>
      <c r="M847" s="18">
        <f t="shared" si="69"/>
        <v>0.74228028503562948</v>
      </c>
    </row>
    <row r="848" spans="1:13" x14ac:dyDescent="0.3">
      <c r="A848" s="22">
        <v>847</v>
      </c>
      <c r="B848" s="22">
        <v>722</v>
      </c>
      <c r="C848" s="23">
        <v>0.85240000000000005</v>
      </c>
      <c r="D848" s="22">
        <v>125</v>
      </c>
      <c r="E848" s="24">
        <v>6.2500000000000001E-4</v>
      </c>
      <c r="F848" s="24">
        <v>2.1296296296296298E-3</v>
      </c>
      <c r="G848" s="24">
        <v>5.6134259259259262E-3</v>
      </c>
      <c r="H848" s="24">
        <v>0.33489999999999998</v>
      </c>
      <c r="I848" s="18">
        <f t="shared" si="66"/>
        <v>8.5240000000000003E-3</v>
      </c>
      <c r="J848" s="18">
        <f t="shared" si="70"/>
        <v>3.3489999999999995E-3</v>
      </c>
      <c r="K848" s="19">
        <f t="shared" si="67"/>
        <v>125</v>
      </c>
      <c r="L848" s="18">
        <f t="shared" si="68"/>
        <v>0.14757969303423848</v>
      </c>
      <c r="M848" s="18">
        <f t="shared" si="69"/>
        <v>0.85242030696576154</v>
      </c>
    </row>
    <row r="849" spans="1:13" x14ac:dyDescent="0.3">
      <c r="A849" s="22">
        <v>800</v>
      </c>
      <c r="B849" s="22">
        <v>615</v>
      </c>
      <c r="C849" s="23">
        <v>0.76880000000000004</v>
      </c>
      <c r="D849" s="22">
        <v>185</v>
      </c>
      <c r="E849" s="24">
        <v>7.7546296296296293E-4</v>
      </c>
      <c r="F849" s="24">
        <v>2.3726851851851851E-3</v>
      </c>
      <c r="G849" s="24">
        <v>5.138888888888889E-3</v>
      </c>
      <c r="H849" s="24">
        <v>0.23980000000000001</v>
      </c>
      <c r="I849" s="18">
        <f t="shared" si="66"/>
        <v>7.6880000000000004E-3</v>
      </c>
      <c r="J849" s="18">
        <f t="shared" si="70"/>
        <v>2.398E-3</v>
      </c>
      <c r="K849" s="19">
        <f t="shared" si="67"/>
        <v>185</v>
      </c>
      <c r="L849" s="18">
        <f t="shared" si="68"/>
        <v>0.23125000000000001</v>
      </c>
      <c r="M849" s="18">
        <f t="shared" si="69"/>
        <v>0.76875000000000004</v>
      </c>
    </row>
    <row r="850" spans="1:13" x14ac:dyDescent="0.3">
      <c r="A850" s="22">
        <v>1100</v>
      </c>
      <c r="B850" s="22">
        <v>823</v>
      </c>
      <c r="C850" s="23">
        <v>0.74819999999999998</v>
      </c>
      <c r="D850" s="22">
        <v>277</v>
      </c>
      <c r="E850" s="24">
        <v>7.8703703703703705E-4</v>
      </c>
      <c r="F850" s="24">
        <v>2.2916666666666667E-3</v>
      </c>
      <c r="G850" s="24">
        <v>1.0775462962962962E-2</v>
      </c>
      <c r="H850" s="24">
        <v>0.29649999999999999</v>
      </c>
      <c r="I850" s="18">
        <f t="shared" si="66"/>
        <v>7.4819999999999999E-3</v>
      </c>
      <c r="J850" s="18">
        <f t="shared" si="70"/>
        <v>2.9649999999999998E-3</v>
      </c>
      <c r="K850" s="19">
        <f t="shared" si="67"/>
        <v>277</v>
      </c>
      <c r="L850" s="18">
        <f t="shared" si="68"/>
        <v>0.25181818181818183</v>
      </c>
      <c r="M850" s="18">
        <f t="shared" si="69"/>
        <v>0.74818181818181817</v>
      </c>
    </row>
    <row r="851" spans="1:13" x14ac:dyDescent="0.3">
      <c r="A851" s="22">
        <v>1242</v>
      </c>
      <c r="B851" s="22">
        <v>909</v>
      </c>
      <c r="C851" s="23">
        <v>0.7319</v>
      </c>
      <c r="D851" s="22">
        <v>333</v>
      </c>
      <c r="E851" s="24">
        <v>9.6064814814814819E-4</v>
      </c>
      <c r="F851" s="24">
        <v>2.1296296296296298E-3</v>
      </c>
      <c r="G851" s="24">
        <v>7.766203703703704E-3</v>
      </c>
      <c r="H851" s="24">
        <v>0.19</v>
      </c>
      <c r="I851" s="18">
        <f t="shared" si="66"/>
        <v>7.319E-3</v>
      </c>
      <c r="J851" s="18">
        <f t="shared" si="70"/>
        <v>1.9E-3</v>
      </c>
      <c r="K851" s="19">
        <f t="shared" si="67"/>
        <v>333</v>
      </c>
      <c r="L851" s="18">
        <f t="shared" si="68"/>
        <v>0.26811594202898553</v>
      </c>
      <c r="M851" s="18">
        <f t="shared" si="69"/>
        <v>0.73188405797101452</v>
      </c>
    </row>
    <row r="852" spans="1:13" x14ac:dyDescent="0.3">
      <c r="A852" s="22">
        <v>732</v>
      </c>
      <c r="B852" s="22">
        <v>460</v>
      </c>
      <c r="C852" s="23">
        <v>0.62839999999999996</v>
      </c>
      <c r="D852" s="22">
        <v>272</v>
      </c>
      <c r="E852" s="24">
        <v>1.0532407407407407E-3</v>
      </c>
      <c r="F852" s="24">
        <v>2.2222222222222222E-3</v>
      </c>
      <c r="G852" s="24">
        <v>7.2800925925925923E-3</v>
      </c>
      <c r="H852" s="24">
        <v>0.1792</v>
      </c>
      <c r="I852" s="18">
        <f t="shared" si="66"/>
        <v>6.2839999999999997E-3</v>
      </c>
      <c r="J852" s="18">
        <f t="shared" si="70"/>
        <v>1.792E-3</v>
      </c>
      <c r="K852" s="19">
        <f t="shared" si="67"/>
        <v>272</v>
      </c>
      <c r="L852" s="18">
        <f t="shared" si="68"/>
        <v>0.37158469945355194</v>
      </c>
      <c r="M852" s="18">
        <f t="shared" si="69"/>
        <v>0.62841530054644812</v>
      </c>
    </row>
    <row r="853" spans="1:13" x14ac:dyDescent="0.3">
      <c r="A853" s="22">
        <v>112</v>
      </c>
      <c r="B853" s="22">
        <v>104</v>
      </c>
      <c r="C853" s="23">
        <v>0.92859999999999998</v>
      </c>
      <c r="D853" s="22">
        <v>8</v>
      </c>
      <c r="E853" s="24">
        <v>3.9351851851851852E-4</v>
      </c>
      <c r="F853" s="24">
        <v>2.3263888888888887E-3</v>
      </c>
      <c r="G853" s="24">
        <v>2.9282407407407408E-3</v>
      </c>
      <c r="H853" s="24">
        <v>0.56359999999999999</v>
      </c>
      <c r="I853" s="18">
        <f t="shared" si="66"/>
        <v>9.2859999999999991E-3</v>
      </c>
      <c r="J853" s="18">
        <f t="shared" si="70"/>
        <v>5.6359999999999995E-3</v>
      </c>
      <c r="K853" s="19">
        <f t="shared" si="67"/>
        <v>8</v>
      </c>
      <c r="L853" s="18">
        <f t="shared" si="68"/>
        <v>7.1428571428571425E-2</v>
      </c>
      <c r="M853" s="18">
        <f t="shared" si="69"/>
        <v>0.9285714285714286</v>
      </c>
    </row>
    <row r="854" spans="1:13" x14ac:dyDescent="0.3">
      <c r="A854" s="22">
        <v>482</v>
      </c>
      <c r="B854" s="22">
        <v>434</v>
      </c>
      <c r="C854" s="23">
        <v>0.90039999999999998</v>
      </c>
      <c r="D854" s="22">
        <v>48</v>
      </c>
      <c r="E854" s="24">
        <v>4.7453703703703704E-4</v>
      </c>
      <c r="F854" s="24">
        <v>2.0949074074074073E-3</v>
      </c>
      <c r="G854" s="24">
        <v>7.6504629629629631E-3</v>
      </c>
      <c r="H854" s="24">
        <v>0.47439999999999999</v>
      </c>
      <c r="I854" s="18">
        <f t="shared" si="66"/>
        <v>9.0039999999999999E-3</v>
      </c>
      <c r="J854" s="18">
        <f t="shared" si="70"/>
        <v>4.744E-3</v>
      </c>
      <c r="K854" s="19">
        <f t="shared" si="67"/>
        <v>48</v>
      </c>
      <c r="L854" s="18">
        <f t="shared" si="68"/>
        <v>9.9585062240663894E-2</v>
      </c>
      <c r="M854" s="18">
        <f t="shared" si="69"/>
        <v>0.90041493775933612</v>
      </c>
    </row>
    <row r="855" spans="1:13" x14ac:dyDescent="0.3">
      <c r="A855" s="22">
        <v>570</v>
      </c>
      <c r="B855" s="22">
        <v>484</v>
      </c>
      <c r="C855" s="23">
        <v>0.84909999999999997</v>
      </c>
      <c r="D855" s="22">
        <v>86</v>
      </c>
      <c r="E855" s="24">
        <v>5.9027777777777778E-4</v>
      </c>
      <c r="F855" s="24">
        <v>2.1643518518518518E-3</v>
      </c>
      <c r="G855" s="24">
        <v>8.1944444444444452E-3</v>
      </c>
      <c r="H855" s="24">
        <v>0.36899999999999999</v>
      </c>
      <c r="I855" s="18">
        <f t="shared" si="66"/>
        <v>8.4910000000000003E-3</v>
      </c>
      <c r="J855" s="18">
        <f t="shared" si="70"/>
        <v>3.6900000000000001E-3</v>
      </c>
      <c r="K855" s="19">
        <f t="shared" si="67"/>
        <v>86</v>
      </c>
      <c r="L855" s="18">
        <f t="shared" si="68"/>
        <v>0.15087719298245614</v>
      </c>
      <c r="M855" s="18">
        <f t="shared" si="69"/>
        <v>0.84912280701754383</v>
      </c>
    </row>
    <row r="856" spans="1:13" x14ac:dyDescent="0.3">
      <c r="A856" s="22">
        <v>490</v>
      </c>
      <c r="B856" s="22">
        <v>398</v>
      </c>
      <c r="C856" s="23">
        <v>0.81220000000000003</v>
      </c>
      <c r="D856" s="22">
        <v>92</v>
      </c>
      <c r="E856" s="24">
        <v>5.7870370370370367E-4</v>
      </c>
      <c r="F856" s="24">
        <v>2.2800925925925927E-3</v>
      </c>
      <c r="G856" s="24">
        <v>1.5092592592592593E-2</v>
      </c>
      <c r="H856" s="24">
        <v>0.36099999999999999</v>
      </c>
      <c r="I856" s="18">
        <f t="shared" si="66"/>
        <v>8.1220000000000007E-3</v>
      </c>
      <c r="J856" s="18">
        <f t="shared" si="70"/>
        <v>3.6099999999999999E-3</v>
      </c>
      <c r="K856" s="19">
        <f t="shared" si="67"/>
        <v>92</v>
      </c>
      <c r="L856" s="18">
        <f t="shared" si="68"/>
        <v>0.18775510204081633</v>
      </c>
      <c r="M856" s="18">
        <f t="shared" si="69"/>
        <v>0.81224489795918364</v>
      </c>
    </row>
    <row r="857" spans="1:13" x14ac:dyDescent="0.3">
      <c r="A857" s="22">
        <v>462</v>
      </c>
      <c r="B857" s="22">
        <v>311</v>
      </c>
      <c r="C857" s="23">
        <v>0.67320000000000002</v>
      </c>
      <c r="D857" s="22">
        <v>151</v>
      </c>
      <c r="E857" s="24">
        <v>8.2175925925925927E-4</v>
      </c>
      <c r="F857" s="24">
        <v>2.2800925925925927E-3</v>
      </c>
      <c r="G857" s="24">
        <v>6.1342592592592594E-3</v>
      </c>
      <c r="H857" s="24">
        <v>0.26340000000000002</v>
      </c>
      <c r="I857" s="18">
        <f t="shared" si="66"/>
        <v>6.7320000000000001E-3</v>
      </c>
      <c r="J857" s="18">
        <f t="shared" si="70"/>
        <v>2.6340000000000001E-3</v>
      </c>
      <c r="K857" s="19">
        <f t="shared" si="67"/>
        <v>151</v>
      </c>
      <c r="L857" s="18">
        <f t="shared" si="68"/>
        <v>0.32683982683982682</v>
      </c>
      <c r="M857" s="18">
        <f t="shared" si="69"/>
        <v>0.67316017316017318</v>
      </c>
    </row>
    <row r="858" spans="1:13" x14ac:dyDescent="0.3">
      <c r="A858" s="22">
        <v>428</v>
      </c>
      <c r="B858" s="22">
        <v>373</v>
      </c>
      <c r="C858" s="23">
        <v>0.87150000000000005</v>
      </c>
      <c r="D858" s="22">
        <v>55</v>
      </c>
      <c r="E858" s="24">
        <v>4.6296296296296298E-4</v>
      </c>
      <c r="F858" s="24">
        <v>2.0601851851851853E-3</v>
      </c>
      <c r="G858" s="24">
        <v>4.8726851851851848E-3</v>
      </c>
      <c r="H858" s="24">
        <v>0.50600000000000001</v>
      </c>
      <c r="I858" s="18">
        <f t="shared" si="66"/>
        <v>8.7150000000000005E-3</v>
      </c>
      <c r="J858" s="18">
        <f t="shared" si="70"/>
        <v>5.0600000000000003E-3</v>
      </c>
      <c r="K858" s="19">
        <f t="shared" si="67"/>
        <v>55</v>
      </c>
      <c r="L858" s="18">
        <f t="shared" si="68"/>
        <v>0.12850467289719625</v>
      </c>
      <c r="M858" s="18">
        <f t="shared" si="69"/>
        <v>0.87149532710280375</v>
      </c>
    </row>
    <row r="859" spans="1:13" x14ac:dyDescent="0.3">
      <c r="A859" s="22">
        <v>393</v>
      </c>
      <c r="B859" s="22">
        <v>312</v>
      </c>
      <c r="C859" s="23">
        <v>0.79390000000000005</v>
      </c>
      <c r="D859" s="22">
        <v>81</v>
      </c>
      <c r="E859" s="24">
        <v>7.1759259259259259E-4</v>
      </c>
      <c r="F859" s="24">
        <v>2.2685185185185187E-3</v>
      </c>
      <c r="G859" s="24">
        <v>5.7407407407407407E-3</v>
      </c>
      <c r="H859" s="24">
        <v>0.314</v>
      </c>
      <c r="I859" s="18">
        <f t="shared" si="66"/>
        <v>7.9389999999999999E-3</v>
      </c>
      <c r="J859" s="18">
        <f t="shared" si="70"/>
        <v>3.14E-3</v>
      </c>
      <c r="K859" s="19">
        <f t="shared" si="67"/>
        <v>81</v>
      </c>
      <c r="L859" s="18">
        <f t="shared" si="68"/>
        <v>0.20610687022900764</v>
      </c>
      <c r="M859" s="18">
        <f t="shared" si="69"/>
        <v>0.79389312977099236</v>
      </c>
    </row>
    <row r="860" spans="1:13" x14ac:dyDescent="0.3">
      <c r="A860" s="22">
        <v>58</v>
      </c>
      <c r="B860" s="22">
        <v>50</v>
      </c>
      <c r="C860" s="23">
        <v>0.86209999999999998</v>
      </c>
      <c r="D860" s="22">
        <v>8</v>
      </c>
      <c r="E860" s="24">
        <v>3.3564814814814812E-4</v>
      </c>
      <c r="F860" s="24">
        <v>2.1296296296296298E-3</v>
      </c>
      <c r="G860" s="24">
        <v>2.1527777777777778E-3</v>
      </c>
      <c r="H860" s="24">
        <v>0.6724</v>
      </c>
      <c r="I860" s="18">
        <f t="shared" si="66"/>
        <v>8.6210000000000002E-3</v>
      </c>
      <c r="J860" s="18">
        <f t="shared" si="70"/>
        <v>6.7239999999999999E-3</v>
      </c>
      <c r="K860" s="19">
        <f t="shared" si="67"/>
        <v>8</v>
      </c>
      <c r="L860" s="18">
        <f t="shared" si="68"/>
        <v>0.13793103448275862</v>
      </c>
      <c r="M860" s="18">
        <f t="shared" si="69"/>
        <v>0.86206896551724133</v>
      </c>
    </row>
    <row r="861" spans="1:13" x14ac:dyDescent="0.3">
      <c r="A861" s="22">
        <v>316</v>
      </c>
      <c r="B861" s="22">
        <v>279</v>
      </c>
      <c r="C861" s="23">
        <v>0.88290000000000002</v>
      </c>
      <c r="D861" s="22">
        <v>37</v>
      </c>
      <c r="E861" s="24">
        <v>4.6296296296296298E-4</v>
      </c>
      <c r="F861" s="24">
        <v>2.0601851851851853E-3</v>
      </c>
      <c r="G861" s="24">
        <v>2.4421296296296296E-3</v>
      </c>
      <c r="H861" s="24">
        <v>0.44159999999999999</v>
      </c>
      <c r="I861" s="18">
        <f t="shared" si="66"/>
        <v>8.829E-3</v>
      </c>
      <c r="J861" s="18">
        <f t="shared" si="70"/>
        <v>4.4159999999999998E-3</v>
      </c>
      <c r="K861" s="19">
        <f t="shared" si="67"/>
        <v>37</v>
      </c>
      <c r="L861" s="18">
        <f t="shared" si="68"/>
        <v>0.11708860759493671</v>
      </c>
      <c r="M861" s="18">
        <f t="shared" si="69"/>
        <v>0.88291139240506333</v>
      </c>
    </row>
    <row r="862" spans="1:13" x14ac:dyDescent="0.3">
      <c r="A862" s="22">
        <v>298</v>
      </c>
      <c r="B862" s="22">
        <v>274</v>
      </c>
      <c r="C862" s="23">
        <v>0.91949999999999998</v>
      </c>
      <c r="D862" s="22">
        <v>24</v>
      </c>
      <c r="E862" s="24">
        <v>3.4722222222222224E-4</v>
      </c>
      <c r="F862" s="24">
        <v>2.0717592592592593E-3</v>
      </c>
      <c r="G862" s="24">
        <v>2.1064814814814813E-3</v>
      </c>
      <c r="H862" s="24">
        <v>0.55779999999999996</v>
      </c>
      <c r="I862" s="18">
        <f t="shared" si="66"/>
        <v>9.195E-3</v>
      </c>
      <c r="J862" s="18">
        <f t="shared" si="70"/>
        <v>5.5779999999999996E-3</v>
      </c>
      <c r="K862" s="19">
        <f t="shared" si="67"/>
        <v>24</v>
      </c>
      <c r="L862" s="18">
        <f t="shared" si="68"/>
        <v>8.0536912751677847E-2</v>
      </c>
      <c r="M862" s="18">
        <f t="shared" si="69"/>
        <v>0.91946308724832215</v>
      </c>
    </row>
    <row r="863" spans="1:13" x14ac:dyDescent="0.3">
      <c r="A863" s="22">
        <v>308</v>
      </c>
      <c r="B863" s="22">
        <v>275</v>
      </c>
      <c r="C863" s="23">
        <v>0.89290000000000003</v>
      </c>
      <c r="D863" s="22">
        <v>33</v>
      </c>
      <c r="E863" s="24">
        <v>4.6296296296296298E-4</v>
      </c>
      <c r="F863" s="24">
        <v>2.0370370370370369E-3</v>
      </c>
      <c r="G863" s="24">
        <v>4.7916666666666663E-3</v>
      </c>
      <c r="H863" s="24">
        <v>0.51629999999999998</v>
      </c>
      <c r="I863" s="18">
        <f t="shared" si="66"/>
        <v>8.9289999999999994E-3</v>
      </c>
      <c r="J863" s="18">
        <f t="shared" si="70"/>
        <v>5.1630000000000001E-3</v>
      </c>
      <c r="K863" s="19">
        <f t="shared" si="67"/>
        <v>33</v>
      </c>
      <c r="L863" s="18">
        <f t="shared" si="68"/>
        <v>0.10714285714285714</v>
      </c>
      <c r="M863" s="18">
        <f t="shared" si="69"/>
        <v>0.8928571428571429</v>
      </c>
    </row>
    <row r="864" spans="1:13" x14ac:dyDescent="0.3">
      <c r="A864" s="22">
        <v>259</v>
      </c>
      <c r="B864" s="22">
        <v>242</v>
      </c>
      <c r="C864" s="23">
        <v>0.93440000000000001</v>
      </c>
      <c r="D864" s="22">
        <v>17</v>
      </c>
      <c r="E864" s="24">
        <v>1.8518518518518518E-4</v>
      </c>
      <c r="F864" s="24">
        <v>2.0138888888888888E-3</v>
      </c>
      <c r="G864" s="24">
        <v>2.8819444444444444E-3</v>
      </c>
      <c r="H864" s="24">
        <v>0.78259999999999996</v>
      </c>
      <c r="I864" s="18">
        <f t="shared" si="66"/>
        <v>9.3439999999999999E-3</v>
      </c>
      <c r="J864" s="18">
        <f t="shared" si="70"/>
        <v>7.8259999999999996E-3</v>
      </c>
      <c r="K864" s="19">
        <f t="shared" si="67"/>
        <v>17</v>
      </c>
      <c r="L864" s="18">
        <f t="shared" si="68"/>
        <v>6.5637065637065631E-2</v>
      </c>
      <c r="M864" s="18">
        <f t="shared" si="69"/>
        <v>0.93436293436293438</v>
      </c>
    </row>
    <row r="865" spans="1:13" x14ac:dyDescent="0.3">
      <c r="A865" s="22">
        <v>464</v>
      </c>
      <c r="B865" s="22">
        <v>391</v>
      </c>
      <c r="C865" s="23">
        <v>0.8427</v>
      </c>
      <c r="D865" s="22">
        <v>73</v>
      </c>
      <c r="E865" s="24">
        <v>6.3657407407407413E-4</v>
      </c>
      <c r="F865" s="24">
        <v>2.4421296296296296E-3</v>
      </c>
      <c r="G865" s="24">
        <v>3.6226851851851854E-3</v>
      </c>
      <c r="H865" s="24">
        <v>0.35449999999999998</v>
      </c>
      <c r="I865" s="18">
        <f t="shared" si="66"/>
        <v>8.4270000000000005E-3</v>
      </c>
      <c r="J865" s="18">
        <f t="shared" si="70"/>
        <v>3.545E-3</v>
      </c>
      <c r="K865" s="19">
        <f t="shared" si="67"/>
        <v>73</v>
      </c>
      <c r="L865" s="18">
        <f t="shared" si="68"/>
        <v>0.15732758620689655</v>
      </c>
      <c r="M865" s="18">
        <f t="shared" si="69"/>
        <v>0.84267241379310343</v>
      </c>
    </row>
    <row r="866" spans="1:13" x14ac:dyDescent="0.3">
      <c r="A866" s="22">
        <v>302</v>
      </c>
      <c r="B866" s="22">
        <v>275</v>
      </c>
      <c r="C866" s="23">
        <v>0.91059999999999997</v>
      </c>
      <c r="D866" s="22">
        <v>27</v>
      </c>
      <c r="E866" s="24">
        <v>3.4722222222222224E-4</v>
      </c>
      <c r="F866" s="24">
        <v>2.1064814814814813E-3</v>
      </c>
      <c r="G866" s="24">
        <v>6.875E-3</v>
      </c>
      <c r="H866" s="24">
        <v>0.56040000000000001</v>
      </c>
      <c r="I866" s="18">
        <f t="shared" si="66"/>
        <v>9.1059999999999995E-3</v>
      </c>
      <c r="J866" s="18">
        <f t="shared" si="70"/>
        <v>5.6040000000000005E-3</v>
      </c>
      <c r="K866" s="19">
        <f t="shared" si="67"/>
        <v>27</v>
      </c>
      <c r="L866" s="18">
        <f t="shared" si="68"/>
        <v>8.9403973509933773E-2</v>
      </c>
      <c r="M866" s="18">
        <f t="shared" si="69"/>
        <v>0.91059602649006621</v>
      </c>
    </row>
    <row r="867" spans="1:13" x14ac:dyDescent="0.3">
      <c r="A867" s="22">
        <v>47</v>
      </c>
      <c r="B867" s="22">
        <v>45</v>
      </c>
      <c r="C867" s="23">
        <v>0.95740000000000003</v>
      </c>
      <c r="D867" s="22">
        <v>2</v>
      </c>
      <c r="E867" s="24">
        <v>1.3888888888888889E-4</v>
      </c>
      <c r="F867" s="24">
        <v>1.8634259259259259E-3</v>
      </c>
      <c r="G867" s="24">
        <v>1.8171296296296297E-3</v>
      </c>
      <c r="H867" s="24">
        <v>0.85109999999999997</v>
      </c>
      <c r="I867" s="18">
        <f t="shared" si="66"/>
        <v>9.5740000000000009E-3</v>
      </c>
      <c r="J867" s="18">
        <f t="shared" si="70"/>
        <v>8.5109999999999995E-3</v>
      </c>
      <c r="K867" s="19">
        <f t="shared" si="67"/>
        <v>2</v>
      </c>
      <c r="L867" s="18">
        <f t="shared" si="68"/>
        <v>4.2553191489361701E-2</v>
      </c>
      <c r="M867" s="18">
        <f t="shared" si="69"/>
        <v>0.95744680851063835</v>
      </c>
    </row>
    <row r="868" spans="1:13" x14ac:dyDescent="0.3">
      <c r="A868" s="22">
        <v>293</v>
      </c>
      <c r="B868" s="22">
        <v>279</v>
      </c>
      <c r="C868" s="23">
        <v>0.95220000000000005</v>
      </c>
      <c r="D868" s="22">
        <v>14</v>
      </c>
      <c r="E868" s="24">
        <v>2.5462962962962961E-4</v>
      </c>
      <c r="F868" s="24">
        <v>2.0023148148148148E-3</v>
      </c>
      <c r="G868" s="24">
        <v>2.0486111111111113E-3</v>
      </c>
      <c r="H868" s="24">
        <v>0.67469999999999997</v>
      </c>
      <c r="I868" s="18">
        <f t="shared" si="66"/>
        <v>9.5220000000000009E-3</v>
      </c>
      <c r="J868" s="18">
        <f t="shared" si="70"/>
        <v>6.7469999999999995E-3</v>
      </c>
      <c r="K868" s="19">
        <f t="shared" si="67"/>
        <v>14</v>
      </c>
      <c r="L868" s="18">
        <f t="shared" si="68"/>
        <v>4.778156996587031E-2</v>
      </c>
      <c r="M868" s="18">
        <f t="shared" si="69"/>
        <v>0.95221843003412965</v>
      </c>
    </row>
    <row r="869" spans="1:13" x14ac:dyDescent="0.3">
      <c r="A869" s="22">
        <v>245</v>
      </c>
      <c r="B869" s="22">
        <v>225</v>
      </c>
      <c r="C869" s="23">
        <v>0.91839999999999999</v>
      </c>
      <c r="D869" s="22">
        <v>20</v>
      </c>
      <c r="E869" s="24">
        <v>2.0833333333333335E-4</v>
      </c>
      <c r="F869" s="24">
        <v>2.0254629629629629E-3</v>
      </c>
      <c r="G869" s="24">
        <v>2.9050925925925928E-3</v>
      </c>
      <c r="H869" s="24">
        <v>0.73550000000000004</v>
      </c>
      <c r="I869" s="18">
        <f t="shared" si="66"/>
        <v>9.1839999999999995E-3</v>
      </c>
      <c r="J869" s="18">
        <f t="shared" si="70"/>
        <v>7.3550000000000004E-3</v>
      </c>
      <c r="K869" s="19">
        <f t="shared" si="67"/>
        <v>20</v>
      </c>
      <c r="L869" s="18">
        <f t="shared" si="68"/>
        <v>8.1632653061224483E-2</v>
      </c>
      <c r="M869" s="18">
        <f t="shared" si="69"/>
        <v>0.91836734693877553</v>
      </c>
    </row>
    <row r="870" spans="1:13" x14ac:dyDescent="0.3">
      <c r="A870" s="22">
        <v>295</v>
      </c>
      <c r="B870" s="22">
        <v>227</v>
      </c>
      <c r="C870" s="23">
        <v>0.76949999999999996</v>
      </c>
      <c r="D870" s="22">
        <v>68</v>
      </c>
      <c r="E870" s="24">
        <v>5.5555555555555556E-4</v>
      </c>
      <c r="F870" s="24">
        <v>2.3032407407407407E-3</v>
      </c>
      <c r="G870" s="24">
        <v>3.9583333333333337E-3</v>
      </c>
      <c r="H870" s="24">
        <v>0.44790000000000002</v>
      </c>
      <c r="I870" s="18">
        <f t="shared" si="66"/>
        <v>7.6949999999999996E-3</v>
      </c>
      <c r="J870" s="18">
        <f t="shared" si="70"/>
        <v>4.4790000000000003E-3</v>
      </c>
      <c r="K870" s="19">
        <f t="shared" si="67"/>
        <v>68</v>
      </c>
      <c r="L870" s="18">
        <f t="shared" si="68"/>
        <v>0.23050847457627119</v>
      </c>
      <c r="M870" s="18">
        <f t="shared" si="69"/>
        <v>0.76949152542372878</v>
      </c>
    </row>
    <row r="871" spans="1:13" x14ac:dyDescent="0.3">
      <c r="A871" s="22">
        <v>205</v>
      </c>
      <c r="B871" s="22">
        <v>196</v>
      </c>
      <c r="C871" s="23">
        <v>0.95609999999999995</v>
      </c>
      <c r="D871" s="22">
        <v>9</v>
      </c>
      <c r="E871" s="24">
        <v>2.3148148148148149E-4</v>
      </c>
      <c r="F871" s="24">
        <v>2.1527777777777778E-3</v>
      </c>
      <c r="G871" s="24">
        <v>3.5879629629629629E-3</v>
      </c>
      <c r="H871" s="24">
        <v>0.73660000000000003</v>
      </c>
      <c r="I871" s="18">
        <f t="shared" si="66"/>
        <v>9.5610000000000001E-3</v>
      </c>
      <c r="J871" s="18">
        <f t="shared" si="70"/>
        <v>7.3660000000000002E-3</v>
      </c>
      <c r="K871" s="19">
        <f t="shared" si="67"/>
        <v>9</v>
      </c>
      <c r="L871" s="18">
        <f t="shared" si="68"/>
        <v>4.3902439024390241E-2</v>
      </c>
      <c r="M871" s="18">
        <f t="shared" si="69"/>
        <v>0.95609756097560972</v>
      </c>
    </row>
    <row r="872" spans="1:13" x14ac:dyDescent="0.3">
      <c r="A872" s="22">
        <v>249</v>
      </c>
      <c r="B872" s="22">
        <v>215</v>
      </c>
      <c r="C872" s="23">
        <v>0.86350000000000005</v>
      </c>
      <c r="D872" s="22">
        <v>34</v>
      </c>
      <c r="E872" s="24">
        <v>4.6296296296296298E-4</v>
      </c>
      <c r="F872" s="24">
        <v>2.0601851851851853E-3</v>
      </c>
      <c r="G872" s="24">
        <v>1.7256944444444443E-2</v>
      </c>
      <c r="H872" s="24">
        <v>0.46089999999999998</v>
      </c>
      <c r="I872" s="18">
        <f t="shared" si="66"/>
        <v>8.6350000000000003E-3</v>
      </c>
      <c r="J872" s="18">
        <f t="shared" si="70"/>
        <v>4.6089999999999994E-3</v>
      </c>
      <c r="K872" s="19">
        <f t="shared" si="67"/>
        <v>34</v>
      </c>
      <c r="L872" s="18">
        <f t="shared" si="68"/>
        <v>0.13654618473895583</v>
      </c>
      <c r="M872" s="18">
        <f t="shared" si="69"/>
        <v>0.86345381526104414</v>
      </c>
    </row>
    <row r="873" spans="1:13" x14ac:dyDescent="0.3">
      <c r="A873" s="22">
        <v>236</v>
      </c>
      <c r="B873" s="22">
        <v>213</v>
      </c>
      <c r="C873" s="23">
        <v>0.90249999999999997</v>
      </c>
      <c r="D873" s="22">
        <v>23</v>
      </c>
      <c r="E873" s="24">
        <v>3.0092592592592595E-4</v>
      </c>
      <c r="F873" s="24">
        <v>2.2453703703703702E-3</v>
      </c>
      <c r="G873" s="24">
        <v>2.7083333333333334E-3</v>
      </c>
      <c r="H873" s="24">
        <v>0.63360000000000005</v>
      </c>
      <c r="I873" s="18">
        <f t="shared" si="66"/>
        <v>9.025E-3</v>
      </c>
      <c r="J873" s="18">
        <f t="shared" si="70"/>
        <v>6.3360000000000005E-3</v>
      </c>
      <c r="K873" s="19">
        <f t="shared" si="67"/>
        <v>23</v>
      </c>
      <c r="L873" s="18">
        <f t="shared" si="68"/>
        <v>9.7457627118644072E-2</v>
      </c>
      <c r="M873" s="18">
        <f t="shared" si="69"/>
        <v>0.90254237288135597</v>
      </c>
    </row>
    <row r="874" spans="1:13" x14ac:dyDescent="0.3">
      <c r="A874" s="22">
        <v>39</v>
      </c>
      <c r="B874" s="22">
        <v>39</v>
      </c>
      <c r="C874" s="23">
        <v>1</v>
      </c>
      <c r="D874" s="22">
        <v>0</v>
      </c>
      <c r="E874" s="24">
        <v>1.6203703703703703E-4</v>
      </c>
      <c r="F874" s="24">
        <v>1.736111111111111E-3</v>
      </c>
      <c r="G874" s="24">
        <v>1.7013888888888888E-3</v>
      </c>
      <c r="H874" s="24">
        <v>0.87180000000000002</v>
      </c>
      <c r="I874" s="18">
        <f t="shared" si="66"/>
        <v>0.01</v>
      </c>
      <c r="J874" s="18">
        <f t="shared" si="70"/>
        <v>8.7180000000000001E-3</v>
      </c>
      <c r="K874" s="19">
        <f t="shared" si="67"/>
        <v>0</v>
      </c>
      <c r="L874" s="18">
        <f t="shared" si="68"/>
        <v>0</v>
      </c>
      <c r="M874" s="18">
        <f t="shared" si="69"/>
        <v>1</v>
      </c>
    </row>
    <row r="875" spans="1:13" x14ac:dyDescent="0.3">
      <c r="A875" s="22">
        <v>208</v>
      </c>
      <c r="B875" s="22">
        <v>194</v>
      </c>
      <c r="C875" s="23">
        <v>0.93269999999999997</v>
      </c>
      <c r="D875" s="22">
        <v>14</v>
      </c>
      <c r="E875" s="24">
        <v>1.9675925925925926E-4</v>
      </c>
      <c r="F875" s="24">
        <v>2.0138888888888888E-3</v>
      </c>
      <c r="G875" s="24">
        <v>2.0717592592592593E-3</v>
      </c>
      <c r="H875" s="24">
        <v>0.76959999999999995</v>
      </c>
      <c r="I875" s="18">
        <f t="shared" si="66"/>
        <v>9.3270000000000002E-3</v>
      </c>
      <c r="J875" s="18">
        <f t="shared" si="70"/>
        <v>7.6959999999999997E-3</v>
      </c>
      <c r="K875" s="19">
        <f t="shared" si="67"/>
        <v>14</v>
      </c>
      <c r="L875" s="18">
        <f t="shared" si="68"/>
        <v>6.7307692307692304E-2</v>
      </c>
      <c r="M875" s="18">
        <f t="shared" si="69"/>
        <v>0.93269230769230771</v>
      </c>
    </row>
    <row r="876" spans="1:13" x14ac:dyDescent="0.3">
      <c r="A876" s="22">
        <v>39</v>
      </c>
      <c r="B876" s="22">
        <v>38</v>
      </c>
      <c r="C876" s="23">
        <v>0.97440000000000004</v>
      </c>
      <c r="D876" s="22">
        <v>1</v>
      </c>
      <c r="E876" s="24">
        <v>4.6296296296296294E-5</v>
      </c>
      <c r="F876" s="24">
        <v>1.6319444444444445E-3</v>
      </c>
      <c r="G876" s="24">
        <v>7.1759259259259259E-4</v>
      </c>
      <c r="H876" s="24">
        <v>0.94869999999999999</v>
      </c>
      <c r="I876" s="18">
        <f t="shared" si="66"/>
        <v>9.7440000000000009E-3</v>
      </c>
      <c r="J876" s="18">
        <f t="shared" si="70"/>
        <v>9.4870000000000006E-3</v>
      </c>
      <c r="K876" s="19">
        <f t="shared" si="67"/>
        <v>1</v>
      </c>
      <c r="L876" s="18">
        <f t="shared" si="68"/>
        <v>2.564102564102564E-2</v>
      </c>
      <c r="M876" s="18">
        <f t="shared" si="69"/>
        <v>0.97435897435897434</v>
      </c>
    </row>
    <row r="877" spans="1:13" x14ac:dyDescent="0.3">
      <c r="A877" s="22">
        <v>115</v>
      </c>
      <c r="B877" s="22">
        <v>110</v>
      </c>
      <c r="C877" s="23">
        <v>0.95650000000000002</v>
      </c>
      <c r="D877" s="22">
        <v>5</v>
      </c>
      <c r="E877" s="24">
        <v>9.2592592592592588E-5</v>
      </c>
      <c r="F877" s="24">
        <v>1.9212962962962964E-3</v>
      </c>
      <c r="G877" s="24">
        <v>2.9166666666666668E-3</v>
      </c>
      <c r="H877" s="24">
        <v>0.90429999999999999</v>
      </c>
      <c r="I877" s="18">
        <f t="shared" si="66"/>
        <v>9.5650000000000006E-3</v>
      </c>
      <c r="J877" s="18">
        <f t="shared" si="70"/>
        <v>9.0430000000000007E-3</v>
      </c>
      <c r="K877" s="19">
        <f t="shared" si="67"/>
        <v>5</v>
      </c>
      <c r="L877" s="18">
        <f t="shared" si="68"/>
        <v>4.3478260869565216E-2</v>
      </c>
      <c r="M877" s="18">
        <f t="shared" si="69"/>
        <v>0.95652173913043481</v>
      </c>
    </row>
    <row r="878" spans="1:13" x14ac:dyDescent="0.3">
      <c r="A878" s="22">
        <v>338</v>
      </c>
      <c r="B878" s="22">
        <v>308</v>
      </c>
      <c r="C878" s="23">
        <v>0.91120000000000001</v>
      </c>
      <c r="D878" s="22">
        <v>30</v>
      </c>
      <c r="E878" s="24">
        <v>3.1250000000000001E-4</v>
      </c>
      <c r="F878" s="24">
        <v>1.9675925925925924E-3</v>
      </c>
      <c r="G878" s="24">
        <v>2.9050925925925928E-3</v>
      </c>
      <c r="H878" s="24">
        <v>0.63100000000000001</v>
      </c>
      <c r="I878" s="18">
        <f t="shared" si="66"/>
        <v>9.1120000000000003E-3</v>
      </c>
      <c r="J878" s="18">
        <f t="shared" si="70"/>
        <v>6.3099999999999996E-3</v>
      </c>
      <c r="K878" s="19">
        <f t="shared" si="67"/>
        <v>30</v>
      </c>
      <c r="L878" s="18">
        <f t="shared" si="68"/>
        <v>8.8757396449704137E-2</v>
      </c>
      <c r="M878" s="18">
        <f t="shared" si="69"/>
        <v>0.91124260355029585</v>
      </c>
    </row>
    <row r="879" spans="1:13" x14ac:dyDescent="0.3">
      <c r="A879" s="22">
        <v>404</v>
      </c>
      <c r="B879" s="22">
        <v>320</v>
      </c>
      <c r="C879" s="23">
        <v>0.79210000000000003</v>
      </c>
      <c r="D879" s="22">
        <v>84</v>
      </c>
      <c r="E879" s="24">
        <v>5.2083333333333333E-4</v>
      </c>
      <c r="F879" s="24">
        <v>2.0601851851851853E-3</v>
      </c>
      <c r="G879" s="24">
        <v>8.2523148148148148E-3</v>
      </c>
      <c r="H879" s="24">
        <v>0.51390000000000002</v>
      </c>
      <c r="I879" s="18">
        <f t="shared" si="66"/>
        <v>7.921000000000001E-3</v>
      </c>
      <c r="J879" s="18">
        <f t="shared" si="70"/>
        <v>5.1390000000000003E-3</v>
      </c>
      <c r="K879" s="19">
        <f t="shared" si="67"/>
        <v>84</v>
      </c>
      <c r="L879" s="18">
        <f t="shared" si="68"/>
        <v>0.20792079207920791</v>
      </c>
      <c r="M879" s="18">
        <f t="shared" si="69"/>
        <v>0.79207920792079212</v>
      </c>
    </row>
    <row r="880" spans="1:13" x14ac:dyDescent="0.3">
      <c r="A880" s="22">
        <v>436</v>
      </c>
      <c r="B880" s="22">
        <v>393</v>
      </c>
      <c r="C880" s="23">
        <v>0.90139999999999998</v>
      </c>
      <c r="D880" s="22">
        <v>43</v>
      </c>
      <c r="E880" s="24">
        <v>3.0092592592592595E-4</v>
      </c>
      <c r="F880" s="24">
        <v>1.9791666666666668E-3</v>
      </c>
      <c r="G880" s="24">
        <v>4.31712962962963E-3</v>
      </c>
      <c r="H880" s="24">
        <v>0.65259999999999996</v>
      </c>
      <c r="I880" s="18">
        <f t="shared" si="66"/>
        <v>9.0139999999999994E-3</v>
      </c>
      <c r="J880" s="18">
        <f t="shared" si="70"/>
        <v>6.5259999999999997E-3</v>
      </c>
      <c r="K880" s="19">
        <f t="shared" si="67"/>
        <v>43</v>
      </c>
      <c r="L880" s="18">
        <f t="shared" si="68"/>
        <v>9.862385321100918E-2</v>
      </c>
      <c r="M880" s="18">
        <f t="shared" si="69"/>
        <v>0.90137614678899081</v>
      </c>
    </row>
    <row r="881" spans="1:13" x14ac:dyDescent="0.3">
      <c r="A881" s="22">
        <v>73</v>
      </c>
      <c r="B881" s="22">
        <v>72</v>
      </c>
      <c r="C881" s="23">
        <v>0.98629999999999995</v>
      </c>
      <c r="D881" s="22">
        <v>1</v>
      </c>
      <c r="E881" s="24">
        <v>8.1018518518518516E-5</v>
      </c>
      <c r="F881" s="24">
        <v>1.9212962962962964E-3</v>
      </c>
      <c r="G881" s="24">
        <v>1.1921296296296296E-3</v>
      </c>
      <c r="H881" s="24">
        <v>0.93149999999999999</v>
      </c>
      <c r="I881" s="18">
        <f t="shared" si="66"/>
        <v>9.8630000000000002E-3</v>
      </c>
      <c r="J881" s="18">
        <f t="shared" si="70"/>
        <v>9.3150000000000004E-3</v>
      </c>
      <c r="K881" s="19">
        <f t="shared" si="67"/>
        <v>1</v>
      </c>
      <c r="L881" s="18">
        <f t="shared" si="68"/>
        <v>1.3698630136986301E-2</v>
      </c>
      <c r="M881" s="18">
        <f t="shared" si="69"/>
        <v>0.98630136986301364</v>
      </c>
    </row>
    <row r="882" spans="1:13" x14ac:dyDescent="0.3">
      <c r="A882" s="22">
        <v>521</v>
      </c>
      <c r="B882" s="22">
        <v>492</v>
      </c>
      <c r="C882" s="23">
        <v>0.94430000000000003</v>
      </c>
      <c r="D882" s="22">
        <v>29</v>
      </c>
      <c r="E882" s="24">
        <v>1.9675925925925926E-4</v>
      </c>
      <c r="F882" s="24">
        <v>1.9097222222222222E-3</v>
      </c>
      <c r="G882" s="24">
        <v>2.3495370370370371E-3</v>
      </c>
      <c r="H882" s="24">
        <v>0.78939999999999999</v>
      </c>
      <c r="I882" s="18">
        <f t="shared" si="66"/>
        <v>9.443E-3</v>
      </c>
      <c r="J882" s="18">
        <f t="shared" si="70"/>
        <v>7.894E-3</v>
      </c>
      <c r="K882" s="19">
        <f t="shared" si="67"/>
        <v>29</v>
      </c>
      <c r="L882" s="18">
        <f t="shared" si="68"/>
        <v>5.5662188099808059E-2</v>
      </c>
      <c r="M882" s="18">
        <f t="shared" si="69"/>
        <v>0.94433781190019195</v>
      </c>
    </row>
    <row r="883" spans="1:13" x14ac:dyDescent="0.3">
      <c r="A883" s="22">
        <v>648</v>
      </c>
      <c r="B883" s="22">
        <v>564</v>
      </c>
      <c r="C883" s="23">
        <v>0.87039999999999995</v>
      </c>
      <c r="D883" s="22">
        <v>84</v>
      </c>
      <c r="E883" s="24">
        <v>3.1250000000000001E-4</v>
      </c>
      <c r="F883" s="24">
        <v>1.9212962962962964E-3</v>
      </c>
      <c r="G883" s="24">
        <v>3.7615740740740739E-3</v>
      </c>
      <c r="H883" s="24">
        <v>0.61360000000000003</v>
      </c>
      <c r="I883" s="18">
        <f t="shared" si="66"/>
        <v>8.7039999999999999E-3</v>
      </c>
      <c r="J883" s="18">
        <f t="shared" si="70"/>
        <v>6.136E-3</v>
      </c>
      <c r="K883" s="19">
        <f t="shared" si="67"/>
        <v>84</v>
      </c>
      <c r="L883" s="18">
        <f t="shared" si="68"/>
        <v>0.12962962962962962</v>
      </c>
      <c r="M883" s="18">
        <f t="shared" si="69"/>
        <v>0.87037037037037035</v>
      </c>
    </row>
    <row r="884" spans="1:13" x14ac:dyDescent="0.3">
      <c r="A884" s="22">
        <v>729</v>
      </c>
      <c r="B884" s="22">
        <v>592</v>
      </c>
      <c r="C884" s="23">
        <v>0.81210000000000004</v>
      </c>
      <c r="D884" s="22">
        <v>137</v>
      </c>
      <c r="E884" s="24">
        <v>6.3657407407407413E-4</v>
      </c>
      <c r="F884" s="24">
        <v>2.0023148148148148E-3</v>
      </c>
      <c r="G884" s="24">
        <v>5.1967592592592595E-3</v>
      </c>
      <c r="H884" s="24">
        <v>0.35830000000000001</v>
      </c>
      <c r="I884" s="18">
        <f t="shared" si="66"/>
        <v>8.1209999999999997E-3</v>
      </c>
      <c r="J884" s="18">
        <f t="shared" si="70"/>
        <v>3.5830000000000002E-3</v>
      </c>
      <c r="K884" s="19">
        <f t="shared" si="67"/>
        <v>137</v>
      </c>
      <c r="L884" s="18">
        <f t="shared" si="68"/>
        <v>0.18792866941015088</v>
      </c>
      <c r="M884" s="18">
        <f t="shared" si="69"/>
        <v>0.81207133058984915</v>
      </c>
    </row>
    <row r="885" spans="1:13" x14ac:dyDescent="0.3">
      <c r="A885" s="22">
        <v>1196</v>
      </c>
      <c r="B885" s="22">
        <v>718</v>
      </c>
      <c r="C885" s="23">
        <v>0.60029999999999994</v>
      </c>
      <c r="D885" s="22">
        <v>478</v>
      </c>
      <c r="E885" s="24">
        <v>1.2962962962962963E-3</v>
      </c>
      <c r="F885" s="24">
        <v>2.1875000000000002E-3</v>
      </c>
      <c r="G885" s="24">
        <v>7.7083333333333335E-3</v>
      </c>
      <c r="H885" s="24">
        <v>0.1462</v>
      </c>
      <c r="I885" s="18">
        <f t="shared" si="66"/>
        <v>6.0029999999999997E-3</v>
      </c>
      <c r="J885" s="18">
        <f t="shared" si="70"/>
        <v>1.462E-3</v>
      </c>
      <c r="K885" s="19">
        <f t="shared" si="67"/>
        <v>478</v>
      </c>
      <c r="L885" s="18">
        <f t="shared" si="68"/>
        <v>0.39966555183946489</v>
      </c>
      <c r="M885" s="18">
        <f t="shared" si="69"/>
        <v>0.60033444816053516</v>
      </c>
    </row>
    <row r="886" spans="1:13" x14ac:dyDescent="0.3">
      <c r="A886" s="22">
        <v>436</v>
      </c>
      <c r="B886" s="22">
        <v>323</v>
      </c>
      <c r="C886" s="23">
        <v>0.74080000000000001</v>
      </c>
      <c r="D886" s="22">
        <v>113</v>
      </c>
      <c r="E886" s="24">
        <v>5.0925925925925921E-4</v>
      </c>
      <c r="F886" s="24">
        <v>2.1064814814814813E-3</v>
      </c>
      <c r="G886" s="24">
        <v>4.3055555555555555E-3</v>
      </c>
      <c r="H886" s="24">
        <v>0.4375</v>
      </c>
      <c r="I886" s="18">
        <f t="shared" si="66"/>
        <v>7.4080000000000005E-3</v>
      </c>
      <c r="J886" s="18">
        <f t="shared" si="70"/>
        <v>4.3750000000000004E-3</v>
      </c>
      <c r="K886" s="19">
        <f t="shared" si="67"/>
        <v>113</v>
      </c>
      <c r="L886" s="18">
        <f t="shared" si="68"/>
        <v>0.25917431192660551</v>
      </c>
      <c r="M886" s="18">
        <f t="shared" si="69"/>
        <v>0.74082568807339455</v>
      </c>
    </row>
    <row r="887" spans="1:13" x14ac:dyDescent="0.3">
      <c r="A887" s="22">
        <v>191</v>
      </c>
      <c r="B887" s="22">
        <v>178</v>
      </c>
      <c r="C887" s="23">
        <v>0.93189999999999995</v>
      </c>
      <c r="D887" s="22">
        <v>13</v>
      </c>
      <c r="E887" s="24">
        <v>1.8518518518518518E-4</v>
      </c>
      <c r="F887" s="24">
        <v>1.9791666666666668E-3</v>
      </c>
      <c r="G887" s="24">
        <v>2.8703703703703703E-3</v>
      </c>
      <c r="H887" s="24">
        <v>0.80530000000000002</v>
      </c>
      <c r="I887" s="18">
        <f t="shared" si="66"/>
        <v>9.3189999999999992E-3</v>
      </c>
      <c r="J887" s="18">
        <f t="shared" si="70"/>
        <v>8.0529999999999994E-3</v>
      </c>
      <c r="K887" s="19">
        <f t="shared" si="67"/>
        <v>13</v>
      </c>
      <c r="L887" s="18">
        <f t="shared" si="68"/>
        <v>6.8062827225130892E-2</v>
      </c>
      <c r="M887" s="18">
        <f t="shared" si="69"/>
        <v>0.93193717277486909</v>
      </c>
    </row>
    <row r="888" spans="1:13" x14ac:dyDescent="0.3">
      <c r="A888" s="22">
        <v>68</v>
      </c>
      <c r="B888" s="22">
        <v>68</v>
      </c>
      <c r="C888" s="23">
        <v>1</v>
      </c>
      <c r="D888" s="22">
        <v>0</v>
      </c>
      <c r="E888" s="24">
        <v>5.7870370370370373E-5</v>
      </c>
      <c r="F888" s="24">
        <v>2.0370370370370369E-3</v>
      </c>
      <c r="G888" s="24">
        <v>1.1458333333333333E-3</v>
      </c>
      <c r="H888" s="24">
        <v>0.98529999999999995</v>
      </c>
      <c r="I888" s="18">
        <f t="shared" si="66"/>
        <v>0.01</v>
      </c>
      <c r="J888" s="18">
        <f t="shared" si="70"/>
        <v>9.8529999999999989E-3</v>
      </c>
      <c r="K888" s="19">
        <f t="shared" si="67"/>
        <v>0</v>
      </c>
      <c r="L888" s="18">
        <f t="shared" si="68"/>
        <v>0</v>
      </c>
      <c r="M888" s="18">
        <f t="shared" si="69"/>
        <v>1</v>
      </c>
    </row>
    <row r="889" spans="1:13" x14ac:dyDescent="0.3">
      <c r="A889" s="22">
        <v>498</v>
      </c>
      <c r="B889" s="22">
        <v>429</v>
      </c>
      <c r="C889" s="23">
        <v>0.86140000000000005</v>
      </c>
      <c r="D889" s="22">
        <v>69</v>
      </c>
      <c r="E889" s="24">
        <v>3.9351851851851852E-4</v>
      </c>
      <c r="F889" s="24">
        <v>2.1875000000000002E-3</v>
      </c>
      <c r="G889" s="24">
        <v>2.9166666666666668E-3</v>
      </c>
      <c r="H889" s="24">
        <v>0.5071</v>
      </c>
      <c r="I889" s="18">
        <f t="shared" si="66"/>
        <v>8.6140000000000001E-3</v>
      </c>
      <c r="J889" s="18">
        <f t="shared" si="70"/>
        <v>5.071E-3</v>
      </c>
      <c r="K889" s="19">
        <f t="shared" si="67"/>
        <v>69</v>
      </c>
      <c r="L889" s="18">
        <f t="shared" si="68"/>
        <v>0.13855421686746988</v>
      </c>
      <c r="M889" s="18">
        <f t="shared" si="69"/>
        <v>0.86144578313253017</v>
      </c>
    </row>
    <row r="890" spans="1:13" x14ac:dyDescent="0.3">
      <c r="A890" s="22">
        <v>358</v>
      </c>
      <c r="B890" s="22">
        <v>329</v>
      </c>
      <c r="C890" s="23">
        <v>0.91900000000000004</v>
      </c>
      <c r="D890" s="22">
        <v>29</v>
      </c>
      <c r="E890" s="24">
        <v>2.4305555555555555E-4</v>
      </c>
      <c r="F890" s="24">
        <v>2.1180555555555558E-3</v>
      </c>
      <c r="G890" s="24">
        <v>1.5625000000000001E-3</v>
      </c>
      <c r="H890" s="24">
        <v>0.66949999999999998</v>
      </c>
      <c r="I890" s="18">
        <f t="shared" si="66"/>
        <v>9.1900000000000003E-3</v>
      </c>
      <c r="J890" s="18">
        <f t="shared" si="70"/>
        <v>6.6949999999999996E-3</v>
      </c>
      <c r="K890" s="19">
        <f t="shared" si="67"/>
        <v>29</v>
      </c>
      <c r="L890" s="18">
        <f t="shared" si="68"/>
        <v>8.1005586592178769E-2</v>
      </c>
      <c r="M890" s="18">
        <f t="shared" si="69"/>
        <v>0.91899441340782118</v>
      </c>
    </row>
    <row r="891" spans="1:13" x14ac:dyDescent="0.3">
      <c r="A891" s="22">
        <v>340</v>
      </c>
      <c r="B891" s="22">
        <v>302</v>
      </c>
      <c r="C891" s="23">
        <v>0.88819999999999999</v>
      </c>
      <c r="D891" s="22">
        <v>38</v>
      </c>
      <c r="E891" s="24">
        <v>2.7777777777777778E-4</v>
      </c>
      <c r="F891" s="24">
        <v>1.9675925925925924E-3</v>
      </c>
      <c r="G891" s="24">
        <v>3.5879629629629629E-3</v>
      </c>
      <c r="H891" s="24">
        <v>0.65669999999999995</v>
      </c>
      <c r="I891" s="18">
        <f t="shared" si="66"/>
        <v>8.8819999999999993E-3</v>
      </c>
      <c r="J891" s="18">
        <f t="shared" si="70"/>
        <v>6.5669999999999999E-3</v>
      </c>
      <c r="K891" s="19">
        <f t="shared" si="67"/>
        <v>38</v>
      </c>
      <c r="L891" s="18">
        <f t="shared" si="68"/>
        <v>0.11176470588235295</v>
      </c>
      <c r="M891" s="18">
        <f t="shared" si="69"/>
        <v>0.88823529411764701</v>
      </c>
    </row>
    <row r="892" spans="1:13" x14ac:dyDescent="0.3">
      <c r="A892" s="22">
        <v>322</v>
      </c>
      <c r="B892" s="22">
        <v>306</v>
      </c>
      <c r="C892" s="23">
        <v>0.95030000000000003</v>
      </c>
      <c r="D892" s="22">
        <v>16</v>
      </c>
      <c r="E892" s="24">
        <v>1.8518518518518518E-4</v>
      </c>
      <c r="F892" s="24">
        <v>1.8402777777777777E-3</v>
      </c>
      <c r="G892" s="24">
        <v>4.363425925925926E-3</v>
      </c>
      <c r="H892" s="24">
        <v>0.77739999999999998</v>
      </c>
      <c r="I892" s="18">
        <f t="shared" si="66"/>
        <v>9.503000000000001E-3</v>
      </c>
      <c r="J892" s="18">
        <f t="shared" si="70"/>
        <v>7.7739999999999997E-3</v>
      </c>
      <c r="K892" s="19">
        <f t="shared" si="67"/>
        <v>16</v>
      </c>
      <c r="L892" s="18">
        <f t="shared" si="68"/>
        <v>4.9689440993788817E-2</v>
      </c>
      <c r="M892" s="18">
        <f t="shared" si="69"/>
        <v>0.9503105590062112</v>
      </c>
    </row>
    <row r="893" spans="1:13" x14ac:dyDescent="0.3">
      <c r="A893" s="22">
        <v>296</v>
      </c>
      <c r="B893" s="22">
        <v>282</v>
      </c>
      <c r="C893" s="23">
        <v>0.95269999999999999</v>
      </c>
      <c r="D893" s="22">
        <v>14</v>
      </c>
      <c r="E893" s="24">
        <v>2.0833333333333335E-4</v>
      </c>
      <c r="F893" s="24">
        <v>1.8171296296296297E-3</v>
      </c>
      <c r="G893" s="24">
        <v>1.9097222222222222E-3</v>
      </c>
      <c r="H893" s="24">
        <v>0.76529999999999998</v>
      </c>
      <c r="I893" s="18">
        <f t="shared" si="66"/>
        <v>9.5270000000000007E-3</v>
      </c>
      <c r="J893" s="18">
        <f t="shared" si="70"/>
        <v>7.6530000000000001E-3</v>
      </c>
      <c r="K893" s="19">
        <f t="shared" si="67"/>
        <v>14</v>
      </c>
      <c r="L893" s="18">
        <f t="shared" si="68"/>
        <v>4.72972972972973E-2</v>
      </c>
      <c r="M893" s="18">
        <f t="shared" si="69"/>
        <v>0.95270270270270274</v>
      </c>
    </row>
    <row r="894" spans="1:13" x14ac:dyDescent="0.3">
      <c r="A894" s="22">
        <v>264</v>
      </c>
      <c r="B894" s="22">
        <v>234</v>
      </c>
      <c r="C894" s="23">
        <v>0.88639999999999997</v>
      </c>
      <c r="D894" s="22">
        <v>30</v>
      </c>
      <c r="E894" s="24">
        <v>2.3148148148148149E-4</v>
      </c>
      <c r="F894" s="24">
        <v>1.7824074074074075E-3</v>
      </c>
      <c r="G894" s="24">
        <v>3.4027777777777776E-3</v>
      </c>
      <c r="H894" s="24">
        <v>0.69879999999999998</v>
      </c>
      <c r="I894" s="18">
        <f t="shared" si="66"/>
        <v>8.8640000000000004E-3</v>
      </c>
      <c r="J894" s="18">
        <f t="shared" si="70"/>
        <v>6.9879999999999994E-3</v>
      </c>
      <c r="K894" s="19">
        <f t="shared" si="67"/>
        <v>30</v>
      </c>
      <c r="L894" s="18">
        <f t="shared" si="68"/>
        <v>0.11363636363636363</v>
      </c>
      <c r="M894" s="18">
        <f t="shared" si="69"/>
        <v>0.88636363636363635</v>
      </c>
    </row>
    <row r="895" spans="1:13" x14ac:dyDescent="0.3">
      <c r="A895" s="22">
        <v>52</v>
      </c>
      <c r="B895" s="22">
        <v>51</v>
      </c>
      <c r="C895" s="23">
        <v>0.98080000000000001</v>
      </c>
      <c r="D895" s="22">
        <v>1</v>
      </c>
      <c r="E895" s="24">
        <v>6.9444444444444444E-5</v>
      </c>
      <c r="F895" s="24">
        <v>1.8055555555555555E-3</v>
      </c>
      <c r="G895" s="24">
        <v>7.5231481481481482E-4</v>
      </c>
      <c r="H895" s="24">
        <v>0.94120000000000004</v>
      </c>
      <c r="I895" s="18">
        <f t="shared" si="66"/>
        <v>9.8080000000000007E-3</v>
      </c>
      <c r="J895" s="18">
        <f t="shared" si="70"/>
        <v>9.4120000000000002E-3</v>
      </c>
      <c r="K895" s="19">
        <f t="shared" si="67"/>
        <v>1</v>
      </c>
      <c r="L895" s="18">
        <f t="shared" si="68"/>
        <v>1.9230769230769232E-2</v>
      </c>
      <c r="M895" s="18">
        <f t="shared" si="69"/>
        <v>0.98076923076923073</v>
      </c>
    </row>
    <row r="896" spans="1:13" x14ac:dyDescent="0.3">
      <c r="A896" s="22">
        <v>266</v>
      </c>
      <c r="B896" s="22">
        <v>264</v>
      </c>
      <c r="C896" s="23">
        <v>0.99250000000000005</v>
      </c>
      <c r="D896" s="22">
        <v>2</v>
      </c>
      <c r="E896" s="24">
        <v>1.0416666666666667E-4</v>
      </c>
      <c r="F896" s="24">
        <v>1.8402777777777777E-3</v>
      </c>
      <c r="G896" s="24">
        <v>1.4004629629629629E-3</v>
      </c>
      <c r="H896" s="24">
        <v>0.90980000000000005</v>
      </c>
      <c r="I896" s="18">
        <f t="shared" si="66"/>
        <v>9.9249999999999998E-3</v>
      </c>
      <c r="J896" s="18">
        <f t="shared" si="70"/>
        <v>9.0980000000000002E-3</v>
      </c>
      <c r="K896" s="19">
        <f t="shared" si="67"/>
        <v>2</v>
      </c>
      <c r="L896" s="18">
        <f t="shared" si="68"/>
        <v>7.5187969924812026E-3</v>
      </c>
      <c r="M896" s="18">
        <f t="shared" si="69"/>
        <v>0.99248120300751874</v>
      </c>
    </row>
    <row r="897" spans="1:13" x14ac:dyDescent="0.3">
      <c r="A897" s="22">
        <v>242</v>
      </c>
      <c r="B897" s="22">
        <v>238</v>
      </c>
      <c r="C897" s="23">
        <v>0.98350000000000004</v>
      </c>
      <c r="D897" s="22">
        <v>4</v>
      </c>
      <c r="E897" s="24">
        <v>1.0416666666666667E-4</v>
      </c>
      <c r="F897" s="24">
        <v>1.9097222222222222E-3</v>
      </c>
      <c r="G897" s="24">
        <v>1.736111111111111E-3</v>
      </c>
      <c r="H897" s="24">
        <v>0.90459999999999996</v>
      </c>
      <c r="I897" s="18">
        <f t="shared" si="66"/>
        <v>9.835E-3</v>
      </c>
      <c r="J897" s="18">
        <f t="shared" si="70"/>
        <v>9.0460000000000002E-3</v>
      </c>
      <c r="K897" s="19">
        <f t="shared" si="67"/>
        <v>4</v>
      </c>
      <c r="L897" s="18">
        <f t="shared" si="68"/>
        <v>1.6528925619834711E-2</v>
      </c>
      <c r="M897" s="18">
        <f t="shared" si="69"/>
        <v>0.98347107438016534</v>
      </c>
    </row>
    <row r="898" spans="1:13" x14ac:dyDescent="0.3">
      <c r="A898" s="22">
        <v>241</v>
      </c>
      <c r="B898" s="22">
        <v>228</v>
      </c>
      <c r="C898" s="23">
        <v>0.94610000000000005</v>
      </c>
      <c r="D898" s="22">
        <v>13</v>
      </c>
      <c r="E898" s="24">
        <v>2.199074074074074E-4</v>
      </c>
      <c r="F898" s="24">
        <v>1.9444444444444444E-3</v>
      </c>
      <c r="G898" s="24">
        <v>4.2592592592592595E-3</v>
      </c>
      <c r="H898" s="24">
        <v>0.79579999999999995</v>
      </c>
      <c r="I898" s="18">
        <f t="shared" si="66"/>
        <v>9.4610000000000007E-3</v>
      </c>
      <c r="J898" s="18">
        <f t="shared" si="70"/>
        <v>7.9579999999999998E-3</v>
      </c>
      <c r="K898" s="19">
        <f t="shared" si="67"/>
        <v>13</v>
      </c>
      <c r="L898" s="18">
        <f t="shared" si="68"/>
        <v>5.3941908713692949E-2</v>
      </c>
      <c r="M898" s="18">
        <f t="shared" si="69"/>
        <v>0.94605809128630702</v>
      </c>
    </row>
    <row r="899" spans="1:13" x14ac:dyDescent="0.3">
      <c r="A899" s="22">
        <v>279</v>
      </c>
      <c r="B899" s="22">
        <v>269</v>
      </c>
      <c r="C899" s="23">
        <v>0.96419999999999995</v>
      </c>
      <c r="D899" s="22">
        <v>10</v>
      </c>
      <c r="E899" s="24">
        <v>9.2592592592592588E-5</v>
      </c>
      <c r="F899" s="24">
        <v>1.8865740740740742E-3</v>
      </c>
      <c r="G899" s="24">
        <v>2.1643518518518518E-3</v>
      </c>
      <c r="H899" s="24">
        <v>0.91300000000000003</v>
      </c>
      <c r="I899" s="18">
        <f t="shared" ref="I899:I962" si="71">VALUE(SUBSTITUTE(C899,"%",""))/100</f>
        <v>9.6419999999999995E-3</v>
      </c>
      <c r="J899" s="18">
        <f t="shared" si="70"/>
        <v>9.130000000000001E-3</v>
      </c>
      <c r="K899" s="19">
        <f t="shared" ref="K899:K962" si="72">A899-B899</f>
        <v>10</v>
      </c>
      <c r="L899" s="18">
        <f t="shared" ref="L899:L962" si="73">D899/A899</f>
        <v>3.5842293906810034E-2</v>
      </c>
      <c r="M899" s="18">
        <f t="shared" ref="M899:M962" si="74">B899/A899</f>
        <v>0.96415770609318996</v>
      </c>
    </row>
    <row r="900" spans="1:13" x14ac:dyDescent="0.3">
      <c r="A900" s="22">
        <v>73</v>
      </c>
      <c r="B900" s="22">
        <v>72</v>
      </c>
      <c r="C900" s="23">
        <v>0.98629999999999995</v>
      </c>
      <c r="D900" s="22">
        <v>1</v>
      </c>
      <c r="E900" s="24">
        <v>9.2592592592592588E-5</v>
      </c>
      <c r="F900" s="24">
        <v>2.1296296296296298E-3</v>
      </c>
      <c r="G900" s="24">
        <v>1.5046296296296296E-3</v>
      </c>
      <c r="H900" s="24">
        <v>0.91779999999999995</v>
      </c>
      <c r="I900" s="18">
        <f t="shared" si="71"/>
        <v>9.8630000000000002E-3</v>
      </c>
      <c r="J900" s="18">
        <f t="shared" si="70"/>
        <v>9.1779999999999987E-3</v>
      </c>
      <c r="K900" s="19">
        <f t="shared" si="72"/>
        <v>1</v>
      </c>
      <c r="L900" s="18">
        <f t="shared" si="73"/>
        <v>1.3698630136986301E-2</v>
      </c>
      <c r="M900" s="18">
        <f t="shared" si="74"/>
        <v>0.98630136986301364</v>
      </c>
    </row>
    <row r="901" spans="1:13" x14ac:dyDescent="0.3">
      <c r="A901" s="22">
        <v>226</v>
      </c>
      <c r="B901" s="22">
        <v>218</v>
      </c>
      <c r="C901" s="23">
        <v>0.96460000000000001</v>
      </c>
      <c r="D901" s="22">
        <v>8</v>
      </c>
      <c r="E901" s="24">
        <v>9.2592592592592588E-5</v>
      </c>
      <c r="F901" s="24">
        <v>2.0138888888888888E-3</v>
      </c>
      <c r="G901" s="24">
        <v>1.9328703703703704E-3</v>
      </c>
      <c r="H901" s="24">
        <v>0.91859999999999997</v>
      </c>
      <c r="I901" s="18">
        <f t="shared" si="71"/>
        <v>9.6460000000000001E-3</v>
      </c>
      <c r="J901" s="18">
        <f t="shared" si="70"/>
        <v>9.1859999999999997E-3</v>
      </c>
      <c r="K901" s="19">
        <f t="shared" si="72"/>
        <v>8</v>
      </c>
      <c r="L901" s="18">
        <f t="shared" si="73"/>
        <v>3.5398230088495575E-2</v>
      </c>
      <c r="M901" s="18">
        <f t="shared" si="74"/>
        <v>0.96460176991150437</v>
      </c>
    </row>
    <row r="902" spans="1:13" x14ac:dyDescent="0.3">
      <c r="A902" s="22">
        <v>43</v>
      </c>
      <c r="B902" s="22">
        <v>42</v>
      </c>
      <c r="C902" s="23">
        <v>0.97670000000000001</v>
      </c>
      <c r="D902" s="22">
        <v>1</v>
      </c>
      <c r="E902" s="24">
        <v>1.273148148148148E-4</v>
      </c>
      <c r="F902" s="24">
        <v>1.8287037037037037E-3</v>
      </c>
      <c r="G902" s="24">
        <v>8.9120370370370373E-4</v>
      </c>
      <c r="H902" s="24">
        <v>0.83720000000000006</v>
      </c>
      <c r="I902" s="18">
        <f t="shared" si="71"/>
        <v>9.7669999999999996E-3</v>
      </c>
      <c r="J902" s="18">
        <f t="shared" ref="J902:J965" si="75">VALUE(SUBSTITUTE(H902,"%",""))/100</f>
        <v>8.372000000000001E-3</v>
      </c>
      <c r="K902" s="19">
        <f t="shared" si="72"/>
        <v>1</v>
      </c>
      <c r="L902" s="18">
        <f t="shared" si="73"/>
        <v>2.3255813953488372E-2</v>
      </c>
      <c r="M902" s="18">
        <f t="shared" si="74"/>
        <v>0.97674418604651159</v>
      </c>
    </row>
    <row r="903" spans="1:13" x14ac:dyDescent="0.3">
      <c r="A903" s="22">
        <v>311</v>
      </c>
      <c r="B903" s="22">
        <v>255</v>
      </c>
      <c r="C903" s="23">
        <v>0.81989999999999996</v>
      </c>
      <c r="D903" s="22">
        <v>56</v>
      </c>
      <c r="E903" s="24">
        <v>5.2083333333333333E-4</v>
      </c>
      <c r="F903" s="24">
        <v>2.0254629629629629E-3</v>
      </c>
      <c r="G903" s="24">
        <v>3.3564814814814816E-3</v>
      </c>
      <c r="H903" s="24">
        <v>0.4718</v>
      </c>
      <c r="I903" s="18">
        <f t="shared" si="71"/>
        <v>8.1989999999999997E-3</v>
      </c>
      <c r="J903" s="18">
        <f t="shared" si="75"/>
        <v>4.718E-3</v>
      </c>
      <c r="K903" s="19">
        <f t="shared" si="72"/>
        <v>56</v>
      </c>
      <c r="L903" s="18">
        <f t="shared" si="73"/>
        <v>0.18006430868167203</v>
      </c>
      <c r="M903" s="18">
        <f t="shared" si="74"/>
        <v>0.819935691318328</v>
      </c>
    </row>
    <row r="904" spans="1:13" x14ac:dyDescent="0.3">
      <c r="A904" s="22">
        <v>251</v>
      </c>
      <c r="B904" s="22">
        <v>210</v>
      </c>
      <c r="C904" s="23">
        <v>0.8367</v>
      </c>
      <c r="D904" s="22">
        <v>41</v>
      </c>
      <c r="E904" s="24">
        <v>3.0092592592592595E-4</v>
      </c>
      <c r="F904" s="24">
        <v>2.0138888888888888E-3</v>
      </c>
      <c r="G904" s="24">
        <v>6.4583333333333333E-3</v>
      </c>
      <c r="H904" s="24">
        <v>0.63519999999999999</v>
      </c>
      <c r="I904" s="18">
        <f t="shared" si="71"/>
        <v>8.3669999999999994E-3</v>
      </c>
      <c r="J904" s="18">
        <f t="shared" si="75"/>
        <v>6.352E-3</v>
      </c>
      <c r="K904" s="19">
        <f t="shared" si="72"/>
        <v>41</v>
      </c>
      <c r="L904" s="18">
        <f t="shared" si="73"/>
        <v>0.16334661354581673</v>
      </c>
      <c r="M904" s="18">
        <f t="shared" si="74"/>
        <v>0.8366533864541833</v>
      </c>
    </row>
    <row r="905" spans="1:13" x14ac:dyDescent="0.3">
      <c r="A905" s="22">
        <v>339</v>
      </c>
      <c r="B905" s="22">
        <v>313</v>
      </c>
      <c r="C905" s="23">
        <v>0.92330000000000001</v>
      </c>
      <c r="D905" s="22">
        <v>26</v>
      </c>
      <c r="E905" s="24">
        <v>1.3888888888888889E-4</v>
      </c>
      <c r="F905" s="24">
        <v>1.4120370370370369E-3</v>
      </c>
      <c r="G905" s="24">
        <v>4.6412037037037038E-3</v>
      </c>
      <c r="H905" s="24">
        <v>0.82089999999999996</v>
      </c>
      <c r="I905" s="18">
        <f t="shared" si="71"/>
        <v>9.2329999999999999E-3</v>
      </c>
      <c r="J905" s="18">
        <f t="shared" si="75"/>
        <v>8.2089999999999993E-3</v>
      </c>
      <c r="K905" s="19">
        <f t="shared" si="72"/>
        <v>26</v>
      </c>
      <c r="L905" s="18">
        <f t="shared" si="73"/>
        <v>7.6696165191740412E-2</v>
      </c>
      <c r="M905" s="18">
        <f t="shared" si="74"/>
        <v>0.92330383480825962</v>
      </c>
    </row>
    <row r="906" spans="1:13" x14ac:dyDescent="0.3">
      <c r="A906" s="22">
        <v>323</v>
      </c>
      <c r="B906" s="22">
        <v>261</v>
      </c>
      <c r="C906" s="23">
        <v>0.80800000000000005</v>
      </c>
      <c r="D906" s="22">
        <v>62</v>
      </c>
      <c r="E906" s="24">
        <v>4.7453703703703704E-4</v>
      </c>
      <c r="F906" s="24">
        <v>2.0486111111111113E-3</v>
      </c>
      <c r="G906" s="24">
        <v>6.5624999999999998E-3</v>
      </c>
      <c r="H906" s="24">
        <v>0.53990000000000005</v>
      </c>
      <c r="I906" s="18">
        <f t="shared" si="71"/>
        <v>8.0800000000000004E-3</v>
      </c>
      <c r="J906" s="18">
        <f t="shared" si="75"/>
        <v>5.3990000000000002E-3</v>
      </c>
      <c r="K906" s="19">
        <f t="shared" si="72"/>
        <v>62</v>
      </c>
      <c r="L906" s="18">
        <f t="shared" si="73"/>
        <v>0.19195046439628483</v>
      </c>
      <c r="M906" s="18">
        <f t="shared" si="74"/>
        <v>0.80804953560371517</v>
      </c>
    </row>
    <row r="907" spans="1:13" x14ac:dyDescent="0.3">
      <c r="A907" s="22">
        <v>289</v>
      </c>
      <c r="B907" s="22">
        <v>265</v>
      </c>
      <c r="C907" s="23">
        <v>0.91700000000000004</v>
      </c>
      <c r="D907" s="22">
        <v>24</v>
      </c>
      <c r="E907" s="24">
        <v>1.273148148148148E-4</v>
      </c>
      <c r="F907" s="24">
        <v>2.0833333333333333E-3</v>
      </c>
      <c r="G907" s="24">
        <v>3.9583333333333337E-3</v>
      </c>
      <c r="H907" s="24">
        <v>0.8327</v>
      </c>
      <c r="I907" s="18">
        <f t="shared" si="71"/>
        <v>9.1700000000000011E-3</v>
      </c>
      <c r="J907" s="18">
        <f t="shared" si="75"/>
        <v>8.3269999999999993E-3</v>
      </c>
      <c r="K907" s="19">
        <f t="shared" si="72"/>
        <v>24</v>
      </c>
      <c r="L907" s="18">
        <f t="shared" si="73"/>
        <v>8.3044982698961933E-2</v>
      </c>
      <c r="M907" s="18">
        <f t="shared" si="74"/>
        <v>0.91695501730103801</v>
      </c>
    </row>
    <row r="908" spans="1:13" x14ac:dyDescent="0.3">
      <c r="A908" s="22">
        <v>310</v>
      </c>
      <c r="B908" s="22">
        <v>281</v>
      </c>
      <c r="C908" s="23">
        <v>0.90649999999999997</v>
      </c>
      <c r="D908" s="22">
        <v>29</v>
      </c>
      <c r="E908" s="24">
        <v>1.7361111111111112E-4</v>
      </c>
      <c r="F908" s="24">
        <v>1.8634259259259259E-3</v>
      </c>
      <c r="G908" s="24">
        <v>2.0486111111111113E-3</v>
      </c>
      <c r="H908" s="24">
        <v>0.79120000000000001</v>
      </c>
      <c r="I908" s="18">
        <f t="shared" si="71"/>
        <v>9.0650000000000001E-3</v>
      </c>
      <c r="J908" s="18">
        <f t="shared" si="75"/>
        <v>7.9120000000000006E-3</v>
      </c>
      <c r="K908" s="19">
        <f t="shared" si="72"/>
        <v>29</v>
      </c>
      <c r="L908" s="18">
        <f t="shared" si="73"/>
        <v>9.3548387096774197E-2</v>
      </c>
      <c r="M908" s="18">
        <f t="shared" si="74"/>
        <v>0.90645161290322585</v>
      </c>
    </row>
    <row r="909" spans="1:13" x14ac:dyDescent="0.3">
      <c r="A909" s="22">
        <v>33</v>
      </c>
      <c r="B909" s="22">
        <v>31</v>
      </c>
      <c r="C909" s="23">
        <v>0.93940000000000001</v>
      </c>
      <c r="D909" s="22">
        <v>2</v>
      </c>
      <c r="E909" s="24">
        <v>1.6203703703703703E-4</v>
      </c>
      <c r="F909" s="24">
        <v>2.0023148148148148E-3</v>
      </c>
      <c r="G909" s="24">
        <v>1.4699074074074074E-3</v>
      </c>
      <c r="H909" s="24">
        <v>0.84850000000000003</v>
      </c>
      <c r="I909" s="18">
        <f t="shared" si="71"/>
        <v>9.3939999999999996E-3</v>
      </c>
      <c r="J909" s="18">
        <f t="shared" si="75"/>
        <v>8.4849999999999995E-3</v>
      </c>
      <c r="K909" s="19">
        <f t="shared" si="72"/>
        <v>2</v>
      </c>
      <c r="L909" s="18">
        <f t="shared" si="73"/>
        <v>6.0606060606060608E-2</v>
      </c>
      <c r="M909" s="18">
        <f t="shared" si="74"/>
        <v>0.93939393939393945</v>
      </c>
    </row>
    <row r="910" spans="1:13" x14ac:dyDescent="0.3">
      <c r="A910" s="22">
        <v>346</v>
      </c>
      <c r="B910" s="22">
        <v>318</v>
      </c>
      <c r="C910" s="23">
        <v>0.91910000000000003</v>
      </c>
      <c r="D910" s="22">
        <v>28</v>
      </c>
      <c r="E910" s="24">
        <v>1.3888888888888889E-4</v>
      </c>
      <c r="F910" s="24">
        <v>1.8055555555555555E-3</v>
      </c>
      <c r="G910" s="24">
        <v>2.4537037037037036E-3</v>
      </c>
      <c r="H910" s="24">
        <v>0.82489999999999997</v>
      </c>
      <c r="I910" s="18">
        <f t="shared" si="71"/>
        <v>9.1909999999999995E-3</v>
      </c>
      <c r="J910" s="18">
        <f t="shared" si="75"/>
        <v>8.2489999999999994E-3</v>
      </c>
      <c r="K910" s="19">
        <f t="shared" si="72"/>
        <v>28</v>
      </c>
      <c r="L910" s="18">
        <f t="shared" si="73"/>
        <v>8.0924855491329481E-2</v>
      </c>
      <c r="M910" s="18">
        <f t="shared" si="74"/>
        <v>0.91907514450867056</v>
      </c>
    </row>
    <row r="911" spans="1:13" x14ac:dyDescent="0.3">
      <c r="A911" s="22">
        <v>325</v>
      </c>
      <c r="B911" s="22">
        <v>285</v>
      </c>
      <c r="C911" s="23">
        <v>0.87690000000000001</v>
      </c>
      <c r="D911" s="22">
        <v>40</v>
      </c>
      <c r="E911" s="24">
        <v>3.7037037037037035E-4</v>
      </c>
      <c r="F911" s="24">
        <v>1.9097222222222222E-3</v>
      </c>
      <c r="G911" s="24">
        <v>6.7013888888888887E-3</v>
      </c>
      <c r="H911" s="24">
        <v>0.60819999999999996</v>
      </c>
      <c r="I911" s="18">
        <f t="shared" si="71"/>
        <v>8.7690000000000008E-3</v>
      </c>
      <c r="J911" s="18">
        <f t="shared" si="75"/>
        <v>6.0819999999999997E-3</v>
      </c>
      <c r="K911" s="19">
        <f t="shared" si="72"/>
        <v>40</v>
      </c>
      <c r="L911" s="18">
        <f t="shared" si="73"/>
        <v>0.12307692307692308</v>
      </c>
      <c r="M911" s="18">
        <f t="shared" si="74"/>
        <v>0.87692307692307692</v>
      </c>
    </row>
    <row r="912" spans="1:13" x14ac:dyDescent="0.3">
      <c r="A912" s="22">
        <v>627</v>
      </c>
      <c r="B912" s="22">
        <v>504</v>
      </c>
      <c r="C912" s="23">
        <v>0.80379999999999996</v>
      </c>
      <c r="D912" s="22">
        <v>123</v>
      </c>
      <c r="E912" s="24">
        <v>4.2824074074074075E-4</v>
      </c>
      <c r="F912" s="24">
        <v>2.3148148148148147E-3</v>
      </c>
      <c r="G912" s="24">
        <v>1.3680555555555555E-2</v>
      </c>
      <c r="H912" s="24">
        <v>0.56930000000000003</v>
      </c>
      <c r="I912" s="18">
        <f t="shared" si="71"/>
        <v>8.038E-3</v>
      </c>
      <c r="J912" s="18">
        <f t="shared" si="75"/>
        <v>5.6930000000000001E-3</v>
      </c>
      <c r="K912" s="19">
        <f t="shared" si="72"/>
        <v>123</v>
      </c>
      <c r="L912" s="18">
        <f t="shared" si="73"/>
        <v>0.19617224880382775</v>
      </c>
      <c r="M912" s="18">
        <f t="shared" si="74"/>
        <v>0.80382775119617222</v>
      </c>
    </row>
    <row r="913" spans="1:13" x14ac:dyDescent="0.3">
      <c r="A913" s="22">
        <v>905</v>
      </c>
      <c r="B913" s="22">
        <v>631</v>
      </c>
      <c r="C913" s="23">
        <v>0.69720000000000004</v>
      </c>
      <c r="D913" s="22">
        <v>274</v>
      </c>
      <c r="E913" s="24">
        <v>9.6064814814814819E-4</v>
      </c>
      <c r="F913" s="24">
        <v>2.5694444444444445E-3</v>
      </c>
      <c r="G913" s="24">
        <v>8.3796296296296292E-3</v>
      </c>
      <c r="H913" s="24">
        <v>0.25679999999999997</v>
      </c>
      <c r="I913" s="18">
        <f t="shared" si="71"/>
        <v>6.9720000000000008E-3</v>
      </c>
      <c r="J913" s="18">
        <f t="shared" si="75"/>
        <v>2.5679999999999995E-3</v>
      </c>
      <c r="K913" s="19">
        <f t="shared" si="72"/>
        <v>274</v>
      </c>
      <c r="L913" s="18">
        <f t="shared" si="73"/>
        <v>0.3027624309392265</v>
      </c>
      <c r="M913" s="18">
        <f t="shared" si="74"/>
        <v>0.6972375690607735</v>
      </c>
    </row>
    <row r="914" spans="1:13" x14ac:dyDescent="0.3">
      <c r="A914" s="22">
        <v>1141</v>
      </c>
      <c r="B914" s="22">
        <v>610</v>
      </c>
      <c r="C914" s="23">
        <v>0.53459999999999996</v>
      </c>
      <c r="D914" s="22">
        <v>531</v>
      </c>
      <c r="E914" s="24">
        <v>1.2268518518518518E-3</v>
      </c>
      <c r="F914" s="24">
        <v>2.2222222222222222E-3</v>
      </c>
      <c r="G914" s="24">
        <v>1.7951388888888888E-2</v>
      </c>
      <c r="H914" s="24">
        <v>0.14549999999999999</v>
      </c>
      <c r="I914" s="18">
        <f t="shared" si="71"/>
        <v>5.3460000000000001E-3</v>
      </c>
      <c r="J914" s="18">
        <f t="shared" si="75"/>
        <v>1.4549999999999999E-3</v>
      </c>
      <c r="K914" s="19">
        <f t="shared" si="72"/>
        <v>531</v>
      </c>
      <c r="L914" s="18">
        <f t="shared" si="73"/>
        <v>0.4653812445223488</v>
      </c>
      <c r="M914" s="18">
        <f t="shared" si="74"/>
        <v>0.53461875547765114</v>
      </c>
    </row>
    <row r="915" spans="1:13" x14ac:dyDescent="0.3">
      <c r="A915" s="22">
        <v>863</v>
      </c>
      <c r="B915" s="22">
        <v>511</v>
      </c>
      <c r="C915" s="23">
        <v>0.59209999999999996</v>
      </c>
      <c r="D915" s="22">
        <v>352</v>
      </c>
      <c r="E915" s="24">
        <v>1.4699074074074074E-3</v>
      </c>
      <c r="F915" s="24">
        <v>2.1180555555555558E-3</v>
      </c>
      <c r="G915" s="24">
        <v>1.0914351851851852E-2</v>
      </c>
      <c r="H915" s="24">
        <v>0.12130000000000001</v>
      </c>
      <c r="I915" s="18">
        <f t="shared" si="71"/>
        <v>5.9209999999999992E-3</v>
      </c>
      <c r="J915" s="18">
        <f t="shared" si="75"/>
        <v>1.2130000000000001E-3</v>
      </c>
      <c r="K915" s="19">
        <f t="shared" si="72"/>
        <v>352</v>
      </c>
      <c r="L915" s="18">
        <f t="shared" si="73"/>
        <v>0.40787949015063729</v>
      </c>
      <c r="M915" s="18">
        <f t="shared" si="74"/>
        <v>0.59212050984936271</v>
      </c>
    </row>
    <row r="916" spans="1:13" x14ac:dyDescent="0.3">
      <c r="A916" s="22">
        <v>63</v>
      </c>
      <c r="B916" s="22">
        <v>56</v>
      </c>
      <c r="C916" s="23">
        <v>0.88890000000000002</v>
      </c>
      <c r="D916" s="22">
        <v>7</v>
      </c>
      <c r="E916" s="24">
        <v>1.8518518518518518E-4</v>
      </c>
      <c r="F916" s="24">
        <v>1.7476851851851852E-3</v>
      </c>
      <c r="G916" s="24">
        <v>2.8703703703703703E-3</v>
      </c>
      <c r="H916" s="24">
        <v>0.7097</v>
      </c>
      <c r="I916" s="18">
        <f t="shared" si="71"/>
        <v>8.8890000000000011E-3</v>
      </c>
      <c r="J916" s="18">
        <f t="shared" si="75"/>
        <v>7.097E-3</v>
      </c>
      <c r="K916" s="19">
        <f t="shared" si="72"/>
        <v>7</v>
      </c>
      <c r="L916" s="18">
        <f t="shared" si="73"/>
        <v>0.1111111111111111</v>
      </c>
      <c r="M916" s="18">
        <f t="shared" si="74"/>
        <v>0.88888888888888884</v>
      </c>
    </row>
    <row r="917" spans="1:13" x14ac:dyDescent="0.3">
      <c r="A917" s="22">
        <v>573</v>
      </c>
      <c r="B917" s="22">
        <v>487</v>
      </c>
      <c r="C917" s="23">
        <v>0.84989999999999999</v>
      </c>
      <c r="D917" s="22">
        <v>86</v>
      </c>
      <c r="E917" s="24">
        <v>6.4814814814814813E-4</v>
      </c>
      <c r="F917" s="24">
        <v>1.9097222222222222E-3</v>
      </c>
      <c r="G917" s="24">
        <v>3.9699074074074072E-3</v>
      </c>
      <c r="H917" s="24">
        <v>0.34989999999999999</v>
      </c>
      <c r="I917" s="18">
        <f t="shared" si="71"/>
        <v>8.4989999999999996E-3</v>
      </c>
      <c r="J917" s="18">
        <f t="shared" si="75"/>
        <v>3.4989999999999999E-3</v>
      </c>
      <c r="K917" s="19">
        <f t="shared" si="72"/>
        <v>86</v>
      </c>
      <c r="L917" s="18">
        <f t="shared" si="73"/>
        <v>0.15008726003490402</v>
      </c>
      <c r="M917" s="18">
        <f t="shared" si="74"/>
        <v>0.84991273996509598</v>
      </c>
    </row>
    <row r="918" spans="1:13" x14ac:dyDescent="0.3">
      <c r="A918" s="22">
        <v>391</v>
      </c>
      <c r="B918" s="22">
        <v>323</v>
      </c>
      <c r="C918" s="23">
        <v>0.82609999999999995</v>
      </c>
      <c r="D918" s="22">
        <v>68</v>
      </c>
      <c r="E918" s="24">
        <v>5.3240740740740744E-4</v>
      </c>
      <c r="F918" s="24">
        <v>2.1759259259259258E-3</v>
      </c>
      <c r="G918" s="24">
        <v>5.7407407407407407E-3</v>
      </c>
      <c r="H918" s="24">
        <v>0.42709999999999998</v>
      </c>
      <c r="I918" s="18">
        <f t="shared" si="71"/>
        <v>8.2609999999999992E-3</v>
      </c>
      <c r="J918" s="18">
        <f t="shared" si="75"/>
        <v>4.2709999999999996E-3</v>
      </c>
      <c r="K918" s="19">
        <f t="shared" si="72"/>
        <v>68</v>
      </c>
      <c r="L918" s="18">
        <f t="shared" si="73"/>
        <v>0.17391304347826086</v>
      </c>
      <c r="M918" s="18">
        <f t="shared" si="74"/>
        <v>0.82608695652173914</v>
      </c>
    </row>
    <row r="919" spans="1:13" x14ac:dyDescent="0.3">
      <c r="A919" s="22">
        <v>526</v>
      </c>
      <c r="B919" s="22">
        <v>355</v>
      </c>
      <c r="C919" s="23">
        <v>0.67490000000000006</v>
      </c>
      <c r="D919" s="22">
        <v>171</v>
      </c>
      <c r="E919" s="24">
        <v>1.0300925925925926E-3</v>
      </c>
      <c r="F919" s="24">
        <v>2.662037037037037E-3</v>
      </c>
      <c r="G919" s="24">
        <v>1.3043981481481481E-2</v>
      </c>
      <c r="H919" s="24">
        <v>0.224</v>
      </c>
      <c r="I919" s="18">
        <f t="shared" si="71"/>
        <v>6.7490000000000007E-3</v>
      </c>
      <c r="J919" s="18">
        <f t="shared" si="75"/>
        <v>2.2400000000000002E-3</v>
      </c>
      <c r="K919" s="19">
        <f t="shared" si="72"/>
        <v>171</v>
      </c>
      <c r="L919" s="18">
        <f t="shared" si="73"/>
        <v>0.32509505703422054</v>
      </c>
      <c r="M919" s="18">
        <f t="shared" si="74"/>
        <v>0.67490494296577952</v>
      </c>
    </row>
    <row r="920" spans="1:13" x14ac:dyDescent="0.3">
      <c r="A920" s="22">
        <v>343</v>
      </c>
      <c r="B920" s="22">
        <v>309</v>
      </c>
      <c r="C920" s="23">
        <v>0.90090000000000003</v>
      </c>
      <c r="D920" s="22">
        <v>34</v>
      </c>
      <c r="E920" s="24">
        <v>4.5138888888888887E-4</v>
      </c>
      <c r="F920" s="24">
        <v>2.3611111111111111E-3</v>
      </c>
      <c r="G920" s="24">
        <v>3.5879629629629629E-3</v>
      </c>
      <c r="H920" s="24">
        <v>0.48820000000000002</v>
      </c>
      <c r="I920" s="18">
        <f t="shared" si="71"/>
        <v>9.0089999999999996E-3</v>
      </c>
      <c r="J920" s="18">
        <f t="shared" si="75"/>
        <v>4.8820000000000001E-3</v>
      </c>
      <c r="K920" s="19">
        <f t="shared" si="72"/>
        <v>34</v>
      </c>
      <c r="L920" s="18">
        <f t="shared" si="73"/>
        <v>9.9125364431486881E-2</v>
      </c>
      <c r="M920" s="18">
        <f t="shared" si="74"/>
        <v>0.9008746355685131</v>
      </c>
    </row>
    <row r="921" spans="1:13" x14ac:dyDescent="0.3">
      <c r="A921" s="22">
        <v>401</v>
      </c>
      <c r="B921" s="22">
        <v>346</v>
      </c>
      <c r="C921" s="23">
        <v>0.86280000000000001</v>
      </c>
      <c r="D921" s="22">
        <v>55</v>
      </c>
      <c r="E921" s="24">
        <v>4.7453703703703704E-4</v>
      </c>
      <c r="F921" s="24">
        <v>2.2337962962962962E-3</v>
      </c>
      <c r="G921" s="24">
        <v>3.5879629629629629E-3</v>
      </c>
      <c r="H921" s="24">
        <v>0.44269999999999998</v>
      </c>
      <c r="I921" s="18">
        <f t="shared" si="71"/>
        <v>8.6280000000000003E-3</v>
      </c>
      <c r="J921" s="18">
        <f t="shared" si="75"/>
        <v>4.4269999999999995E-3</v>
      </c>
      <c r="K921" s="19">
        <f t="shared" si="72"/>
        <v>55</v>
      </c>
      <c r="L921" s="18">
        <f t="shared" si="73"/>
        <v>0.13715710723192021</v>
      </c>
      <c r="M921" s="18">
        <f t="shared" si="74"/>
        <v>0.86284289276807979</v>
      </c>
    </row>
    <row r="922" spans="1:13" x14ac:dyDescent="0.3">
      <c r="A922" s="22">
        <v>281</v>
      </c>
      <c r="B922" s="22">
        <v>239</v>
      </c>
      <c r="C922" s="23">
        <v>0.85050000000000003</v>
      </c>
      <c r="D922" s="22">
        <v>42</v>
      </c>
      <c r="E922" s="24">
        <v>4.7453703703703704E-4</v>
      </c>
      <c r="F922" s="24">
        <v>2.1643518518518518E-3</v>
      </c>
      <c r="G922" s="24">
        <v>2.3148148148148147E-3</v>
      </c>
      <c r="H922" s="24">
        <v>0.42549999999999999</v>
      </c>
      <c r="I922" s="18">
        <f t="shared" si="71"/>
        <v>8.5050000000000004E-3</v>
      </c>
      <c r="J922" s="18">
        <f t="shared" si="75"/>
        <v>4.2550000000000001E-3</v>
      </c>
      <c r="K922" s="19">
        <f t="shared" si="72"/>
        <v>42</v>
      </c>
      <c r="L922" s="18">
        <f t="shared" si="73"/>
        <v>0.1494661921708185</v>
      </c>
      <c r="M922" s="18">
        <f t="shared" si="74"/>
        <v>0.85053380782918153</v>
      </c>
    </row>
    <row r="923" spans="1:13" x14ac:dyDescent="0.3">
      <c r="A923" s="22">
        <v>46</v>
      </c>
      <c r="B923" s="22">
        <v>39</v>
      </c>
      <c r="C923" s="23">
        <v>0.8478</v>
      </c>
      <c r="D923" s="22">
        <v>7</v>
      </c>
      <c r="E923" s="24">
        <v>1.273148148148148E-4</v>
      </c>
      <c r="F923" s="24">
        <v>2.1875000000000002E-3</v>
      </c>
      <c r="G923" s="24">
        <v>2.8819444444444444E-3</v>
      </c>
      <c r="H923" s="24">
        <v>0.80430000000000001</v>
      </c>
      <c r="I923" s="18">
        <f t="shared" si="71"/>
        <v>8.4779999999999994E-3</v>
      </c>
      <c r="J923" s="18">
        <f t="shared" si="75"/>
        <v>8.0429999999999998E-3</v>
      </c>
      <c r="K923" s="19">
        <f t="shared" si="72"/>
        <v>7</v>
      </c>
      <c r="L923" s="18">
        <f t="shared" si="73"/>
        <v>0.15217391304347827</v>
      </c>
      <c r="M923" s="18">
        <f t="shared" si="74"/>
        <v>0.84782608695652173</v>
      </c>
    </row>
    <row r="924" spans="1:13" x14ac:dyDescent="0.3">
      <c r="A924" s="22">
        <v>357</v>
      </c>
      <c r="B924" s="22">
        <v>323</v>
      </c>
      <c r="C924" s="23">
        <v>0.90480000000000005</v>
      </c>
      <c r="D924" s="22">
        <v>34</v>
      </c>
      <c r="E924" s="24">
        <v>3.7037037037037035E-4</v>
      </c>
      <c r="F924" s="24">
        <v>2.1759259259259258E-3</v>
      </c>
      <c r="G924" s="24">
        <v>5.0231481481481481E-3</v>
      </c>
      <c r="H924" s="24">
        <v>0.60909999999999997</v>
      </c>
      <c r="I924" s="18">
        <f t="shared" si="71"/>
        <v>9.0480000000000005E-3</v>
      </c>
      <c r="J924" s="18">
        <f t="shared" si="75"/>
        <v>6.0910000000000001E-3</v>
      </c>
      <c r="K924" s="19">
        <f t="shared" si="72"/>
        <v>34</v>
      </c>
      <c r="L924" s="18">
        <f t="shared" si="73"/>
        <v>9.5238095238095233E-2</v>
      </c>
      <c r="M924" s="18">
        <f t="shared" si="74"/>
        <v>0.90476190476190477</v>
      </c>
    </row>
    <row r="925" spans="1:13" x14ac:dyDescent="0.3">
      <c r="A925" s="22">
        <v>280</v>
      </c>
      <c r="B925" s="22">
        <v>255</v>
      </c>
      <c r="C925" s="23">
        <v>0.91069999999999995</v>
      </c>
      <c r="D925" s="22">
        <v>25</v>
      </c>
      <c r="E925" s="24">
        <v>3.9351851851851852E-4</v>
      </c>
      <c r="F925" s="24">
        <v>2.1064814814814813E-3</v>
      </c>
      <c r="G925" s="24">
        <v>2.4421296296296296E-3</v>
      </c>
      <c r="H925" s="24">
        <v>0.52900000000000003</v>
      </c>
      <c r="I925" s="18">
        <f t="shared" si="71"/>
        <v>9.1069999999999988E-3</v>
      </c>
      <c r="J925" s="18">
        <f t="shared" si="75"/>
        <v>5.2900000000000004E-3</v>
      </c>
      <c r="K925" s="19">
        <f t="shared" si="72"/>
        <v>25</v>
      </c>
      <c r="L925" s="18">
        <f t="shared" si="73"/>
        <v>8.9285714285714288E-2</v>
      </c>
      <c r="M925" s="18">
        <f t="shared" si="74"/>
        <v>0.9107142857142857</v>
      </c>
    </row>
    <row r="926" spans="1:13" x14ac:dyDescent="0.3">
      <c r="A926" s="22">
        <v>258</v>
      </c>
      <c r="B926" s="22">
        <v>247</v>
      </c>
      <c r="C926" s="23">
        <v>0.95740000000000003</v>
      </c>
      <c r="D926" s="22">
        <v>11</v>
      </c>
      <c r="E926" s="24">
        <v>2.8935185185185184E-4</v>
      </c>
      <c r="F926" s="24">
        <v>2.0486111111111113E-3</v>
      </c>
      <c r="G926" s="24">
        <v>2.9166666666666668E-3</v>
      </c>
      <c r="H926" s="24">
        <v>0.70199999999999996</v>
      </c>
      <c r="I926" s="18">
        <f t="shared" si="71"/>
        <v>9.5740000000000009E-3</v>
      </c>
      <c r="J926" s="18">
        <f t="shared" si="75"/>
        <v>7.0199999999999993E-3</v>
      </c>
      <c r="K926" s="19">
        <f t="shared" si="72"/>
        <v>11</v>
      </c>
      <c r="L926" s="18">
        <f t="shared" si="73"/>
        <v>4.2635658914728682E-2</v>
      </c>
      <c r="M926" s="18">
        <f t="shared" si="74"/>
        <v>0.95736434108527135</v>
      </c>
    </row>
    <row r="927" spans="1:13" x14ac:dyDescent="0.3">
      <c r="A927" s="22">
        <v>282</v>
      </c>
      <c r="B927" s="22">
        <v>255</v>
      </c>
      <c r="C927" s="23">
        <v>0.90429999999999999</v>
      </c>
      <c r="D927" s="22">
        <v>27</v>
      </c>
      <c r="E927" s="24">
        <v>2.0833333333333335E-4</v>
      </c>
      <c r="F927" s="24">
        <v>1.9328703703703704E-3</v>
      </c>
      <c r="G927" s="24">
        <v>2.8819444444444444E-3</v>
      </c>
      <c r="H927" s="24">
        <v>0.74729999999999996</v>
      </c>
      <c r="I927" s="18">
        <f t="shared" si="71"/>
        <v>9.0430000000000007E-3</v>
      </c>
      <c r="J927" s="18">
        <f t="shared" si="75"/>
        <v>7.4729999999999996E-3</v>
      </c>
      <c r="K927" s="19">
        <f t="shared" si="72"/>
        <v>27</v>
      </c>
      <c r="L927" s="18">
        <f t="shared" si="73"/>
        <v>9.5744680851063829E-2</v>
      </c>
      <c r="M927" s="18">
        <f t="shared" si="74"/>
        <v>0.9042553191489362</v>
      </c>
    </row>
    <row r="928" spans="1:13" x14ac:dyDescent="0.3">
      <c r="A928" s="22">
        <v>253</v>
      </c>
      <c r="B928" s="22">
        <v>240</v>
      </c>
      <c r="C928" s="23">
        <v>0.9486</v>
      </c>
      <c r="D928" s="22">
        <v>13</v>
      </c>
      <c r="E928" s="24">
        <v>2.0833333333333335E-4</v>
      </c>
      <c r="F928" s="24">
        <v>1.8634259259259259E-3</v>
      </c>
      <c r="G928" s="24">
        <v>4.2939814814814811E-3</v>
      </c>
      <c r="H928" s="24">
        <v>0.752</v>
      </c>
      <c r="I928" s="18">
        <f t="shared" si="71"/>
        <v>9.4859999999999996E-3</v>
      </c>
      <c r="J928" s="18">
        <f t="shared" si="75"/>
        <v>7.5199999999999998E-3</v>
      </c>
      <c r="K928" s="19">
        <f t="shared" si="72"/>
        <v>13</v>
      </c>
      <c r="L928" s="18">
        <f t="shared" si="73"/>
        <v>5.1383399209486168E-2</v>
      </c>
      <c r="M928" s="18">
        <f t="shared" si="74"/>
        <v>0.9486166007905138</v>
      </c>
    </row>
    <row r="929" spans="1:13" x14ac:dyDescent="0.3">
      <c r="A929" s="22">
        <v>266</v>
      </c>
      <c r="B929" s="22">
        <v>232</v>
      </c>
      <c r="C929" s="23">
        <v>0.87219999999999998</v>
      </c>
      <c r="D929" s="22">
        <v>34</v>
      </c>
      <c r="E929" s="24">
        <v>4.2824074074074075E-4</v>
      </c>
      <c r="F929" s="24">
        <v>1.9560185185185184E-3</v>
      </c>
      <c r="G929" s="24">
        <v>4.2939814814814811E-3</v>
      </c>
      <c r="H929" s="24">
        <v>0.57589999999999997</v>
      </c>
      <c r="I929" s="18">
        <f t="shared" si="71"/>
        <v>8.7220000000000006E-3</v>
      </c>
      <c r="J929" s="18">
        <f t="shared" si="75"/>
        <v>5.7589999999999994E-3</v>
      </c>
      <c r="K929" s="19">
        <f t="shared" si="72"/>
        <v>34</v>
      </c>
      <c r="L929" s="18">
        <f t="shared" si="73"/>
        <v>0.12781954887218044</v>
      </c>
      <c r="M929" s="18">
        <f t="shared" si="74"/>
        <v>0.8721804511278195</v>
      </c>
    </row>
    <row r="930" spans="1:13" x14ac:dyDescent="0.3">
      <c r="A930" s="22">
        <v>30</v>
      </c>
      <c r="B930" s="22">
        <v>29</v>
      </c>
      <c r="C930" s="23">
        <v>0.9667</v>
      </c>
      <c r="D930" s="22">
        <v>1</v>
      </c>
      <c r="E930" s="24">
        <v>1.1574074074074075E-4</v>
      </c>
      <c r="F930" s="24">
        <v>2.3263888888888887E-3</v>
      </c>
      <c r="G930" s="24">
        <v>5.6712962962962967E-4</v>
      </c>
      <c r="H930" s="24">
        <v>0.9</v>
      </c>
      <c r="I930" s="18">
        <f t="shared" si="71"/>
        <v>9.6670000000000002E-3</v>
      </c>
      <c r="J930" s="18">
        <f t="shared" si="75"/>
        <v>9.0000000000000011E-3</v>
      </c>
      <c r="K930" s="19">
        <f t="shared" si="72"/>
        <v>1</v>
      </c>
      <c r="L930" s="18">
        <f t="shared" si="73"/>
        <v>3.3333333333333333E-2</v>
      </c>
      <c r="M930" s="18">
        <f t="shared" si="74"/>
        <v>0.96666666666666667</v>
      </c>
    </row>
    <row r="931" spans="1:13" x14ac:dyDescent="0.3">
      <c r="A931" s="22">
        <v>258</v>
      </c>
      <c r="B931" s="22">
        <v>230</v>
      </c>
      <c r="C931" s="23">
        <v>0.89149999999999996</v>
      </c>
      <c r="D931" s="22">
        <v>28</v>
      </c>
      <c r="E931" s="24">
        <v>3.8194444444444446E-4</v>
      </c>
      <c r="F931" s="24">
        <v>2.0949074074074073E-3</v>
      </c>
      <c r="G931" s="24">
        <v>2.9398148148148148E-3</v>
      </c>
      <c r="H931" s="24">
        <v>0.53539999999999999</v>
      </c>
      <c r="I931" s="18">
        <f t="shared" si="71"/>
        <v>8.9149999999999993E-3</v>
      </c>
      <c r="J931" s="18">
        <f t="shared" si="75"/>
        <v>5.3540000000000003E-3</v>
      </c>
      <c r="K931" s="19">
        <f t="shared" si="72"/>
        <v>28</v>
      </c>
      <c r="L931" s="18">
        <f t="shared" si="73"/>
        <v>0.10852713178294573</v>
      </c>
      <c r="M931" s="18">
        <f t="shared" si="74"/>
        <v>0.89147286821705429</v>
      </c>
    </row>
    <row r="932" spans="1:13" x14ac:dyDescent="0.3">
      <c r="A932" s="22">
        <v>293</v>
      </c>
      <c r="B932" s="22">
        <v>282</v>
      </c>
      <c r="C932" s="23">
        <v>0.96250000000000002</v>
      </c>
      <c r="D932" s="22">
        <v>11</v>
      </c>
      <c r="E932" s="24">
        <v>2.6620370370370372E-4</v>
      </c>
      <c r="F932" s="24">
        <v>1.8402777777777777E-3</v>
      </c>
      <c r="G932" s="24">
        <v>1.8287037037037037E-3</v>
      </c>
      <c r="H932" s="24">
        <v>0.70240000000000002</v>
      </c>
      <c r="I932" s="18">
        <f t="shared" si="71"/>
        <v>9.6249999999999999E-3</v>
      </c>
      <c r="J932" s="18">
        <f t="shared" si="75"/>
        <v>7.0239999999999999E-3</v>
      </c>
      <c r="K932" s="19">
        <f t="shared" si="72"/>
        <v>11</v>
      </c>
      <c r="L932" s="18">
        <f t="shared" si="73"/>
        <v>3.7542662116040959E-2</v>
      </c>
      <c r="M932" s="18">
        <f t="shared" si="74"/>
        <v>0.96245733788395904</v>
      </c>
    </row>
    <row r="933" spans="1:13" x14ac:dyDescent="0.3">
      <c r="A933" s="22">
        <v>377</v>
      </c>
      <c r="B933" s="22">
        <v>341</v>
      </c>
      <c r="C933" s="23">
        <v>0.90449999999999997</v>
      </c>
      <c r="D933" s="22">
        <v>36</v>
      </c>
      <c r="E933" s="24">
        <v>2.3148148148148149E-4</v>
      </c>
      <c r="F933" s="24">
        <v>1.6319444444444445E-3</v>
      </c>
      <c r="G933" s="24">
        <v>2.1875000000000002E-3</v>
      </c>
      <c r="H933" s="24">
        <v>0.68279999999999996</v>
      </c>
      <c r="I933" s="18">
        <f t="shared" si="71"/>
        <v>9.0449999999999992E-3</v>
      </c>
      <c r="J933" s="18">
        <f t="shared" si="75"/>
        <v>6.8279999999999999E-3</v>
      </c>
      <c r="K933" s="19">
        <f t="shared" si="72"/>
        <v>36</v>
      </c>
      <c r="L933" s="18">
        <f t="shared" si="73"/>
        <v>9.5490716180371346E-2</v>
      </c>
      <c r="M933" s="18">
        <f t="shared" si="74"/>
        <v>0.9045092838196287</v>
      </c>
    </row>
    <row r="934" spans="1:13" x14ac:dyDescent="0.3">
      <c r="A934" s="22">
        <v>196</v>
      </c>
      <c r="B934" s="22">
        <v>182</v>
      </c>
      <c r="C934" s="23">
        <v>0.92859999999999998</v>
      </c>
      <c r="D934" s="22">
        <v>14</v>
      </c>
      <c r="E934" s="24">
        <v>3.2407407407407406E-4</v>
      </c>
      <c r="F934" s="24">
        <v>1.8171296296296297E-3</v>
      </c>
      <c r="G934" s="24">
        <v>2.0138888888888888E-3</v>
      </c>
      <c r="H934" s="24">
        <v>0.61860000000000004</v>
      </c>
      <c r="I934" s="18">
        <f t="shared" si="71"/>
        <v>9.2859999999999991E-3</v>
      </c>
      <c r="J934" s="18">
        <f t="shared" si="75"/>
        <v>6.1860000000000005E-3</v>
      </c>
      <c r="K934" s="19">
        <f t="shared" si="72"/>
        <v>14</v>
      </c>
      <c r="L934" s="18">
        <f t="shared" si="73"/>
        <v>7.1428571428571425E-2</v>
      </c>
      <c r="M934" s="18">
        <f t="shared" si="74"/>
        <v>0.9285714285714286</v>
      </c>
    </row>
    <row r="935" spans="1:13" x14ac:dyDescent="0.3">
      <c r="A935" s="22">
        <v>192</v>
      </c>
      <c r="B935" s="22">
        <v>173</v>
      </c>
      <c r="C935" s="23">
        <v>0.90100000000000002</v>
      </c>
      <c r="D935" s="22">
        <v>19</v>
      </c>
      <c r="E935" s="24">
        <v>3.8194444444444446E-4</v>
      </c>
      <c r="F935" s="24">
        <v>1.8981481481481482E-3</v>
      </c>
      <c r="G935" s="24">
        <v>4.6180555555555558E-3</v>
      </c>
      <c r="H935" s="24">
        <v>0.61780000000000002</v>
      </c>
      <c r="I935" s="18">
        <f t="shared" si="71"/>
        <v>9.0100000000000006E-3</v>
      </c>
      <c r="J935" s="18">
        <f t="shared" si="75"/>
        <v>6.1780000000000003E-3</v>
      </c>
      <c r="K935" s="19">
        <f t="shared" si="72"/>
        <v>19</v>
      </c>
      <c r="L935" s="18">
        <f t="shared" si="73"/>
        <v>9.8958333333333329E-2</v>
      </c>
      <c r="M935" s="18">
        <f t="shared" si="74"/>
        <v>0.90104166666666663</v>
      </c>
    </row>
    <row r="936" spans="1:13" x14ac:dyDescent="0.3">
      <c r="A936" s="22">
        <v>185</v>
      </c>
      <c r="B936" s="22">
        <v>178</v>
      </c>
      <c r="C936" s="23">
        <v>0.96220000000000006</v>
      </c>
      <c r="D936" s="22">
        <v>7</v>
      </c>
      <c r="E936" s="24">
        <v>1.9675925925925926E-4</v>
      </c>
      <c r="F936" s="24">
        <v>1.9212962962962964E-3</v>
      </c>
      <c r="G936" s="24">
        <v>2.1875000000000002E-3</v>
      </c>
      <c r="H936" s="24">
        <v>0.7772</v>
      </c>
      <c r="I936" s="18">
        <f t="shared" si="71"/>
        <v>9.6220000000000003E-3</v>
      </c>
      <c r="J936" s="18">
        <f t="shared" si="75"/>
        <v>7.7720000000000003E-3</v>
      </c>
      <c r="K936" s="19">
        <f t="shared" si="72"/>
        <v>7</v>
      </c>
      <c r="L936" s="18">
        <f t="shared" si="73"/>
        <v>3.783783783783784E-2</v>
      </c>
      <c r="M936" s="18">
        <f t="shared" si="74"/>
        <v>0.96216216216216222</v>
      </c>
    </row>
    <row r="937" spans="1:13" x14ac:dyDescent="0.3">
      <c r="A937" s="22">
        <v>27</v>
      </c>
      <c r="B937" s="22">
        <v>25</v>
      </c>
      <c r="C937" s="23">
        <v>0.92589999999999995</v>
      </c>
      <c r="D937" s="22">
        <v>2</v>
      </c>
      <c r="E937" s="24">
        <v>2.0833333333333335E-4</v>
      </c>
      <c r="F937" s="24">
        <v>1.4930555555555556E-3</v>
      </c>
      <c r="G937" s="24">
        <v>2.1643518518518518E-3</v>
      </c>
      <c r="H937" s="24">
        <v>0.74070000000000003</v>
      </c>
      <c r="I937" s="18">
        <f t="shared" si="71"/>
        <v>9.2589999999999999E-3</v>
      </c>
      <c r="J937" s="18">
        <f t="shared" si="75"/>
        <v>7.4070000000000004E-3</v>
      </c>
      <c r="K937" s="19">
        <f t="shared" si="72"/>
        <v>2</v>
      </c>
      <c r="L937" s="18">
        <f t="shared" si="73"/>
        <v>7.407407407407407E-2</v>
      </c>
      <c r="M937" s="18">
        <f t="shared" si="74"/>
        <v>0.92592592592592593</v>
      </c>
    </row>
    <row r="938" spans="1:13" x14ac:dyDescent="0.3">
      <c r="A938" s="22">
        <v>222</v>
      </c>
      <c r="B938" s="22">
        <v>214</v>
      </c>
      <c r="C938" s="23">
        <v>0.96399999999999997</v>
      </c>
      <c r="D938" s="22">
        <v>8</v>
      </c>
      <c r="E938" s="24">
        <v>2.0833333333333335E-4</v>
      </c>
      <c r="F938" s="24">
        <v>2.0486111111111113E-3</v>
      </c>
      <c r="G938" s="24">
        <v>4.3055555555555555E-3</v>
      </c>
      <c r="H938" s="24">
        <v>0.74660000000000004</v>
      </c>
      <c r="I938" s="18">
        <f t="shared" si="71"/>
        <v>9.6399999999999993E-3</v>
      </c>
      <c r="J938" s="18">
        <f t="shared" si="75"/>
        <v>7.4660000000000004E-3</v>
      </c>
      <c r="K938" s="19">
        <f t="shared" si="72"/>
        <v>8</v>
      </c>
      <c r="L938" s="18">
        <f t="shared" si="73"/>
        <v>3.6036036036036036E-2</v>
      </c>
      <c r="M938" s="18">
        <f t="shared" si="74"/>
        <v>0.963963963963964</v>
      </c>
    </row>
    <row r="939" spans="1:13" x14ac:dyDescent="0.3">
      <c r="A939" s="22">
        <v>217</v>
      </c>
      <c r="B939" s="22">
        <v>198</v>
      </c>
      <c r="C939" s="23">
        <v>0.91239999999999999</v>
      </c>
      <c r="D939" s="22">
        <v>19</v>
      </c>
      <c r="E939" s="24">
        <v>1.0416666666666667E-4</v>
      </c>
      <c r="F939" s="24">
        <v>1.8865740740740742E-3</v>
      </c>
      <c r="G939" s="24">
        <v>2.0486111111111113E-3</v>
      </c>
      <c r="H939" s="24">
        <v>0.88829999999999998</v>
      </c>
      <c r="I939" s="18">
        <f t="shared" si="71"/>
        <v>9.1240000000000002E-3</v>
      </c>
      <c r="J939" s="18">
        <f t="shared" si="75"/>
        <v>8.8830000000000003E-3</v>
      </c>
      <c r="K939" s="19">
        <f t="shared" si="72"/>
        <v>19</v>
      </c>
      <c r="L939" s="18">
        <f t="shared" si="73"/>
        <v>8.755760368663594E-2</v>
      </c>
      <c r="M939" s="18">
        <f t="shared" si="74"/>
        <v>0.9124423963133641</v>
      </c>
    </row>
    <row r="940" spans="1:13" x14ac:dyDescent="0.3">
      <c r="A940" s="22">
        <v>204</v>
      </c>
      <c r="B940" s="22">
        <v>197</v>
      </c>
      <c r="C940" s="23">
        <v>0.9657</v>
      </c>
      <c r="D940" s="22">
        <v>7</v>
      </c>
      <c r="E940" s="24">
        <v>1.9675925925925926E-4</v>
      </c>
      <c r="F940" s="24">
        <v>1.8518518518518519E-3</v>
      </c>
      <c r="G940" s="24">
        <v>2.662037037037037E-3</v>
      </c>
      <c r="H940" s="24">
        <v>0.79700000000000004</v>
      </c>
      <c r="I940" s="18">
        <f t="shared" si="71"/>
        <v>9.6570000000000007E-3</v>
      </c>
      <c r="J940" s="18">
        <f t="shared" si="75"/>
        <v>7.9699999999999997E-3</v>
      </c>
      <c r="K940" s="19">
        <f t="shared" si="72"/>
        <v>7</v>
      </c>
      <c r="L940" s="18">
        <f t="shared" si="73"/>
        <v>3.4313725490196081E-2</v>
      </c>
      <c r="M940" s="18">
        <f t="shared" si="74"/>
        <v>0.96568627450980393</v>
      </c>
    </row>
    <row r="941" spans="1:13" x14ac:dyDescent="0.3">
      <c r="A941" s="22">
        <v>191</v>
      </c>
      <c r="B941" s="22">
        <v>181</v>
      </c>
      <c r="C941" s="23">
        <v>0.9476</v>
      </c>
      <c r="D941" s="22">
        <v>10</v>
      </c>
      <c r="E941" s="24">
        <v>1.3888888888888889E-4</v>
      </c>
      <c r="F941" s="24">
        <v>1.9212962962962964E-3</v>
      </c>
      <c r="G941" s="24">
        <v>3.2870370370370371E-3</v>
      </c>
      <c r="H941" s="24">
        <v>0.87229999999999996</v>
      </c>
      <c r="I941" s="18">
        <f t="shared" si="71"/>
        <v>9.476E-3</v>
      </c>
      <c r="J941" s="18">
        <f t="shared" si="75"/>
        <v>8.7229999999999999E-3</v>
      </c>
      <c r="K941" s="19">
        <f t="shared" si="72"/>
        <v>10</v>
      </c>
      <c r="L941" s="18">
        <f t="shared" si="73"/>
        <v>5.2356020942408377E-2</v>
      </c>
      <c r="M941" s="18">
        <f t="shared" si="74"/>
        <v>0.94764397905759157</v>
      </c>
    </row>
    <row r="942" spans="1:13" x14ac:dyDescent="0.3">
      <c r="A942" s="22">
        <v>176</v>
      </c>
      <c r="B942" s="22">
        <v>157</v>
      </c>
      <c r="C942" s="23">
        <v>0.89200000000000002</v>
      </c>
      <c r="D942" s="22">
        <v>19</v>
      </c>
      <c r="E942" s="24">
        <v>1.9675925925925926E-4</v>
      </c>
      <c r="F942" s="24">
        <v>1.9791666666666668E-3</v>
      </c>
      <c r="G942" s="24">
        <v>2.8703703703703703E-3</v>
      </c>
      <c r="H942" s="24">
        <v>0.73529999999999995</v>
      </c>
      <c r="I942" s="18">
        <f t="shared" si="71"/>
        <v>8.9200000000000008E-3</v>
      </c>
      <c r="J942" s="18">
        <f t="shared" si="75"/>
        <v>7.3529999999999993E-3</v>
      </c>
      <c r="K942" s="19">
        <f t="shared" si="72"/>
        <v>19</v>
      </c>
      <c r="L942" s="18">
        <f t="shared" si="73"/>
        <v>0.10795454545454546</v>
      </c>
      <c r="M942" s="18">
        <f t="shared" si="74"/>
        <v>0.89204545454545459</v>
      </c>
    </row>
    <row r="943" spans="1:13" x14ac:dyDescent="0.3">
      <c r="A943" s="22">
        <v>176</v>
      </c>
      <c r="B943" s="22">
        <v>163</v>
      </c>
      <c r="C943" s="23">
        <v>0.92610000000000003</v>
      </c>
      <c r="D943" s="22">
        <v>13</v>
      </c>
      <c r="E943" s="24">
        <v>2.7777777777777778E-4</v>
      </c>
      <c r="F943" s="24">
        <v>2.2106481481481482E-3</v>
      </c>
      <c r="G943" s="24">
        <v>2.1643518518518518E-3</v>
      </c>
      <c r="H943" s="24">
        <v>0.64159999999999995</v>
      </c>
      <c r="I943" s="18">
        <f t="shared" si="71"/>
        <v>9.2610000000000001E-3</v>
      </c>
      <c r="J943" s="18">
        <f t="shared" si="75"/>
        <v>6.4159999999999998E-3</v>
      </c>
      <c r="K943" s="19">
        <f t="shared" si="72"/>
        <v>13</v>
      </c>
      <c r="L943" s="18">
        <f t="shared" si="73"/>
        <v>7.3863636363636367E-2</v>
      </c>
      <c r="M943" s="18">
        <f t="shared" si="74"/>
        <v>0.92613636363636365</v>
      </c>
    </row>
    <row r="944" spans="1:13" x14ac:dyDescent="0.3">
      <c r="A944" s="22">
        <v>26</v>
      </c>
      <c r="B944" s="22">
        <v>26</v>
      </c>
      <c r="C944" s="23">
        <v>1</v>
      </c>
      <c r="D944" s="22">
        <v>0</v>
      </c>
      <c r="E944" s="24">
        <v>2.7777777777777778E-4</v>
      </c>
      <c r="F944" s="24">
        <v>2.1180555555555558E-3</v>
      </c>
      <c r="G944" s="24">
        <v>1.3541666666666667E-3</v>
      </c>
      <c r="H944" s="24">
        <v>0.69230000000000003</v>
      </c>
      <c r="I944" s="18">
        <f t="shared" si="71"/>
        <v>0.01</v>
      </c>
      <c r="J944" s="18">
        <f t="shared" si="75"/>
        <v>6.9230000000000003E-3</v>
      </c>
      <c r="K944" s="19">
        <f t="shared" si="72"/>
        <v>0</v>
      </c>
      <c r="L944" s="18">
        <f t="shared" si="73"/>
        <v>0</v>
      </c>
      <c r="M944" s="18">
        <f t="shared" si="74"/>
        <v>1</v>
      </c>
    </row>
    <row r="945" spans="1:13" x14ac:dyDescent="0.3">
      <c r="A945" s="22">
        <v>170</v>
      </c>
      <c r="B945" s="22">
        <v>167</v>
      </c>
      <c r="C945" s="23">
        <v>0.98240000000000005</v>
      </c>
      <c r="D945" s="22">
        <v>3</v>
      </c>
      <c r="E945" s="24">
        <v>1.8518518518518518E-4</v>
      </c>
      <c r="F945" s="24">
        <v>1.9328703703703704E-3</v>
      </c>
      <c r="G945" s="24">
        <v>1.4814814814814814E-3</v>
      </c>
      <c r="H945" s="24">
        <v>0.79410000000000003</v>
      </c>
      <c r="I945" s="18">
        <f t="shared" si="71"/>
        <v>9.8240000000000011E-3</v>
      </c>
      <c r="J945" s="18">
        <f t="shared" si="75"/>
        <v>7.9410000000000001E-3</v>
      </c>
      <c r="K945" s="19">
        <f t="shared" si="72"/>
        <v>3</v>
      </c>
      <c r="L945" s="18">
        <f t="shared" si="73"/>
        <v>1.7647058823529412E-2</v>
      </c>
      <c r="M945" s="18">
        <f t="shared" si="74"/>
        <v>0.98235294117647054</v>
      </c>
    </row>
    <row r="946" spans="1:13" x14ac:dyDescent="0.3">
      <c r="A946" s="22">
        <v>154</v>
      </c>
      <c r="B946" s="22">
        <v>147</v>
      </c>
      <c r="C946" s="23">
        <v>0.95450000000000002</v>
      </c>
      <c r="D946" s="22">
        <v>7</v>
      </c>
      <c r="E946" s="24">
        <v>2.4305555555555555E-4</v>
      </c>
      <c r="F946" s="24">
        <v>2.1064814814814813E-3</v>
      </c>
      <c r="G946" s="24">
        <v>2.627314814814815E-3</v>
      </c>
      <c r="H946" s="24">
        <v>0.75160000000000005</v>
      </c>
      <c r="I946" s="18">
        <f t="shared" si="71"/>
        <v>9.5449999999999997E-3</v>
      </c>
      <c r="J946" s="18">
        <f t="shared" si="75"/>
        <v>7.5160000000000001E-3</v>
      </c>
      <c r="K946" s="19">
        <f t="shared" si="72"/>
        <v>7</v>
      </c>
      <c r="L946" s="18">
        <f t="shared" si="73"/>
        <v>4.5454545454545456E-2</v>
      </c>
      <c r="M946" s="18">
        <f t="shared" si="74"/>
        <v>0.95454545454545459</v>
      </c>
    </row>
    <row r="947" spans="1:13" x14ac:dyDescent="0.3">
      <c r="A947" s="22">
        <v>165</v>
      </c>
      <c r="B947" s="22">
        <v>152</v>
      </c>
      <c r="C947" s="23">
        <v>0.92120000000000002</v>
      </c>
      <c r="D947" s="22">
        <v>13</v>
      </c>
      <c r="E947" s="24">
        <v>1.9675925925925926E-4</v>
      </c>
      <c r="F947" s="24">
        <v>2.0601851851851853E-3</v>
      </c>
      <c r="G947" s="24">
        <v>2.5462962962962965E-3</v>
      </c>
      <c r="H947" s="24">
        <v>0.8075</v>
      </c>
      <c r="I947" s="18">
        <f t="shared" si="71"/>
        <v>9.2119999999999997E-3</v>
      </c>
      <c r="J947" s="18">
        <f t="shared" si="75"/>
        <v>8.0750000000000006E-3</v>
      </c>
      <c r="K947" s="19">
        <f t="shared" si="72"/>
        <v>13</v>
      </c>
      <c r="L947" s="18">
        <f t="shared" si="73"/>
        <v>7.8787878787878782E-2</v>
      </c>
      <c r="M947" s="18">
        <f t="shared" si="74"/>
        <v>0.92121212121212126</v>
      </c>
    </row>
    <row r="948" spans="1:13" x14ac:dyDescent="0.3">
      <c r="A948" s="22">
        <v>153</v>
      </c>
      <c r="B948" s="22">
        <v>143</v>
      </c>
      <c r="C948" s="23">
        <v>0.93459999999999999</v>
      </c>
      <c r="D948" s="22">
        <v>10</v>
      </c>
      <c r="E948" s="24">
        <v>2.199074074074074E-4</v>
      </c>
      <c r="F948" s="24">
        <v>2.1412037037037038E-3</v>
      </c>
      <c r="G948" s="24">
        <v>2.2569444444444442E-3</v>
      </c>
      <c r="H948" s="24">
        <v>0.77629999999999999</v>
      </c>
      <c r="I948" s="18">
        <f t="shared" si="71"/>
        <v>9.3460000000000001E-3</v>
      </c>
      <c r="J948" s="18">
        <f t="shared" si="75"/>
        <v>7.7629999999999999E-3</v>
      </c>
      <c r="K948" s="19">
        <f t="shared" si="72"/>
        <v>10</v>
      </c>
      <c r="L948" s="18">
        <f t="shared" si="73"/>
        <v>6.535947712418301E-2</v>
      </c>
      <c r="M948" s="18">
        <f t="shared" si="74"/>
        <v>0.934640522875817</v>
      </c>
    </row>
    <row r="949" spans="1:13" x14ac:dyDescent="0.3">
      <c r="A949" s="22">
        <v>175</v>
      </c>
      <c r="B949" s="22">
        <v>169</v>
      </c>
      <c r="C949" s="23">
        <v>0.9657</v>
      </c>
      <c r="D949" s="22">
        <v>6</v>
      </c>
      <c r="E949" s="24">
        <v>1.273148148148148E-4</v>
      </c>
      <c r="F949" s="24">
        <v>1.5856481481481481E-3</v>
      </c>
      <c r="G949" s="24">
        <v>1.5277777777777779E-3</v>
      </c>
      <c r="H949" s="24">
        <v>0.85629999999999995</v>
      </c>
      <c r="I949" s="18">
        <f t="shared" si="71"/>
        <v>9.6570000000000007E-3</v>
      </c>
      <c r="J949" s="18">
        <f t="shared" si="75"/>
        <v>8.5629999999999994E-3</v>
      </c>
      <c r="K949" s="19">
        <f t="shared" si="72"/>
        <v>6</v>
      </c>
      <c r="L949" s="18">
        <f t="shared" si="73"/>
        <v>3.4285714285714287E-2</v>
      </c>
      <c r="M949" s="18">
        <f t="shared" si="74"/>
        <v>0.96571428571428575</v>
      </c>
    </row>
    <row r="950" spans="1:13" x14ac:dyDescent="0.3">
      <c r="A950" s="22">
        <v>241</v>
      </c>
      <c r="B950" s="22">
        <v>214</v>
      </c>
      <c r="C950" s="23">
        <v>0.88800000000000001</v>
      </c>
      <c r="D950" s="22">
        <v>27</v>
      </c>
      <c r="E950" s="24">
        <v>3.3564814814814812E-4</v>
      </c>
      <c r="F950" s="24">
        <v>2.0833333333333333E-3</v>
      </c>
      <c r="G950" s="24">
        <v>1.0104166666666666E-2</v>
      </c>
      <c r="H950" s="24">
        <v>0.6623</v>
      </c>
      <c r="I950" s="18">
        <f t="shared" si="71"/>
        <v>8.8800000000000007E-3</v>
      </c>
      <c r="J950" s="18">
        <f t="shared" si="75"/>
        <v>6.6230000000000004E-3</v>
      </c>
      <c r="K950" s="19">
        <f t="shared" si="72"/>
        <v>27</v>
      </c>
      <c r="L950" s="18">
        <f t="shared" si="73"/>
        <v>0.11203319502074689</v>
      </c>
      <c r="M950" s="18">
        <f t="shared" si="74"/>
        <v>0.88796680497925307</v>
      </c>
    </row>
    <row r="951" spans="1:13" x14ac:dyDescent="0.3">
      <c r="A951" s="22">
        <v>14</v>
      </c>
      <c r="B951" s="22">
        <v>14</v>
      </c>
      <c r="C951" s="23">
        <v>1</v>
      </c>
      <c r="D951" s="22">
        <v>0</v>
      </c>
      <c r="E951" s="24">
        <v>1.8518518518518518E-4</v>
      </c>
      <c r="F951" s="24">
        <v>1.9212962962962964E-3</v>
      </c>
      <c r="G951" s="24">
        <v>1.0069444444444444E-3</v>
      </c>
      <c r="H951" s="24">
        <v>0.85709999999999997</v>
      </c>
      <c r="I951" s="18">
        <f t="shared" si="71"/>
        <v>0.01</v>
      </c>
      <c r="J951" s="18">
        <f t="shared" si="75"/>
        <v>8.5710000000000005E-3</v>
      </c>
      <c r="K951" s="19">
        <f t="shared" si="72"/>
        <v>0</v>
      </c>
      <c r="L951" s="18">
        <f t="shared" si="73"/>
        <v>0</v>
      </c>
      <c r="M951" s="18">
        <f t="shared" si="74"/>
        <v>1</v>
      </c>
    </row>
    <row r="952" spans="1:13" x14ac:dyDescent="0.3">
      <c r="A952" s="22">
        <v>57</v>
      </c>
      <c r="B952" s="22">
        <v>55</v>
      </c>
      <c r="C952" s="23">
        <v>0.96489999999999998</v>
      </c>
      <c r="D952" s="22">
        <v>2</v>
      </c>
      <c r="E952" s="24">
        <v>1.3888888888888889E-4</v>
      </c>
      <c r="F952" s="24">
        <v>1.7939814814814815E-3</v>
      </c>
      <c r="G952" s="24">
        <v>1.4699074074074074E-3</v>
      </c>
      <c r="H952" s="24">
        <v>0.85960000000000003</v>
      </c>
      <c r="I952" s="18">
        <f t="shared" si="71"/>
        <v>9.6489999999999996E-3</v>
      </c>
      <c r="J952" s="18">
        <f t="shared" si="75"/>
        <v>8.5959999999999995E-3</v>
      </c>
      <c r="K952" s="19">
        <f t="shared" si="72"/>
        <v>2</v>
      </c>
      <c r="L952" s="18">
        <f t="shared" si="73"/>
        <v>3.5087719298245612E-2</v>
      </c>
      <c r="M952" s="18">
        <f t="shared" si="74"/>
        <v>0.96491228070175439</v>
      </c>
    </row>
    <row r="953" spans="1:13" x14ac:dyDescent="0.3">
      <c r="A953" s="22">
        <v>954</v>
      </c>
      <c r="B953" s="22">
        <v>644</v>
      </c>
      <c r="C953" s="23">
        <v>0.67510000000000003</v>
      </c>
      <c r="D953" s="22">
        <v>310</v>
      </c>
      <c r="E953" s="24">
        <v>8.564814814814815E-4</v>
      </c>
      <c r="F953" s="24">
        <v>1.4467592592592592E-3</v>
      </c>
      <c r="G953" s="24">
        <v>7.7777777777777776E-3</v>
      </c>
      <c r="H953" s="24">
        <v>0.26329999999999998</v>
      </c>
      <c r="I953" s="18">
        <f t="shared" si="71"/>
        <v>6.7510000000000001E-3</v>
      </c>
      <c r="J953" s="18">
        <f t="shared" si="75"/>
        <v>2.6329999999999999E-3</v>
      </c>
      <c r="K953" s="19">
        <f t="shared" si="72"/>
        <v>310</v>
      </c>
      <c r="L953" s="18">
        <f t="shared" si="73"/>
        <v>0.3249475890985325</v>
      </c>
      <c r="M953" s="18">
        <f t="shared" si="74"/>
        <v>0.6750524109014675</v>
      </c>
    </row>
    <row r="954" spans="1:13" x14ac:dyDescent="0.3">
      <c r="A954" s="22">
        <v>374</v>
      </c>
      <c r="B954" s="22">
        <v>344</v>
      </c>
      <c r="C954" s="23">
        <v>0.91979999999999995</v>
      </c>
      <c r="D954" s="22">
        <v>30</v>
      </c>
      <c r="E954" s="24">
        <v>3.2407407407407406E-4</v>
      </c>
      <c r="F954" s="24">
        <v>2.1180555555555558E-3</v>
      </c>
      <c r="G954" s="24">
        <v>6.1574074074074074E-3</v>
      </c>
      <c r="H954" s="24">
        <v>0.61850000000000005</v>
      </c>
      <c r="I954" s="18">
        <f t="shared" si="71"/>
        <v>9.1979999999999996E-3</v>
      </c>
      <c r="J954" s="18">
        <f t="shared" si="75"/>
        <v>6.1850000000000004E-3</v>
      </c>
      <c r="K954" s="19">
        <f t="shared" si="72"/>
        <v>30</v>
      </c>
      <c r="L954" s="18">
        <f t="shared" si="73"/>
        <v>8.0213903743315509E-2</v>
      </c>
      <c r="M954" s="18">
        <f t="shared" si="74"/>
        <v>0.9197860962566845</v>
      </c>
    </row>
    <row r="955" spans="1:13" x14ac:dyDescent="0.3">
      <c r="A955" s="22">
        <v>265</v>
      </c>
      <c r="B955" s="22">
        <v>245</v>
      </c>
      <c r="C955" s="23">
        <v>0.92449999999999999</v>
      </c>
      <c r="D955" s="22">
        <v>20</v>
      </c>
      <c r="E955" s="24">
        <v>3.5879629629629629E-4</v>
      </c>
      <c r="F955" s="24">
        <v>2.1412037037037038E-3</v>
      </c>
      <c r="G955" s="24">
        <v>2.3263888888888887E-3</v>
      </c>
      <c r="H955" s="24">
        <v>0.56699999999999995</v>
      </c>
      <c r="I955" s="18">
        <f t="shared" si="71"/>
        <v>9.2449999999999997E-3</v>
      </c>
      <c r="J955" s="18">
        <f t="shared" si="75"/>
        <v>5.6699999999999997E-3</v>
      </c>
      <c r="K955" s="19">
        <f t="shared" si="72"/>
        <v>20</v>
      </c>
      <c r="L955" s="18">
        <f t="shared" si="73"/>
        <v>7.5471698113207544E-2</v>
      </c>
      <c r="M955" s="18">
        <f t="shared" si="74"/>
        <v>0.92452830188679247</v>
      </c>
    </row>
    <row r="956" spans="1:13" x14ac:dyDescent="0.3">
      <c r="A956" s="22">
        <v>222</v>
      </c>
      <c r="B956" s="22">
        <v>205</v>
      </c>
      <c r="C956" s="23">
        <v>0.9234</v>
      </c>
      <c r="D956" s="22">
        <v>17</v>
      </c>
      <c r="E956" s="24">
        <v>2.3148148148148149E-4</v>
      </c>
      <c r="F956" s="24">
        <v>2.2222222222222222E-3</v>
      </c>
      <c r="G956" s="24">
        <v>1.5046296296296296E-3</v>
      </c>
      <c r="H956" s="24">
        <v>0.72689999999999999</v>
      </c>
      <c r="I956" s="18">
        <f t="shared" si="71"/>
        <v>9.2339999999999992E-3</v>
      </c>
      <c r="J956" s="18">
        <f t="shared" si="75"/>
        <v>7.2690000000000003E-3</v>
      </c>
      <c r="K956" s="19">
        <f t="shared" si="72"/>
        <v>17</v>
      </c>
      <c r="L956" s="18">
        <f t="shared" si="73"/>
        <v>7.6576576576576572E-2</v>
      </c>
      <c r="M956" s="18">
        <f t="shared" si="74"/>
        <v>0.92342342342342343</v>
      </c>
    </row>
    <row r="957" spans="1:13" x14ac:dyDescent="0.3">
      <c r="A957" s="22">
        <v>203</v>
      </c>
      <c r="B957" s="22">
        <v>192</v>
      </c>
      <c r="C957" s="23">
        <v>0.94579999999999997</v>
      </c>
      <c r="D957" s="22">
        <v>11</v>
      </c>
      <c r="E957" s="24">
        <v>3.1250000000000001E-4</v>
      </c>
      <c r="F957" s="24">
        <v>2.1296296296296298E-3</v>
      </c>
      <c r="G957" s="24">
        <v>2.8587962962962963E-3</v>
      </c>
      <c r="H957" s="24">
        <v>0.68659999999999999</v>
      </c>
      <c r="I957" s="18">
        <f t="shared" si="71"/>
        <v>9.4579999999999994E-3</v>
      </c>
      <c r="J957" s="18">
        <f t="shared" si="75"/>
        <v>6.8659999999999997E-3</v>
      </c>
      <c r="K957" s="19">
        <f t="shared" si="72"/>
        <v>11</v>
      </c>
      <c r="L957" s="18">
        <f t="shared" si="73"/>
        <v>5.4187192118226604E-2</v>
      </c>
      <c r="M957" s="18">
        <f t="shared" si="74"/>
        <v>0.94581280788177335</v>
      </c>
    </row>
    <row r="958" spans="1:13" x14ac:dyDescent="0.3">
      <c r="A958" s="22">
        <v>33</v>
      </c>
      <c r="B958" s="22">
        <v>31</v>
      </c>
      <c r="C958" s="23">
        <v>0.93940000000000001</v>
      </c>
      <c r="D958" s="22">
        <v>2</v>
      </c>
      <c r="E958" s="24">
        <v>3.3564814814814812E-4</v>
      </c>
      <c r="F958" s="24">
        <v>1.5625000000000001E-3</v>
      </c>
      <c r="G958" s="24">
        <v>3.9699074074074072E-3</v>
      </c>
      <c r="H958" s="24">
        <v>0.78129999999999999</v>
      </c>
      <c r="I958" s="18">
        <f t="shared" si="71"/>
        <v>9.3939999999999996E-3</v>
      </c>
      <c r="J958" s="18">
        <f t="shared" si="75"/>
        <v>7.8130000000000005E-3</v>
      </c>
      <c r="K958" s="19">
        <f t="shared" si="72"/>
        <v>2</v>
      </c>
      <c r="L958" s="18">
        <f t="shared" si="73"/>
        <v>6.0606060606060608E-2</v>
      </c>
      <c r="M958" s="18">
        <f t="shared" si="74"/>
        <v>0.93939393939393945</v>
      </c>
    </row>
    <row r="959" spans="1:13" x14ac:dyDescent="0.3">
      <c r="A959" s="22">
        <v>220</v>
      </c>
      <c r="B959" s="22">
        <v>195</v>
      </c>
      <c r="C959" s="23">
        <v>0.88639999999999997</v>
      </c>
      <c r="D959" s="22">
        <v>25</v>
      </c>
      <c r="E959" s="24">
        <v>3.2407407407407406E-4</v>
      </c>
      <c r="F959" s="24">
        <v>1.9097222222222222E-3</v>
      </c>
      <c r="G959" s="24">
        <v>2.1527777777777778E-3</v>
      </c>
      <c r="H959" s="24">
        <v>0.59619999999999995</v>
      </c>
      <c r="I959" s="18">
        <f t="shared" si="71"/>
        <v>8.8640000000000004E-3</v>
      </c>
      <c r="J959" s="18">
        <f t="shared" si="75"/>
        <v>5.9619999999999994E-3</v>
      </c>
      <c r="K959" s="19">
        <f t="shared" si="72"/>
        <v>25</v>
      </c>
      <c r="L959" s="18">
        <f t="shared" si="73"/>
        <v>0.11363636363636363</v>
      </c>
      <c r="M959" s="18">
        <f t="shared" si="74"/>
        <v>0.88636363636363635</v>
      </c>
    </row>
    <row r="960" spans="1:13" x14ac:dyDescent="0.3">
      <c r="A960" s="22">
        <v>185</v>
      </c>
      <c r="B960" s="22">
        <v>177</v>
      </c>
      <c r="C960" s="23">
        <v>0.95679999999999998</v>
      </c>
      <c r="D960" s="22">
        <v>8</v>
      </c>
      <c r="E960" s="24">
        <v>1.8518518518518518E-4</v>
      </c>
      <c r="F960" s="24">
        <v>1.7708333333333332E-3</v>
      </c>
      <c r="G960" s="24">
        <v>2.1759259259259258E-3</v>
      </c>
      <c r="H960" s="24">
        <v>0.80110000000000003</v>
      </c>
      <c r="I960" s="18">
        <f t="shared" si="71"/>
        <v>9.5680000000000001E-3</v>
      </c>
      <c r="J960" s="18">
        <f t="shared" si="75"/>
        <v>8.0110000000000008E-3</v>
      </c>
      <c r="K960" s="19">
        <f t="shared" si="72"/>
        <v>8</v>
      </c>
      <c r="L960" s="18">
        <f t="shared" si="73"/>
        <v>4.3243243243243246E-2</v>
      </c>
      <c r="M960" s="18">
        <f t="shared" si="74"/>
        <v>0.95675675675675675</v>
      </c>
    </row>
    <row r="961" spans="1:13" x14ac:dyDescent="0.3">
      <c r="A961" s="22">
        <v>203</v>
      </c>
      <c r="B961" s="22">
        <v>172</v>
      </c>
      <c r="C961" s="23">
        <v>0.84730000000000005</v>
      </c>
      <c r="D961" s="22">
        <v>31</v>
      </c>
      <c r="E961" s="24">
        <v>3.9351851851851852E-4</v>
      </c>
      <c r="F961" s="24">
        <v>2.0023148148148148E-3</v>
      </c>
      <c r="G961" s="24">
        <v>3.5416666666666665E-3</v>
      </c>
      <c r="H961" s="24">
        <v>0.52790000000000004</v>
      </c>
      <c r="I961" s="18">
        <f t="shared" si="71"/>
        <v>8.4730000000000014E-3</v>
      </c>
      <c r="J961" s="18">
        <f t="shared" si="75"/>
        <v>5.2790000000000007E-3</v>
      </c>
      <c r="K961" s="19">
        <f t="shared" si="72"/>
        <v>31</v>
      </c>
      <c r="L961" s="18">
        <f t="shared" si="73"/>
        <v>0.15270935960591134</v>
      </c>
      <c r="M961" s="18">
        <f t="shared" si="74"/>
        <v>0.84729064039408863</v>
      </c>
    </row>
    <row r="962" spans="1:13" x14ac:dyDescent="0.3">
      <c r="A962" s="22">
        <v>218</v>
      </c>
      <c r="B962" s="22">
        <v>193</v>
      </c>
      <c r="C962" s="23">
        <v>0.88529999999999998</v>
      </c>
      <c r="D962" s="22">
        <v>25</v>
      </c>
      <c r="E962" s="24">
        <v>3.9351851851851852E-4</v>
      </c>
      <c r="F962" s="24">
        <v>2.0601851851851853E-3</v>
      </c>
      <c r="G962" s="24">
        <v>5.2546296296296299E-3</v>
      </c>
      <c r="H962" s="24">
        <v>0.61970000000000003</v>
      </c>
      <c r="I962" s="18">
        <f t="shared" si="71"/>
        <v>8.8529999999999998E-3</v>
      </c>
      <c r="J962" s="18">
        <f t="shared" si="75"/>
        <v>6.1970000000000003E-3</v>
      </c>
      <c r="K962" s="19">
        <f t="shared" si="72"/>
        <v>25</v>
      </c>
      <c r="L962" s="18">
        <f t="shared" si="73"/>
        <v>0.11467889908256881</v>
      </c>
      <c r="M962" s="18">
        <f t="shared" si="74"/>
        <v>0.88532110091743121</v>
      </c>
    </row>
    <row r="963" spans="1:13" x14ac:dyDescent="0.3">
      <c r="A963" s="22">
        <v>204</v>
      </c>
      <c r="B963" s="22">
        <v>194</v>
      </c>
      <c r="C963" s="23">
        <v>0.95099999999999996</v>
      </c>
      <c r="D963" s="22">
        <v>10</v>
      </c>
      <c r="E963" s="24">
        <v>1.8518518518518518E-4</v>
      </c>
      <c r="F963" s="24">
        <v>1.9907407407407408E-3</v>
      </c>
      <c r="G963" s="24">
        <v>2.1527777777777778E-3</v>
      </c>
      <c r="H963" s="24">
        <v>0.81310000000000004</v>
      </c>
      <c r="I963" s="18">
        <f t="shared" ref="I963:I1026" si="76">VALUE(SUBSTITUTE(C963,"%",""))/100</f>
        <v>9.5099999999999994E-3</v>
      </c>
      <c r="J963" s="18">
        <f t="shared" si="75"/>
        <v>8.1310000000000011E-3</v>
      </c>
      <c r="K963" s="19">
        <f t="shared" ref="K963:K1026" si="77">A963-B963</f>
        <v>10</v>
      </c>
      <c r="L963" s="18">
        <f t="shared" ref="L963:L1026" si="78">D963/A963</f>
        <v>4.9019607843137254E-2</v>
      </c>
      <c r="M963" s="18">
        <f t="shared" ref="M963:M1026" si="79">B963/A963</f>
        <v>0.9509803921568627</v>
      </c>
    </row>
    <row r="964" spans="1:13" x14ac:dyDescent="0.3">
      <c r="A964" s="22">
        <v>242</v>
      </c>
      <c r="B964" s="22">
        <v>211</v>
      </c>
      <c r="C964" s="23">
        <v>0.87190000000000001</v>
      </c>
      <c r="D964" s="22">
        <v>31</v>
      </c>
      <c r="E964" s="24">
        <v>5.0925925925925921E-4</v>
      </c>
      <c r="F964" s="24">
        <v>2.0486111111111113E-3</v>
      </c>
      <c r="G964" s="24">
        <v>4.2592592592592595E-3</v>
      </c>
      <c r="H964" s="24">
        <v>0.47699999999999998</v>
      </c>
      <c r="I964" s="18">
        <f t="shared" si="76"/>
        <v>8.7189999999999993E-3</v>
      </c>
      <c r="J964" s="18">
        <f t="shared" si="75"/>
        <v>4.7699999999999999E-3</v>
      </c>
      <c r="K964" s="19">
        <f t="shared" si="77"/>
        <v>31</v>
      </c>
      <c r="L964" s="18">
        <f t="shared" si="78"/>
        <v>0.128099173553719</v>
      </c>
      <c r="M964" s="18">
        <f t="shared" si="79"/>
        <v>0.87190082644628097</v>
      </c>
    </row>
    <row r="965" spans="1:13" x14ac:dyDescent="0.3">
      <c r="A965" s="22">
        <v>29</v>
      </c>
      <c r="B965" s="22">
        <v>29</v>
      </c>
      <c r="C965" s="23">
        <v>1</v>
      </c>
      <c r="D965" s="22">
        <v>0</v>
      </c>
      <c r="E965" s="24">
        <v>9.2592592592592588E-5</v>
      </c>
      <c r="F965" s="24">
        <v>1.8518518518518519E-3</v>
      </c>
      <c r="G965" s="24">
        <v>5.0925925925925921E-4</v>
      </c>
      <c r="H965" s="24">
        <v>0.89659999999999995</v>
      </c>
      <c r="I965" s="18">
        <f t="shared" si="76"/>
        <v>0.01</v>
      </c>
      <c r="J965" s="18">
        <f t="shared" si="75"/>
        <v>8.966E-3</v>
      </c>
      <c r="K965" s="19">
        <f t="shared" si="77"/>
        <v>0</v>
      </c>
      <c r="L965" s="18">
        <f t="shared" si="78"/>
        <v>0</v>
      </c>
      <c r="M965" s="18">
        <f t="shared" si="79"/>
        <v>1</v>
      </c>
    </row>
    <row r="966" spans="1:13" x14ac:dyDescent="0.3">
      <c r="A966" s="22">
        <v>171</v>
      </c>
      <c r="B966" s="22">
        <v>163</v>
      </c>
      <c r="C966" s="23">
        <v>0.95320000000000005</v>
      </c>
      <c r="D966" s="22">
        <v>8</v>
      </c>
      <c r="E966" s="24">
        <v>2.7777777777777778E-4</v>
      </c>
      <c r="F966" s="24">
        <v>2.0601851851851853E-3</v>
      </c>
      <c r="G966" s="24">
        <v>2.3032407407407407E-3</v>
      </c>
      <c r="H966" s="24">
        <v>0.69230000000000003</v>
      </c>
      <c r="I966" s="18">
        <f t="shared" si="76"/>
        <v>9.5320000000000005E-3</v>
      </c>
      <c r="J966" s="18">
        <f t="shared" ref="J966:J1029" si="80">VALUE(SUBSTITUTE(H966,"%",""))/100</f>
        <v>6.9230000000000003E-3</v>
      </c>
      <c r="K966" s="19">
        <f t="shared" si="77"/>
        <v>8</v>
      </c>
      <c r="L966" s="18">
        <f t="shared" si="78"/>
        <v>4.6783625730994149E-2</v>
      </c>
      <c r="M966" s="18">
        <f t="shared" si="79"/>
        <v>0.95321637426900585</v>
      </c>
    </row>
    <row r="967" spans="1:13" x14ac:dyDescent="0.3">
      <c r="A967" s="22">
        <v>190</v>
      </c>
      <c r="B967" s="22">
        <v>166</v>
      </c>
      <c r="C967" s="23">
        <v>0.87370000000000003</v>
      </c>
      <c r="D967" s="22">
        <v>24</v>
      </c>
      <c r="E967" s="24">
        <v>5.3240740740740744E-4</v>
      </c>
      <c r="F967" s="24">
        <v>2.0717592592592593E-3</v>
      </c>
      <c r="G967" s="24">
        <v>6.4814814814814813E-3</v>
      </c>
      <c r="H967" s="24">
        <v>0.42249999999999999</v>
      </c>
      <c r="I967" s="18">
        <f t="shared" si="76"/>
        <v>8.737E-3</v>
      </c>
      <c r="J967" s="18">
        <f t="shared" si="80"/>
        <v>4.2249999999999996E-3</v>
      </c>
      <c r="K967" s="19">
        <f t="shared" si="77"/>
        <v>24</v>
      </c>
      <c r="L967" s="18">
        <f t="shared" si="78"/>
        <v>0.12631578947368421</v>
      </c>
      <c r="M967" s="18">
        <f t="shared" si="79"/>
        <v>0.87368421052631584</v>
      </c>
    </row>
    <row r="968" spans="1:13" x14ac:dyDescent="0.3">
      <c r="A968" s="22">
        <v>221</v>
      </c>
      <c r="B968" s="22">
        <v>196</v>
      </c>
      <c r="C968" s="23">
        <v>0.88690000000000002</v>
      </c>
      <c r="D968" s="22">
        <v>25</v>
      </c>
      <c r="E968" s="24">
        <v>3.8194444444444446E-4</v>
      </c>
      <c r="F968" s="24">
        <v>2.0486111111111113E-3</v>
      </c>
      <c r="G968" s="24">
        <v>3.7615740740740739E-3</v>
      </c>
      <c r="H968" s="24">
        <v>0.53669999999999995</v>
      </c>
      <c r="I968" s="18">
        <f t="shared" si="76"/>
        <v>8.8690000000000001E-3</v>
      </c>
      <c r="J968" s="18">
        <f t="shared" si="80"/>
        <v>5.3669999999999994E-3</v>
      </c>
      <c r="K968" s="19">
        <f t="shared" si="77"/>
        <v>25</v>
      </c>
      <c r="L968" s="18">
        <f t="shared" si="78"/>
        <v>0.11312217194570136</v>
      </c>
      <c r="M968" s="18">
        <f t="shared" si="79"/>
        <v>0.8868778280542986</v>
      </c>
    </row>
    <row r="969" spans="1:13" x14ac:dyDescent="0.3">
      <c r="A969" s="22">
        <v>297</v>
      </c>
      <c r="B969" s="22">
        <v>241</v>
      </c>
      <c r="C969" s="23">
        <v>0.81140000000000001</v>
      </c>
      <c r="D969" s="22">
        <v>56</v>
      </c>
      <c r="E969" s="24">
        <v>5.6712962962962967E-4</v>
      </c>
      <c r="F969" s="24">
        <v>2.2106481481481482E-3</v>
      </c>
      <c r="G969" s="24">
        <v>4.7685185185185183E-3</v>
      </c>
      <c r="H969" s="24">
        <v>0.44829999999999998</v>
      </c>
      <c r="I969" s="18">
        <f t="shared" si="76"/>
        <v>8.1139999999999997E-3</v>
      </c>
      <c r="J969" s="18">
        <f t="shared" si="80"/>
        <v>4.483E-3</v>
      </c>
      <c r="K969" s="19">
        <f t="shared" si="77"/>
        <v>56</v>
      </c>
      <c r="L969" s="18">
        <f t="shared" si="78"/>
        <v>0.18855218855218855</v>
      </c>
      <c r="M969" s="18">
        <f t="shared" si="79"/>
        <v>0.81144781144781142</v>
      </c>
    </row>
    <row r="970" spans="1:13" x14ac:dyDescent="0.3">
      <c r="A970" s="22">
        <v>233</v>
      </c>
      <c r="B970" s="22">
        <v>214</v>
      </c>
      <c r="C970" s="23">
        <v>0.91849999999999998</v>
      </c>
      <c r="D970" s="22">
        <v>19</v>
      </c>
      <c r="E970" s="24">
        <v>3.0092592592592595E-4</v>
      </c>
      <c r="F970" s="24">
        <v>1.9560185185185184E-3</v>
      </c>
      <c r="G970" s="24">
        <v>2.6967592592592594E-3</v>
      </c>
      <c r="H970" s="24">
        <v>0.625</v>
      </c>
      <c r="I970" s="18">
        <f t="shared" si="76"/>
        <v>9.1850000000000005E-3</v>
      </c>
      <c r="J970" s="18">
        <f t="shared" si="80"/>
        <v>6.2500000000000003E-3</v>
      </c>
      <c r="K970" s="19">
        <f t="shared" si="77"/>
        <v>19</v>
      </c>
      <c r="L970" s="18">
        <f t="shared" si="78"/>
        <v>8.15450643776824E-2</v>
      </c>
      <c r="M970" s="18">
        <f t="shared" si="79"/>
        <v>0.91845493562231761</v>
      </c>
    </row>
    <row r="971" spans="1:13" x14ac:dyDescent="0.3">
      <c r="A971" s="22">
        <v>198</v>
      </c>
      <c r="B971" s="22">
        <v>191</v>
      </c>
      <c r="C971" s="23">
        <v>0.96460000000000001</v>
      </c>
      <c r="D971" s="22">
        <v>7</v>
      </c>
      <c r="E971" s="24">
        <v>1.6203703703703703E-4</v>
      </c>
      <c r="F971" s="24">
        <v>2.0949074074074073E-3</v>
      </c>
      <c r="G971" s="24">
        <v>1.4930555555555556E-3</v>
      </c>
      <c r="H971" s="24">
        <v>0.82740000000000002</v>
      </c>
      <c r="I971" s="18">
        <f t="shared" si="76"/>
        <v>9.6460000000000001E-3</v>
      </c>
      <c r="J971" s="18">
        <f t="shared" si="80"/>
        <v>8.2740000000000001E-3</v>
      </c>
      <c r="K971" s="19">
        <f t="shared" si="77"/>
        <v>7</v>
      </c>
      <c r="L971" s="18">
        <f t="shared" si="78"/>
        <v>3.5353535353535352E-2</v>
      </c>
      <c r="M971" s="18">
        <f t="shared" si="79"/>
        <v>0.96464646464646464</v>
      </c>
    </row>
    <row r="972" spans="1:13" x14ac:dyDescent="0.3">
      <c r="A972" s="22">
        <v>15</v>
      </c>
      <c r="B972" s="22">
        <v>15</v>
      </c>
      <c r="C972" s="23">
        <v>1</v>
      </c>
      <c r="D972" s="22">
        <v>0</v>
      </c>
      <c r="E972" s="24">
        <v>4.6296296296296294E-5</v>
      </c>
      <c r="F972" s="24">
        <v>2.3032407407407407E-3</v>
      </c>
      <c r="G972" s="24">
        <v>1.6203703703703703E-4</v>
      </c>
      <c r="H972" s="24">
        <v>1</v>
      </c>
      <c r="I972" s="18">
        <f t="shared" si="76"/>
        <v>0.01</v>
      </c>
      <c r="J972" s="18">
        <f t="shared" si="80"/>
        <v>0.01</v>
      </c>
      <c r="K972" s="19">
        <f t="shared" si="77"/>
        <v>0</v>
      </c>
      <c r="L972" s="18">
        <f t="shared" si="78"/>
        <v>0</v>
      </c>
      <c r="M972" s="18">
        <f t="shared" si="79"/>
        <v>1</v>
      </c>
    </row>
    <row r="973" spans="1:13" x14ac:dyDescent="0.3">
      <c r="A973" s="22">
        <v>27</v>
      </c>
      <c r="B973" s="22">
        <v>25</v>
      </c>
      <c r="C973" s="23">
        <v>0.92589999999999995</v>
      </c>
      <c r="D973" s="22">
        <v>2</v>
      </c>
      <c r="E973" s="24">
        <v>9.2592592592592588E-5</v>
      </c>
      <c r="F973" s="24">
        <v>1.7824074074074075E-3</v>
      </c>
      <c r="G973" s="24">
        <v>1.4351851851851852E-3</v>
      </c>
      <c r="H973" s="24">
        <v>0.88890000000000002</v>
      </c>
      <c r="I973" s="18">
        <f t="shared" si="76"/>
        <v>9.2589999999999999E-3</v>
      </c>
      <c r="J973" s="18">
        <f t="shared" si="80"/>
        <v>8.8890000000000011E-3</v>
      </c>
      <c r="K973" s="19">
        <f t="shared" si="77"/>
        <v>2</v>
      </c>
      <c r="L973" s="18">
        <f t="shared" si="78"/>
        <v>7.407407407407407E-2</v>
      </c>
      <c r="M973" s="18">
        <f t="shared" si="79"/>
        <v>0.92592592592592593</v>
      </c>
    </row>
    <row r="974" spans="1:13" x14ac:dyDescent="0.3">
      <c r="A974" s="22">
        <v>7</v>
      </c>
      <c r="B974" s="22">
        <v>6</v>
      </c>
      <c r="C974" s="23">
        <v>0.85709999999999997</v>
      </c>
      <c r="D974" s="22">
        <v>1</v>
      </c>
      <c r="E974" s="24">
        <v>3.4722222222222222E-5</v>
      </c>
      <c r="F974" s="24">
        <v>3.3333333333333335E-3</v>
      </c>
      <c r="G974" s="24">
        <v>3.5879629629629629E-4</v>
      </c>
      <c r="H974" s="24">
        <v>0.85709999999999997</v>
      </c>
      <c r="I974" s="18">
        <f t="shared" si="76"/>
        <v>8.5710000000000005E-3</v>
      </c>
      <c r="J974" s="18">
        <f t="shared" si="80"/>
        <v>8.5710000000000005E-3</v>
      </c>
      <c r="K974" s="19">
        <f t="shared" si="77"/>
        <v>1</v>
      </c>
      <c r="L974" s="18">
        <f t="shared" si="78"/>
        <v>0.14285714285714285</v>
      </c>
      <c r="M974" s="18">
        <f t="shared" si="79"/>
        <v>0.8571428571428571</v>
      </c>
    </row>
    <row r="975" spans="1:13" x14ac:dyDescent="0.3">
      <c r="A975" s="22">
        <v>169</v>
      </c>
      <c r="B975" s="22">
        <v>144</v>
      </c>
      <c r="C975" s="23">
        <v>0.85209999999999997</v>
      </c>
      <c r="D975" s="22">
        <v>25</v>
      </c>
      <c r="E975" s="24">
        <v>3.8194444444444446E-4</v>
      </c>
      <c r="F975" s="24">
        <v>1.8055555555555555E-3</v>
      </c>
      <c r="G975" s="24">
        <v>5.9143518518518521E-3</v>
      </c>
      <c r="H975" s="24">
        <v>0.56359999999999999</v>
      </c>
      <c r="I975" s="18">
        <f t="shared" si="76"/>
        <v>8.5209999999999991E-3</v>
      </c>
      <c r="J975" s="18">
        <f t="shared" si="80"/>
        <v>5.6359999999999995E-3</v>
      </c>
      <c r="K975" s="19">
        <f t="shared" si="77"/>
        <v>25</v>
      </c>
      <c r="L975" s="18">
        <f t="shared" si="78"/>
        <v>0.14792899408284024</v>
      </c>
      <c r="M975" s="18">
        <f t="shared" si="79"/>
        <v>0.85207100591715978</v>
      </c>
    </row>
    <row r="976" spans="1:13" x14ac:dyDescent="0.3">
      <c r="A976" s="22">
        <v>224</v>
      </c>
      <c r="B976" s="22">
        <v>206</v>
      </c>
      <c r="C976" s="23">
        <v>0.91959999999999997</v>
      </c>
      <c r="D976" s="22">
        <v>18</v>
      </c>
      <c r="E976" s="24">
        <v>2.3148148148148149E-4</v>
      </c>
      <c r="F976" s="24">
        <v>1.7939814814814815E-3</v>
      </c>
      <c r="G976" s="24">
        <v>1.6898148148148148E-3</v>
      </c>
      <c r="H976" s="24">
        <v>0.70720000000000005</v>
      </c>
      <c r="I976" s="18">
        <f t="shared" si="76"/>
        <v>9.1959999999999993E-3</v>
      </c>
      <c r="J976" s="18">
        <f t="shared" si="80"/>
        <v>7.0720000000000002E-3</v>
      </c>
      <c r="K976" s="19">
        <f t="shared" si="77"/>
        <v>18</v>
      </c>
      <c r="L976" s="18">
        <f t="shared" si="78"/>
        <v>8.0357142857142863E-2</v>
      </c>
      <c r="M976" s="18">
        <f t="shared" si="79"/>
        <v>0.9196428571428571</v>
      </c>
    </row>
    <row r="977" spans="1:13" x14ac:dyDescent="0.3">
      <c r="A977" s="22">
        <v>170</v>
      </c>
      <c r="B977" s="22">
        <v>160</v>
      </c>
      <c r="C977" s="23">
        <v>0.94120000000000004</v>
      </c>
      <c r="D977" s="22">
        <v>10</v>
      </c>
      <c r="E977" s="24">
        <v>3.2407407407407406E-4</v>
      </c>
      <c r="F977" s="24">
        <v>2.0949074074074073E-3</v>
      </c>
      <c r="G977" s="24">
        <v>3.5879629629629629E-3</v>
      </c>
      <c r="H977" s="24">
        <v>0.62350000000000005</v>
      </c>
      <c r="I977" s="18">
        <f t="shared" si="76"/>
        <v>9.4120000000000002E-3</v>
      </c>
      <c r="J977" s="18">
        <f t="shared" si="80"/>
        <v>6.235000000000001E-3</v>
      </c>
      <c r="K977" s="19">
        <f t="shared" si="77"/>
        <v>10</v>
      </c>
      <c r="L977" s="18">
        <f t="shared" si="78"/>
        <v>5.8823529411764705E-2</v>
      </c>
      <c r="M977" s="18">
        <f t="shared" si="79"/>
        <v>0.94117647058823528</v>
      </c>
    </row>
    <row r="978" spans="1:13" x14ac:dyDescent="0.3">
      <c r="A978" s="22">
        <v>161</v>
      </c>
      <c r="B978" s="22">
        <v>149</v>
      </c>
      <c r="C978" s="23">
        <v>0.92549999999999999</v>
      </c>
      <c r="D978" s="22">
        <v>12</v>
      </c>
      <c r="E978" s="24">
        <v>2.7777777777777778E-4</v>
      </c>
      <c r="F978" s="24">
        <v>2.1759259259259258E-3</v>
      </c>
      <c r="G978" s="24">
        <v>1.7824074074074075E-3</v>
      </c>
      <c r="H978" s="24">
        <v>0.68130000000000002</v>
      </c>
      <c r="I978" s="18">
        <f t="shared" si="76"/>
        <v>9.2549999999999993E-3</v>
      </c>
      <c r="J978" s="18">
        <f t="shared" si="80"/>
        <v>6.8130000000000005E-3</v>
      </c>
      <c r="K978" s="19">
        <f t="shared" si="77"/>
        <v>12</v>
      </c>
      <c r="L978" s="18">
        <f t="shared" si="78"/>
        <v>7.4534161490683232E-2</v>
      </c>
      <c r="M978" s="18">
        <f t="shared" si="79"/>
        <v>0.92546583850931674</v>
      </c>
    </row>
    <row r="979" spans="1:13" x14ac:dyDescent="0.3">
      <c r="A979" s="22">
        <v>37</v>
      </c>
      <c r="B979" s="22">
        <v>35</v>
      </c>
      <c r="C979" s="23">
        <v>0.94589999999999996</v>
      </c>
      <c r="D979" s="22">
        <v>2</v>
      </c>
      <c r="E979" s="24">
        <v>1.3888888888888889E-4</v>
      </c>
      <c r="F979" s="24">
        <v>1.9444444444444444E-3</v>
      </c>
      <c r="G979" s="24">
        <v>7.291666666666667E-4</v>
      </c>
      <c r="H979" s="24">
        <v>0.80559999999999998</v>
      </c>
      <c r="I979" s="18">
        <f t="shared" si="76"/>
        <v>9.4590000000000004E-3</v>
      </c>
      <c r="J979" s="18">
        <f t="shared" si="80"/>
        <v>8.0560000000000007E-3</v>
      </c>
      <c r="K979" s="19">
        <f t="shared" si="77"/>
        <v>2</v>
      </c>
      <c r="L979" s="18">
        <f t="shared" si="78"/>
        <v>5.4054054054054057E-2</v>
      </c>
      <c r="M979" s="18">
        <f t="shared" si="79"/>
        <v>0.94594594594594594</v>
      </c>
    </row>
    <row r="980" spans="1:13" x14ac:dyDescent="0.3">
      <c r="A980" s="22">
        <v>183</v>
      </c>
      <c r="B980" s="22">
        <v>169</v>
      </c>
      <c r="C980" s="23">
        <v>0.92349999999999999</v>
      </c>
      <c r="D980" s="22">
        <v>14</v>
      </c>
      <c r="E980" s="24">
        <v>3.7037037037037035E-4</v>
      </c>
      <c r="F980" s="24">
        <v>2.0601851851851853E-3</v>
      </c>
      <c r="G980" s="24">
        <v>3.1018518518518517E-3</v>
      </c>
      <c r="H980" s="24">
        <v>0.59889999999999999</v>
      </c>
      <c r="I980" s="18">
        <f t="shared" si="76"/>
        <v>9.2350000000000002E-3</v>
      </c>
      <c r="J980" s="18">
        <f t="shared" si="80"/>
        <v>5.9889999999999995E-3</v>
      </c>
      <c r="K980" s="19">
        <f t="shared" si="77"/>
        <v>14</v>
      </c>
      <c r="L980" s="18">
        <f t="shared" si="78"/>
        <v>7.650273224043716E-2</v>
      </c>
      <c r="M980" s="18">
        <f t="shared" si="79"/>
        <v>0.92349726775956287</v>
      </c>
    </row>
    <row r="981" spans="1:13" x14ac:dyDescent="0.3">
      <c r="A981" s="22">
        <v>221</v>
      </c>
      <c r="B981" s="22">
        <v>206</v>
      </c>
      <c r="C981" s="23">
        <v>0.93210000000000004</v>
      </c>
      <c r="D981" s="22">
        <v>15</v>
      </c>
      <c r="E981" s="24">
        <v>3.4722222222222224E-4</v>
      </c>
      <c r="F981" s="24">
        <v>2.0138888888888888E-3</v>
      </c>
      <c r="G981" s="24">
        <v>3.0439814814814813E-3</v>
      </c>
      <c r="H981" s="24">
        <v>0.58179999999999998</v>
      </c>
      <c r="I981" s="18">
        <f t="shared" si="76"/>
        <v>9.3210000000000012E-3</v>
      </c>
      <c r="J981" s="18">
        <f t="shared" si="80"/>
        <v>5.8180000000000003E-3</v>
      </c>
      <c r="K981" s="19">
        <f t="shared" si="77"/>
        <v>15</v>
      </c>
      <c r="L981" s="18">
        <f t="shared" si="78"/>
        <v>6.7873303167420809E-2</v>
      </c>
      <c r="M981" s="18">
        <f t="shared" si="79"/>
        <v>0.9321266968325792</v>
      </c>
    </row>
    <row r="982" spans="1:13" x14ac:dyDescent="0.3">
      <c r="A982" s="22">
        <v>202</v>
      </c>
      <c r="B982" s="22">
        <v>193</v>
      </c>
      <c r="C982" s="23">
        <v>0.95540000000000003</v>
      </c>
      <c r="D982" s="22">
        <v>9</v>
      </c>
      <c r="E982" s="24">
        <v>2.0833333333333335E-4</v>
      </c>
      <c r="F982" s="24">
        <v>2.0023148148148148E-3</v>
      </c>
      <c r="G982" s="24">
        <v>1.9444444444444444E-3</v>
      </c>
      <c r="H982" s="24">
        <v>0.75380000000000003</v>
      </c>
      <c r="I982" s="18">
        <f t="shared" si="76"/>
        <v>9.554E-3</v>
      </c>
      <c r="J982" s="18">
        <f t="shared" si="80"/>
        <v>7.5380000000000004E-3</v>
      </c>
      <c r="K982" s="19">
        <f t="shared" si="77"/>
        <v>9</v>
      </c>
      <c r="L982" s="18">
        <f t="shared" si="78"/>
        <v>4.4554455445544552E-2</v>
      </c>
      <c r="M982" s="18">
        <f t="shared" si="79"/>
        <v>0.95544554455445541</v>
      </c>
    </row>
    <row r="983" spans="1:13" x14ac:dyDescent="0.3">
      <c r="A983" s="22">
        <v>193</v>
      </c>
      <c r="B983" s="22">
        <v>163</v>
      </c>
      <c r="C983" s="23">
        <v>0.84460000000000002</v>
      </c>
      <c r="D983" s="22">
        <v>30</v>
      </c>
      <c r="E983" s="24">
        <v>4.1666666666666669E-4</v>
      </c>
      <c r="F983" s="24">
        <v>2.2222222222222222E-3</v>
      </c>
      <c r="G983" s="24">
        <v>3.6111111111111109E-3</v>
      </c>
      <c r="H983" s="24">
        <v>0.53400000000000003</v>
      </c>
      <c r="I983" s="18">
        <f t="shared" si="76"/>
        <v>8.4460000000000004E-3</v>
      </c>
      <c r="J983" s="18">
        <f t="shared" si="80"/>
        <v>5.3400000000000001E-3</v>
      </c>
      <c r="K983" s="19">
        <f t="shared" si="77"/>
        <v>30</v>
      </c>
      <c r="L983" s="18">
        <f t="shared" si="78"/>
        <v>0.15544041450777202</v>
      </c>
      <c r="M983" s="18">
        <f t="shared" si="79"/>
        <v>0.84455958549222798</v>
      </c>
    </row>
    <row r="984" spans="1:13" x14ac:dyDescent="0.3">
      <c r="A984" s="22">
        <v>201</v>
      </c>
      <c r="B984" s="22">
        <v>196</v>
      </c>
      <c r="C984" s="23">
        <v>0.97509999999999997</v>
      </c>
      <c r="D984" s="22">
        <v>5</v>
      </c>
      <c r="E984" s="24">
        <v>1.1574074074074075E-4</v>
      </c>
      <c r="F984" s="24">
        <v>1.8865740740740742E-3</v>
      </c>
      <c r="G984" s="24">
        <v>1.7592592592592592E-3</v>
      </c>
      <c r="H984" s="24">
        <v>0.89</v>
      </c>
      <c r="I984" s="18">
        <f t="shared" si="76"/>
        <v>9.7509999999999993E-3</v>
      </c>
      <c r="J984" s="18">
        <f t="shared" si="80"/>
        <v>8.8999999999999999E-3</v>
      </c>
      <c r="K984" s="19">
        <f t="shared" si="77"/>
        <v>5</v>
      </c>
      <c r="L984" s="18">
        <f t="shared" si="78"/>
        <v>2.4875621890547265E-2</v>
      </c>
      <c r="M984" s="18">
        <f t="shared" si="79"/>
        <v>0.97512437810945274</v>
      </c>
    </row>
    <row r="985" spans="1:13" x14ac:dyDescent="0.3">
      <c r="A985" s="22">
        <v>193</v>
      </c>
      <c r="B985" s="22">
        <v>180</v>
      </c>
      <c r="C985" s="23">
        <v>0.93259999999999998</v>
      </c>
      <c r="D985" s="22">
        <v>13</v>
      </c>
      <c r="E985" s="24">
        <v>2.4305555555555555E-4</v>
      </c>
      <c r="F985" s="24">
        <v>1.8749999999999999E-3</v>
      </c>
      <c r="G985" s="24">
        <v>2.2800925925925927E-3</v>
      </c>
      <c r="H985" s="24">
        <v>0.73160000000000003</v>
      </c>
      <c r="I985" s="18">
        <f t="shared" si="76"/>
        <v>9.3259999999999992E-3</v>
      </c>
      <c r="J985" s="18">
        <f t="shared" si="80"/>
        <v>7.3160000000000005E-3</v>
      </c>
      <c r="K985" s="19">
        <f t="shared" si="77"/>
        <v>13</v>
      </c>
      <c r="L985" s="18">
        <f t="shared" si="78"/>
        <v>6.7357512953367879E-2</v>
      </c>
      <c r="M985" s="18">
        <f t="shared" si="79"/>
        <v>0.93264248704663211</v>
      </c>
    </row>
    <row r="986" spans="1:13" x14ac:dyDescent="0.3">
      <c r="A986" s="22">
        <v>27</v>
      </c>
      <c r="B986" s="22">
        <v>25</v>
      </c>
      <c r="C986" s="23">
        <v>0.92589999999999995</v>
      </c>
      <c r="D986" s="22">
        <v>2</v>
      </c>
      <c r="E986" s="24">
        <v>2.8935185185185184E-4</v>
      </c>
      <c r="F986" s="24">
        <v>1.4236111111111112E-3</v>
      </c>
      <c r="G986" s="24">
        <v>1.4699074074074074E-3</v>
      </c>
      <c r="H986" s="24">
        <v>0.66669999999999996</v>
      </c>
      <c r="I986" s="18">
        <f t="shared" si="76"/>
        <v>9.2589999999999999E-3</v>
      </c>
      <c r="J986" s="18">
        <f t="shared" si="80"/>
        <v>6.6669999999999993E-3</v>
      </c>
      <c r="K986" s="19">
        <f t="shared" si="77"/>
        <v>2</v>
      </c>
      <c r="L986" s="18">
        <f t="shared" si="78"/>
        <v>7.407407407407407E-2</v>
      </c>
      <c r="M986" s="18">
        <f t="shared" si="79"/>
        <v>0.92592592592592593</v>
      </c>
    </row>
    <row r="987" spans="1:13" x14ac:dyDescent="0.3">
      <c r="A987" s="22">
        <v>227</v>
      </c>
      <c r="B987" s="22">
        <v>206</v>
      </c>
      <c r="C987" s="23">
        <v>0.90749999999999997</v>
      </c>
      <c r="D987" s="22">
        <v>21</v>
      </c>
      <c r="E987" s="24">
        <v>3.3564814814814812E-4</v>
      </c>
      <c r="F987" s="24">
        <v>2.0949074074074073E-3</v>
      </c>
      <c r="G987" s="24">
        <v>3.0787037037037037E-3</v>
      </c>
      <c r="H987" s="24">
        <v>0.66669999999999996</v>
      </c>
      <c r="I987" s="18">
        <f t="shared" si="76"/>
        <v>9.0749999999999997E-3</v>
      </c>
      <c r="J987" s="18">
        <f t="shared" si="80"/>
        <v>6.6669999999999993E-3</v>
      </c>
      <c r="K987" s="19">
        <f t="shared" si="77"/>
        <v>21</v>
      </c>
      <c r="L987" s="18">
        <f t="shared" si="78"/>
        <v>9.2511013215859028E-2</v>
      </c>
      <c r="M987" s="18">
        <f t="shared" si="79"/>
        <v>0.90748898678414092</v>
      </c>
    </row>
    <row r="988" spans="1:13" x14ac:dyDescent="0.3">
      <c r="A988" s="22">
        <v>225</v>
      </c>
      <c r="B988" s="22">
        <v>199</v>
      </c>
      <c r="C988" s="23">
        <v>0.88439999999999996</v>
      </c>
      <c r="D988" s="22">
        <v>26</v>
      </c>
      <c r="E988" s="24">
        <v>4.0509259259259258E-4</v>
      </c>
      <c r="F988" s="24">
        <v>2.0601851851851853E-3</v>
      </c>
      <c r="G988" s="24">
        <v>3.6921296296296298E-3</v>
      </c>
      <c r="H988" s="24">
        <v>0.52680000000000005</v>
      </c>
      <c r="I988" s="18">
        <f t="shared" si="76"/>
        <v>8.8439999999999994E-3</v>
      </c>
      <c r="J988" s="18">
        <f t="shared" si="80"/>
        <v>5.2680000000000001E-3</v>
      </c>
      <c r="K988" s="19">
        <f t="shared" si="77"/>
        <v>26</v>
      </c>
      <c r="L988" s="18">
        <f t="shared" si="78"/>
        <v>0.11555555555555555</v>
      </c>
      <c r="M988" s="18">
        <f t="shared" si="79"/>
        <v>0.88444444444444448</v>
      </c>
    </row>
    <row r="989" spans="1:13" x14ac:dyDescent="0.3">
      <c r="A989" s="22">
        <v>204</v>
      </c>
      <c r="B989" s="22">
        <v>193</v>
      </c>
      <c r="C989" s="23">
        <v>0.94610000000000005</v>
      </c>
      <c r="D989" s="22">
        <v>11</v>
      </c>
      <c r="E989" s="24">
        <v>3.8194444444444446E-4</v>
      </c>
      <c r="F989" s="24">
        <v>1.8402777777777777E-3</v>
      </c>
      <c r="G989" s="24">
        <v>3.7152777777777778E-3</v>
      </c>
      <c r="H989" s="24">
        <v>0.58819999999999995</v>
      </c>
      <c r="I989" s="18">
        <f t="shared" si="76"/>
        <v>9.4610000000000007E-3</v>
      </c>
      <c r="J989" s="18">
        <f t="shared" si="80"/>
        <v>5.8819999999999992E-3</v>
      </c>
      <c r="K989" s="19">
        <f t="shared" si="77"/>
        <v>11</v>
      </c>
      <c r="L989" s="18">
        <f t="shared" si="78"/>
        <v>5.3921568627450983E-2</v>
      </c>
      <c r="M989" s="18">
        <f t="shared" si="79"/>
        <v>0.94607843137254899</v>
      </c>
    </row>
    <row r="990" spans="1:13" x14ac:dyDescent="0.3">
      <c r="A990" s="22">
        <v>221</v>
      </c>
      <c r="B990" s="22">
        <v>194</v>
      </c>
      <c r="C990" s="23">
        <v>0.87780000000000002</v>
      </c>
      <c r="D990" s="22">
        <v>27</v>
      </c>
      <c r="E990" s="24">
        <v>3.3564814814814812E-4</v>
      </c>
      <c r="F990" s="24">
        <v>1.9444444444444444E-3</v>
      </c>
      <c r="G990" s="24">
        <v>3.5300925925925925E-3</v>
      </c>
      <c r="H990" s="24">
        <v>0.60729999999999995</v>
      </c>
      <c r="I990" s="18">
        <f t="shared" si="76"/>
        <v>8.7780000000000011E-3</v>
      </c>
      <c r="J990" s="18">
        <f t="shared" si="80"/>
        <v>6.0729999999999994E-3</v>
      </c>
      <c r="K990" s="19">
        <f t="shared" si="77"/>
        <v>27</v>
      </c>
      <c r="L990" s="18">
        <f t="shared" si="78"/>
        <v>0.12217194570135746</v>
      </c>
      <c r="M990" s="18">
        <f t="shared" si="79"/>
        <v>0.87782805429864252</v>
      </c>
    </row>
    <row r="991" spans="1:13" x14ac:dyDescent="0.3">
      <c r="A991" s="22">
        <v>172</v>
      </c>
      <c r="B991" s="22">
        <v>154</v>
      </c>
      <c r="C991" s="23">
        <v>0.89529999999999998</v>
      </c>
      <c r="D991" s="22">
        <v>18</v>
      </c>
      <c r="E991" s="24">
        <v>3.9351851851851852E-4</v>
      </c>
      <c r="F991" s="24">
        <v>2.1875000000000002E-3</v>
      </c>
      <c r="G991" s="24">
        <v>2.1527777777777778E-3</v>
      </c>
      <c r="H991" s="24">
        <v>0.54169999999999996</v>
      </c>
      <c r="I991" s="18">
        <f t="shared" si="76"/>
        <v>8.9529999999999992E-3</v>
      </c>
      <c r="J991" s="18">
        <f t="shared" si="80"/>
        <v>5.4169999999999999E-3</v>
      </c>
      <c r="K991" s="19">
        <f t="shared" si="77"/>
        <v>18</v>
      </c>
      <c r="L991" s="18">
        <f t="shared" si="78"/>
        <v>0.10465116279069768</v>
      </c>
      <c r="M991" s="18">
        <f t="shared" si="79"/>
        <v>0.89534883720930236</v>
      </c>
    </row>
    <row r="992" spans="1:13" x14ac:dyDescent="0.3">
      <c r="A992" s="22">
        <v>161</v>
      </c>
      <c r="B992" s="22">
        <v>150</v>
      </c>
      <c r="C992" s="23">
        <v>0.93169999999999997</v>
      </c>
      <c r="D992" s="22">
        <v>11</v>
      </c>
      <c r="E992" s="24">
        <v>4.1666666666666669E-4</v>
      </c>
      <c r="F992" s="24">
        <v>1.9791666666666668E-3</v>
      </c>
      <c r="G992" s="24">
        <v>4.0856481481481481E-3</v>
      </c>
      <c r="H992" s="24">
        <v>0.52800000000000002</v>
      </c>
      <c r="I992" s="18">
        <f t="shared" si="76"/>
        <v>9.3169999999999989E-3</v>
      </c>
      <c r="J992" s="18">
        <f t="shared" si="80"/>
        <v>5.28E-3</v>
      </c>
      <c r="K992" s="19">
        <f t="shared" si="77"/>
        <v>11</v>
      </c>
      <c r="L992" s="18">
        <f t="shared" si="78"/>
        <v>6.8322981366459631E-2</v>
      </c>
      <c r="M992" s="18">
        <f t="shared" si="79"/>
        <v>0.93167701863354035</v>
      </c>
    </row>
    <row r="993" spans="1:13" x14ac:dyDescent="0.3">
      <c r="A993" s="22">
        <v>17</v>
      </c>
      <c r="B993" s="22">
        <v>14</v>
      </c>
      <c r="C993" s="23">
        <v>0.82350000000000001</v>
      </c>
      <c r="D993" s="22">
        <v>3</v>
      </c>
      <c r="E993" s="24">
        <v>5.4398148148148144E-4</v>
      </c>
      <c r="F993" s="24">
        <v>2.1759259259259258E-3</v>
      </c>
      <c r="G993" s="24">
        <v>1.9907407407407408E-3</v>
      </c>
      <c r="H993" s="24">
        <v>0.4118</v>
      </c>
      <c r="I993" s="18">
        <f t="shared" si="76"/>
        <v>8.2349999999999993E-3</v>
      </c>
      <c r="J993" s="18">
        <f t="shared" si="80"/>
        <v>4.1180000000000001E-3</v>
      </c>
      <c r="K993" s="19">
        <f t="shared" si="77"/>
        <v>3</v>
      </c>
      <c r="L993" s="18">
        <f t="shared" si="78"/>
        <v>0.17647058823529413</v>
      </c>
      <c r="M993" s="18">
        <f t="shared" si="79"/>
        <v>0.82352941176470584</v>
      </c>
    </row>
    <row r="994" spans="1:13" x14ac:dyDescent="0.3">
      <c r="A994" s="22">
        <v>168</v>
      </c>
      <c r="B994" s="22">
        <v>145</v>
      </c>
      <c r="C994" s="23">
        <v>0.86309999999999998</v>
      </c>
      <c r="D994" s="22">
        <v>23</v>
      </c>
      <c r="E994" s="24">
        <v>4.3981481481481481E-4</v>
      </c>
      <c r="F994" s="24">
        <v>2.0486111111111113E-3</v>
      </c>
      <c r="G994" s="24">
        <v>2.8703703703703703E-3</v>
      </c>
      <c r="H994" s="24">
        <v>0.50609999999999999</v>
      </c>
      <c r="I994" s="18">
        <f t="shared" si="76"/>
        <v>8.6309999999999998E-3</v>
      </c>
      <c r="J994" s="18">
        <f t="shared" si="80"/>
        <v>5.0609999999999995E-3</v>
      </c>
      <c r="K994" s="19">
        <f t="shared" si="77"/>
        <v>23</v>
      </c>
      <c r="L994" s="18">
        <f t="shared" si="78"/>
        <v>0.13690476190476192</v>
      </c>
      <c r="M994" s="18">
        <f t="shared" si="79"/>
        <v>0.86309523809523814</v>
      </c>
    </row>
    <row r="995" spans="1:13" x14ac:dyDescent="0.3">
      <c r="A995" s="22">
        <v>160</v>
      </c>
      <c r="B995" s="22">
        <v>142</v>
      </c>
      <c r="C995" s="23">
        <v>0.88749999999999996</v>
      </c>
      <c r="D995" s="22">
        <v>18</v>
      </c>
      <c r="E995" s="24">
        <v>3.8194444444444446E-4</v>
      </c>
      <c r="F995" s="24">
        <v>1.8981481481481482E-3</v>
      </c>
      <c r="G995" s="24">
        <v>6.4583333333333333E-3</v>
      </c>
      <c r="H995" s="24">
        <v>0.54139999999999999</v>
      </c>
      <c r="I995" s="18">
        <f t="shared" si="76"/>
        <v>8.8749999999999992E-3</v>
      </c>
      <c r="J995" s="18">
        <f t="shared" si="80"/>
        <v>5.4139999999999995E-3</v>
      </c>
      <c r="K995" s="19">
        <f t="shared" si="77"/>
        <v>18</v>
      </c>
      <c r="L995" s="18">
        <f t="shared" si="78"/>
        <v>0.1125</v>
      </c>
      <c r="M995" s="18">
        <f t="shared" si="79"/>
        <v>0.88749999999999996</v>
      </c>
    </row>
    <row r="996" spans="1:13" x14ac:dyDescent="0.3">
      <c r="A996" s="22">
        <v>185</v>
      </c>
      <c r="B996" s="22">
        <v>159</v>
      </c>
      <c r="C996" s="23">
        <v>0.85950000000000004</v>
      </c>
      <c r="D996" s="22">
        <v>26</v>
      </c>
      <c r="E996" s="24">
        <v>4.7453703703703704E-4</v>
      </c>
      <c r="F996" s="24">
        <v>2.0370370370370369E-3</v>
      </c>
      <c r="G996" s="24">
        <v>3.9699074074074072E-3</v>
      </c>
      <c r="H996" s="24">
        <v>0.42699999999999999</v>
      </c>
      <c r="I996" s="18">
        <f t="shared" si="76"/>
        <v>8.5950000000000002E-3</v>
      </c>
      <c r="J996" s="18">
        <f t="shared" si="80"/>
        <v>4.2699999999999995E-3</v>
      </c>
      <c r="K996" s="19">
        <f t="shared" si="77"/>
        <v>26</v>
      </c>
      <c r="L996" s="18">
        <f t="shared" si="78"/>
        <v>0.14054054054054055</v>
      </c>
      <c r="M996" s="18">
        <f t="shared" si="79"/>
        <v>0.85945945945945945</v>
      </c>
    </row>
    <row r="997" spans="1:13" x14ac:dyDescent="0.3">
      <c r="A997" s="22">
        <v>155</v>
      </c>
      <c r="B997" s="22">
        <v>146</v>
      </c>
      <c r="C997" s="23">
        <v>0.94189999999999996</v>
      </c>
      <c r="D997" s="22">
        <v>9</v>
      </c>
      <c r="E997" s="24">
        <v>3.2407407407407406E-4</v>
      </c>
      <c r="F997" s="24">
        <v>1.9560185185185184E-3</v>
      </c>
      <c r="G997" s="24">
        <v>2.3958333333333331E-3</v>
      </c>
      <c r="H997" s="24">
        <v>0.65159999999999996</v>
      </c>
      <c r="I997" s="18">
        <f t="shared" si="76"/>
        <v>9.4190000000000003E-3</v>
      </c>
      <c r="J997" s="18">
        <f t="shared" si="80"/>
        <v>6.5159999999999992E-3</v>
      </c>
      <c r="K997" s="19">
        <f t="shared" si="77"/>
        <v>9</v>
      </c>
      <c r="L997" s="18">
        <f t="shared" si="78"/>
        <v>5.8064516129032261E-2</v>
      </c>
      <c r="M997" s="18">
        <f t="shared" si="79"/>
        <v>0.9419354838709677</v>
      </c>
    </row>
    <row r="998" spans="1:13" x14ac:dyDescent="0.3">
      <c r="A998" s="22">
        <v>188</v>
      </c>
      <c r="B998" s="22">
        <v>172</v>
      </c>
      <c r="C998" s="23">
        <v>0.91490000000000005</v>
      </c>
      <c r="D998" s="22">
        <v>16</v>
      </c>
      <c r="E998" s="24">
        <v>3.2407407407407406E-4</v>
      </c>
      <c r="F998" s="24">
        <v>1.8402777777777777E-3</v>
      </c>
      <c r="G998" s="24">
        <v>2.1296296296296298E-3</v>
      </c>
      <c r="H998" s="24">
        <v>0.5978</v>
      </c>
      <c r="I998" s="18">
        <f t="shared" si="76"/>
        <v>9.1490000000000009E-3</v>
      </c>
      <c r="J998" s="18">
        <f t="shared" si="80"/>
        <v>5.9779999999999998E-3</v>
      </c>
      <c r="K998" s="19">
        <f t="shared" si="77"/>
        <v>16</v>
      </c>
      <c r="L998" s="18">
        <f t="shared" si="78"/>
        <v>8.5106382978723402E-2</v>
      </c>
      <c r="M998" s="18">
        <f t="shared" si="79"/>
        <v>0.91489361702127658</v>
      </c>
    </row>
    <row r="999" spans="1:13" x14ac:dyDescent="0.3">
      <c r="A999" s="22">
        <v>152</v>
      </c>
      <c r="B999" s="22">
        <v>120</v>
      </c>
      <c r="C999" s="23">
        <v>0.78949999999999998</v>
      </c>
      <c r="D999" s="22">
        <v>32</v>
      </c>
      <c r="E999" s="24">
        <v>3.3564814814814812E-4</v>
      </c>
      <c r="F999" s="24">
        <v>2.0138888888888888E-3</v>
      </c>
      <c r="G999" s="24">
        <v>4.5717592592592589E-3</v>
      </c>
      <c r="H999" s="24">
        <v>0.53059999999999996</v>
      </c>
      <c r="I999" s="18">
        <f t="shared" si="76"/>
        <v>7.8949999999999992E-3</v>
      </c>
      <c r="J999" s="18">
        <f t="shared" si="80"/>
        <v>5.306E-3</v>
      </c>
      <c r="K999" s="19">
        <f t="shared" si="77"/>
        <v>32</v>
      </c>
      <c r="L999" s="18">
        <f t="shared" si="78"/>
        <v>0.21052631578947367</v>
      </c>
      <c r="M999" s="18">
        <f t="shared" si="79"/>
        <v>0.78947368421052633</v>
      </c>
    </row>
    <row r="1000" spans="1:13" x14ac:dyDescent="0.3">
      <c r="A1000" s="22">
        <v>26</v>
      </c>
      <c r="B1000" s="22">
        <v>26</v>
      </c>
      <c r="C1000" s="23">
        <v>1</v>
      </c>
      <c r="D1000" s="22">
        <v>0</v>
      </c>
      <c r="E1000" s="24">
        <v>1.9675925925925926E-4</v>
      </c>
      <c r="F1000" s="24">
        <v>2.0949074074074073E-3</v>
      </c>
      <c r="G1000" s="24">
        <v>9.0277777777777774E-4</v>
      </c>
      <c r="H1000" s="24">
        <v>0.80769999999999997</v>
      </c>
      <c r="I1000" s="18">
        <f t="shared" si="76"/>
        <v>0.01</v>
      </c>
      <c r="J1000" s="18">
        <f t="shared" si="80"/>
        <v>8.0769999999999991E-3</v>
      </c>
      <c r="K1000" s="19">
        <f t="shared" si="77"/>
        <v>0</v>
      </c>
      <c r="L1000" s="18">
        <f t="shared" si="78"/>
        <v>0</v>
      </c>
      <c r="M1000" s="18">
        <f t="shared" si="79"/>
        <v>1</v>
      </c>
    </row>
    <row r="1001" spans="1:13" x14ac:dyDescent="0.3">
      <c r="A1001" s="22">
        <v>152</v>
      </c>
      <c r="B1001" s="22">
        <v>140</v>
      </c>
      <c r="C1001" s="23">
        <v>0.92110000000000003</v>
      </c>
      <c r="D1001" s="22">
        <v>12</v>
      </c>
      <c r="E1001" s="24">
        <v>2.4305555555555555E-4</v>
      </c>
      <c r="F1001" s="24">
        <v>2.0601851851851853E-3</v>
      </c>
      <c r="G1001" s="24">
        <v>4.6296296296296294E-3</v>
      </c>
      <c r="H1001" s="24">
        <v>0.70669999999999999</v>
      </c>
      <c r="I1001" s="18">
        <f t="shared" si="76"/>
        <v>9.2110000000000004E-3</v>
      </c>
      <c r="J1001" s="18">
        <f t="shared" si="80"/>
        <v>7.0670000000000004E-3</v>
      </c>
      <c r="K1001" s="19">
        <f t="shared" si="77"/>
        <v>12</v>
      </c>
      <c r="L1001" s="18">
        <f t="shared" si="78"/>
        <v>7.8947368421052627E-2</v>
      </c>
      <c r="M1001" s="18">
        <f t="shared" si="79"/>
        <v>0.92105263157894735</v>
      </c>
    </row>
    <row r="1002" spans="1:13" x14ac:dyDescent="0.3">
      <c r="A1002" s="22">
        <v>130</v>
      </c>
      <c r="B1002" s="22">
        <v>125</v>
      </c>
      <c r="C1002" s="23">
        <v>0.96150000000000002</v>
      </c>
      <c r="D1002" s="22">
        <v>5</v>
      </c>
      <c r="E1002" s="24">
        <v>9.2592592592592588E-5</v>
      </c>
      <c r="F1002" s="24">
        <v>1.8402777777777777E-3</v>
      </c>
      <c r="G1002" s="24">
        <v>7.1759259259259259E-4</v>
      </c>
      <c r="H1002" s="24">
        <v>0.92</v>
      </c>
      <c r="I1002" s="18">
        <f t="shared" si="76"/>
        <v>9.6150000000000003E-3</v>
      </c>
      <c r="J1002" s="18">
        <f t="shared" si="80"/>
        <v>9.1999999999999998E-3</v>
      </c>
      <c r="K1002" s="19">
        <f t="shared" si="77"/>
        <v>5</v>
      </c>
      <c r="L1002" s="18">
        <f t="shared" si="78"/>
        <v>3.8461538461538464E-2</v>
      </c>
      <c r="M1002" s="18">
        <f t="shared" si="79"/>
        <v>0.96153846153846156</v>
      </c>
    </row>
    <row r="1003" spans="1:13" x14ac:dyDescent="0.3">
      <c r="A1003" s="22">
        <v>191</v>
      </c>
      <c r="B1003" s="22">
        <v>187</v>
      </c>
      <c r="C1003" s="23">
        <v>0.97909999999999997</v>
      </c>
      <c r="D1003" s="22">
        <v>4</v>
      </c>
      <c r="E1003" s="24">
        <v>2.0833333333333335E-4</v>
      </c>
      <c r="F1003" s="24">
        <v>1.7708333333333332E-3</v>
      </c>
      <c r="G1003" s="24">
        <v>2.0023148148148148E-3</v>
      </c>
      <c r="H1003" s="24">
        <v>0.83069999999999999</v>
      </c>
      <c r="I1003" s="18">
        <f t="shared" si="76"/>
        <v>9.7909999999999994E-3</v>
      </c>
      <c r="J1003" s="18">
        <f t="shared" si="80"/>
        <v>8.3070000000000001E-3</v>
      </c>
      <c r="K1003" s="19">
        <f t="shared" si="77"/>
        <v>4</v>
      </c>
      <c r="L1003" s="18">
        <f t="shared" si="78"/>
        <v>2.0942408376963352E-2</v>
      </c>
      <c r="M1003" s="18">
        <f t="shared" si="79"/>
        <v>0.97905759162303663</v>
      </c>
    </row>
    <row r="1004" spans="1:13" x14ac:dyDescent="0.3">
      <c r="A1004" s="22">
        <v>254</v>
      </c>
      <c r="B1004" s="22">
        <v>227</v>
      </c>
      <c r="C1004" s="23">
        <v>0.89370000000000005</v>
      </c>
      <c r="D1004" s="22">
        <v>27</v>
      </c>
      <c r="E1004" s="24">
        <v>3.8194444444444446E-4</v>
      </c>
      <c r="F1004" s="24">
        <v>2.0486111111111113E-3</v>
      </c>
      <c r="G1004" s="24">
        <v>3.1828703703703702E-3</v>
      </c>
      <c r="H1004" s="24">
        <v>0.56569999999999998</v>
      </c>
      <c r="I1004" s="18">
        <f t="shared" si="76"/>
        <v>8.9370000000000005E-3</v>
      </c>
      <c r="J1004" s="18">
        <f t="shared" si="80"/>
        <v>5.6569999999999997E-3</v>
      </c>
      <c r="K1004" s="19">
        <f t="shared" si="77"/>
        <v>27</v>
      </c>
      <c r="L1004" s="18">
        <f t="shared" si="78"/>
        <v>0.1062992125984252</v>
      </c>
      <c r="M1004" s="18">
        <f t="shared" si="79"/>
        <v>0.89370078740157477</v>
      </c>
    </row>
    <row r="1005" spans="1:13" x14ac:dyDescent="0.3">
      <c r="A1005" s="22">
        <v>213</v>
      </c>
      <c r="B1005" s="22">
        <v>188</v>
      </c>
      <c r="C1005" s="23">
        <v>0.88260000000000005</v>
      </c>
      <c r="D1005" s="22">
        <v>25</v>
      </c>
      <c r="E1005" s="24">
        <v>3.4722222222222224E-4</v>
      </c>
      <c r="F1005" s="24">
        <v>1.9907407407407408E-3</v>
      </c>
      <c r="G1005" s="24">
        <v>3.5879629629629629E-3</v>
      </c>
      <c r="H1005" s="24">
        <v>0.54810000000000003</v>
      </c>
      <c r="I1005" s="18">
        <f t="shared" si="76"/>
        <v>8.8260000000000005E-3</v>
      </c>
      <c r="J1005" s="18">
        <f t="shared" si="80"/>
        <v>5.4810000000000006E-3</v>
      </c>
      <c r="K1005" s="19">
        <f t="shared" si="77"/>
        <v>25</v>
      </c>
      <c r="L1005" s="18">
        <f t="shared" si="78"/>
        <v>0.11737089201877934</v>
      </c>
      <c r="M1005" s="18">
        <f t="shared" si="79"/>
        <v>0.88262910798122063</v>
      </c>
    </row>
    <row r="1006" spans="1:13" x14ac:dyDescent="0.3">
      <c r="A1006" s="22">
        <v>176</v>
      </c>
      <c r="B1006" s="22">
        <v>151</v>
      </c>
      <c r="C1006" s="23">
        <v>0.85799999999999998</v>
      </c>
      <c r="D1006" s="22">
        <v>25</v>
      </c>
      <c r="E1006" s="24">
        <v>3.7037037037037035E-4</v>
      </c>
      <c r="F1006" s="24">
        <v>1.9097222222222222E-3</v>
      </c>
      <c r="G1006" s="24">
        <v>4.3055555555555555E-3</v>
      </c>
      <c r="H1006" s="24">
        <v>0.5575</v>
      </c>
      <c r="I1006" s="18">
        <f t="shared" si="76"/>
        <v>8.5799999999999991E-3</v>
      </c>
      <c r="J1006" s="18">
        <f t="shared" si="80"/>
        <v>5.5750000000000001E-3</v>
      </c>
      <c r="K1006" s="19">
        <f t="shared" si="77"/>
        <v>25</v>
      </c>
      <c r="L1006" s="18">
        <f t="shared" si="78"/>
        <v>0.14204545454545456</v>
      </c>
      <c r="M1006" s="18">
        <f t="shared" si="79"/>
        <v>0.85795454545454541</v>
      </c>
    </row>
    <row r="1007" spans="1:13" x14ac:dyDescent="0.3">
      <c r="A1007" s="22">
        <v>61</v>
      </c>
      <c r="B1007" s="22">
        <v>59</v>
      </c>
      <c r="C1007" s="23">
        <v>0.96719999999999995</v>
      </c>
      <c r="D1007" s="22">
        <v>2</v>
      </c>
      <c r="E1007" s="24">
        <v>1.8518518518518518E-4</v>
      </c>
      <c r="F1007" s="24">
        <v>1.0532407407407407E-3</v>
      </c>
      <c r="G1007" s="24">
        <v>2.1527777777777778E-3</v>
      </c>
      <c r="H1007" s="24">
        <v>0.80330000000000001</v>
      </c>
      <c r="I1007" s="18">
        <f t="shared" si="76"/>
        <v>9.672E-3</v>
      </c>
      <c r="J1007" s="18">
        <f t="shared" si="80"/>
        <v>8.0330000000000002E-3</v>
      </c>
      <c r="K1007" s="19">
        <f t="shared" si="77"/>
        <v>2</v>
      </c>
      <c r="L1007" s="18">
        <f t="shared" si="78"/>
        <v>3.2786885245901641E-2</v>
      </c>
      <c r="M1007" s="18">
        <f t="shared" si="79"/>
        <v>0.96721311475409832</v>
      </c>
    </row>
    <row r="1008" spans="1:13" x14ac:dyDescent="0.3">
      <c r="A1008" s="22">
        <v>166</v>
      </c>
      <c r="B1008" s="22">
        <v>154</v>
      </c>
      <c r="C1008" s="23">
        <v>0.92769999999999997</v>
      </c>
      <c r="D1008" s="22">
        <v>12</v>
      </c>
      <c r="E1008" s="24">
        <v>3.2407407407407406E-4</v>
      </c>
      <c r="F1008" s="24">
        <v>2.0370370370370369E-3</v>
      </c>
      <c r="G1008" s="24">
        <v>2.2685185185185187E-3</v>
      </c>
      <c r="H1008" s="24">
        <v>0.61819999999999997</v>
      </c>
      <c r="I1008" s="18">
        <f t="shared" si="76"/>
        <v>9.2770000000000005E-3</v>
      </c>
      <c r="J1008" s="18">
        <f t="shared" si="80"/>
        <v>6.182E-3</v>
      </c>
      <c r="K1008" s="19">
        <f t="shared" si="77"/>
        <v>12</v>
      </c>
      <c r="L1008" s="18">
        <f t="shared" si="78"/>
        <v>7.2289156626506021E-2</v>
      </c>
      <c r="M1008" s="18">
        <f t="shared" si="79"/>
        <v>0.92771084337349397</v>
      </c>
    </row>
    <row r="1009" spans="1:13" x14ac:dyDescent="0.3">
      <c r="A1009" s="22">
        <v>191</v>
      </c>
      <c r="B1009" s="22">
        <v>172</v>
      </c>
      <c r="C1009" s="23">
        <v>0.90049999999999997</v>
      </c>
      <c r="D1009" s="22">
        <v>19</v>
      </c>
      <c r="E1009" s="24">
        <v>2.4305555555555555E-4</v>
      </c>
      <c r="F1009" s="24">
        <v>1.8518518518518519E-3</v>
      </c>
      <c r="G1009" s="24">
        <v>2.3495370370370371E-3</v>
      </c>
      <c r="H1009" s="24">
        <v>0.73770000000000002</v>
      </c>
      <c r="I1009" s="18">
        <f t="shared" si="76"/>
        <v>9.0049999999999991E-3</v>
      </c>
      <c r="J1009" s="18">
        <f t="shared" si="80"/>
        <v>7.3769999999999999E-3</v>
      </c>
      <c r="K1009" s="19">
        <f t="shared" si="77"/>
        <v>19</v>
      </c>
      <c r="L1009" s="18">
        <f t="shared" si="78"/>
        <v>9.947643979057591E-2</v>
      </c>
      <c r="M1009" s="18">
        <f t="shared" si="79"/>
        <v>0.90052356020942403</v>
      </c>
    </row>
    <row r="1010" spans="1:13" x14ac:dyDescent="0.3">
      <c r="A1010" s="22">
        <v>171</v>
      </c>
      <c r="B1010" s="22">
        <v>157</v>
      </c>
      <c r="C1010" s="23">
        <v>0.91810000000000003</v>
      </c>
      <c r="D1010" s="22">
        <v>14</v>
      </c>
      <c r="E1010" s="24">
        <v>2.199074074074074E-4</v>
      </c>
      <c r="F1010" s="24">
        <v>1.7824074074074075E-3</v>
      </c>
      <c r="G1010" s="24">
        <v>1.4699074074074074E-3</v>
      </c>
      <c r="H1010" s="24">
        <v>0.72619999999999996</v>
      </c>
      <c r="I1010" s="18">
        <f t="shared" si="76"/>
        <v>9.1809999999999999E-3</v>
      </c>
      <c r="J1010" s="18">
        <f t="shared" si="80"/>
        <v>7.2619999999999994E-3</v>
      </c>
      <c r="K1010" s="19">
        <f t="shared" si="77"/>
        <v>14</v>
      </c>
      <c r="L1010" s="18">
        <f t="shared" si="78"/>
        <v>8.1871345029239762E-2</v>
      </c>
      <c r="M1010" s="18">
        <f t="shared" si="79"/>
        <v>0.91812865497076024</v>
      </c>
    </row>
    <row r="1011" spans="1:13" x14ac:dyDescent="0.3">
      <c r="A1011" s="22">
        <v>153</v>
      </c>
      <c r="B1011" s="22">
        <v>124</v>
      </c>
      <c r="C1011" s="23">
        <v>0.8105</v>
      </c>
      <c r="D1011" s="22">
        <v>29</v>
      </c>
      <c r="E1011" s="24">
        <v>5.7870370370370367E-4</v>
      </c>
      <c r="F1011" s="24">
        <v>2.1296296296296298E-3</v>
      </c>
      <c r="G1011" s="24">
        <v>4.178240740740741E-3</v>
      </c>
      <c r="H1011" s="24">
        <v>0.45329999999999998</v>
      </c>
      <c r="I1011" s="18">
        <f t="shared" si="76"/>
        <v>8.1049999999999994E-3</v>
      </c>
      <c r="J1011" s="18">
        <f t="shared" si="80"/>
        <v>4.5329999999999997E-3</v>
      </c>
      <c r="K1011" s="19">
        <f t="shared" si="77"/>
        <v>29</v>
      </c>
      <c r="L1011" s="18">
        <f t="shared" si="78"/>
        <v>0.18954248366013071</v>
      </c>
      <c r="M1011" s="18">
        <f t="shared" si="79"/>
        <v>0.81045751633986929</v>
      </c>
    </row>
    <row r="1012" spans="1:13" x14ac:dyDescent="0.3">
      <c r="A1012" s="22">
        <v>183</v>
      </c>
      <c r="B1012" s="22">
        <v>158</v>
      </c>
      <c r="C1012" s="23">
        <v>0.86339999999999995</v>
      </c>
      <c r="D1012" s="22">
        <v>25</v>
      </c>
      <c r="E1012" s="24">
        <v>3.8194444444444446E-4</v>
      </c>
      <c r="F1012" s="24">
        <v>1.9907407407407408E-3</v>
      </c>
      <c r="G1012" s="24">
        <v>3.5879629629629629E-3</v>
      </c>
      <c r="H1012" s="24">
        <v>0.51910000000000001</v>
      </c>
      <c r="I1012" s="18">
        <f t="shared" si="76"/>
        <v>8.6339999999999993E-3</v>
      </c>
      <c r="J1012" s="18">
        <f t="shared" si="80"/>
        <v>5.1910000000000003E-3</v>
      </c>
      <c r="K1012" s="19">
        <f t="shared" si="77"/>
        <v>25</v>
      </c>
      <c r="L1012" s="18">
        <f t="shared" si="78"/>
        <v>0.13661202185792351</v>
      </c>
      <c r="M1012" s="18">
        <f t="shared" si="79"/>
        <v>0.86338797814207646</v>
      </c>
    </row>
    <row r="1013" spans="1:13" x14ac:dyDescent="0.3">
      <c r="A1013" s="22">
        <v>14</v>
      </c>
      <c r="B1013" s="22">
        <v>14</v>
      </c>
      <c r="C1013" s="23">
        <v>1</v>
      </c>
      <c r="D1013" s="22">
        <v>0</v>
      </c>
      <c r="E1013" s="24">
        <v>1.7361111111111112E-4</v>
      </c>
      <c r="F1013" s="24">
        <v>2.5810185185185185E-3</v>
      </c>
      <c r="G1013" s="24">
        <v>1.0648148148148149E-3</v>
      </c>
      <c r="H1013" s="24">
        <v>0.85709999999999997</v>
      </c>
      <c r="I1013" s="18">
        <f t="shared" si="76"/>
        <v>0.01</v>
      </c>
      <c r="J1013" s="18">
        <f t="shared" si="80"/>
        <v>8.5710000000000005E-3</v>
      </c>
      <c r="K1013" s="19">
        <f t="shared" si="77"/>
        <v>0</v>
      </c>
      <c r="L1013" s="18">
        <f t="shared" si="78"/>
        <v>0</v>
      </c>
      <c r="M1013" s="18">
        <f t="shared" si="79"/>
        <v>1</v>
      </c>
    </row>
    <row r="1014" spans="1:13" x14ac:dyDescent="0.3">
      <c r="A1014" s="22">
        <v>18</v>
      </c>
      <c r="B1014" s="22">
        <v>18</v>
      </c>
      <c r="C1014" s="23">
        <v>1</v>
      </c>
      <c r="D1014" s="22">
        <v>0</v>
      </c>
      <c r="E1014" s="24">
        <v>3.4722222222222222E-5</v>
      </c>
      <c r="F1014" s="24">
        <v>2.0370370370370369E-3</v>
      </c>
      <c r="G1014" s="24">
        <v>6.9444444444444444E-5</v>
      </c>
      <c r="H1014" s="24">
        <v>1</v>
      </c>
      <c r="I1014" s="18">
        <f t="shared" si="76"/>
        <v>0.01</v>
      </c>
      <c r="J1014" s="18">
        <f t="shared" si="80"/>
        <v>0.01</v>
      </c>
      <c r="K1014" s="19">
        <f t="shared" si="77"/>
        <v>0</v>
      </c>
      <c r="L1014" s="18">
        <f t="shared" si="78"/>
        <v>0</v>
      </c>
      <c r="M1014" s="18">
        <f t="shared" si="79"/>
        <v>1</v>
      </c>
    </row>
    <row r="1015" spans="1:13" x14ac:dyDescent="0.3">
      <c r="A1015" s="22">
        <v>159</v>
      </c>
      <c r="B1015" s="22">
        <v>148</v>
      </c>
      <c r="C1015" s="23">
        <v>0.93079999999999996</v>
      </c>
      <c r="D1015" s="22">
        <v>11</v>
      </c>
      <c r="E1015" s="24">
        <v>2.5462962962962961E-4</v>
      </c>
      <c r="F1015" s="24">
        <v>1.8055555555555555E-3</v>
      </c>
      <c r="G1015" s="24">
        <v>2.2569444444444442E-3</v>
      </c>
      <c r="H1015" s="24">
        <v>0.69430000000000003</v>
      </c>
      <c r="I1015" s="18">
        <f t="shared" si="76"/>
        <v>9.3080000000000003E-3</v>
      </c>
      <c r="J1015" s="18">
        <f t="shared" si="80"/>
        <v>6.9430000000000004E-3</v>
      </c>
      <c r="K1015" s="19">
        <f t="shared" si="77"/>
        <v>11</v>
      </c>
      <c r="L1015" s="18">
        <f t="shared" si="78"/>
        <v>6.9182389937106917E-2</v>
      </c>
      <c r="M1015" s="18">
        <f t="shared" si="79"/>
        <v>0.9308176100628931</v>
      </c>
    </row>
    <row r="1016" spans="1:13" x14ac:dyDescent="0.3">
      <c r="A1016" s="22">
        <v>143</v>
      </c>
      <c r="B1016" s="22">
        <v>134</v>
      </c>
      <c r="C1016" s="23">
        <v>0.93710000000000004</v>
      </c>
      <c r="D1016" s="22">
        <v>9</v>
      </c>
      <c r="E1016" s="24">
        <v>2.5462962962962961E-4</v>
      </c>
      <c r="F1016" s="24">
        <v>1.9791666666666668E-3</v>
      </c>
      <c r="G1016" s="24">
        <v>3.5879629629629629E-3</v>
      </c>
      <c r="H1016" s="24">
        <v>0.74099999999999999</v>
      </c>
      <c r="I1016" s="18">
        <f t="shared" si="76"/>
        <v>9.3710000000000009E-3</v>
      </c>
      <c r="J1016" s="18">
        <f t="shared" si="80"/>
        <v>7.4099999999999999E-3</v>
      </c>
      <c r="K1016" s="19">
        <f t="shared" si="77"/>
        <v>9</v>
      </c>
      <c r="L1016" s="18">
        <f t="shared" si="78"/>
        <v>6.2937062937062943E-2</v>
      </c>
      <c r="M1016" s="18">
        <f t="shared" si="79"/>
        <v>0.93706293706293708</v>
      </c>
    </row>
    <row r="1017" spans="1:13" x14ac:dyDescent="0.3">
      <c r="A1017" s="22">
        <v>195</v>
      </c>
      <c r="B1017" s="22">
        <v>175</v>
      </c>
      <c r="C1017" s="23">
        <v>0.89739999999999998</v>
      </c>
      <c r="D1017" s="22">
        <v>20</v>
      </c>
      <c r="E1017" s="24">
        <v>3.3564814814814812E-4</v>
      </c>
      <c r="F1017" s="24">
        <v>1.9328703703703704E-3</v>
      </c>
      <c r="G1017" s="24">
        <v>2.9050925925925928E-3</v>
      </c>
      <c r="H1017" s="24">
        <v>0.61580000000000001</v>
      </c>
      <c r="I1017" s="18">
        <f t="shared" si="76"/>
        <v>8.9739999999999993E-3</v>
      </c>
      <c r="J1017" s="18">
        <f t="shared" si="80"/>
        <v>6.1580000000000003E-3</v>
      </c>
      <c r="K1017" s="19">
        <f t="shared" si="77"/>
        <v>20</v>
      </c>
      <c r="L1017" s="18">
        <f t="shared" si="78"/>
        <v>0.10256410256410256</v>
      </c>
      <c r="M1017" s="18">
        <f t="shared" si="79"/>
        <v>0.89743589743589747</v>
      </c>
    </row>
    <row r="1018" spans="1:13" x14ac:dyDescent="0.3">
      <c r="A1018" s="22">
        <v>194</v>
      </c>
      <c r="B1018" s="22">
        <v>150</v>
      </c>
      <c r="C1018" s="23">
        <v>0.7732</v>
      </c>
      <c r="D1018" s="22">
        <v>44</v>
      </c>
      <c r="E1018" s="24">
        <v>4.2824074074074075E-4</v>
      </c>
      <c r="F1018" s="24">
        <v>1.9328703703703704E-3</v>
      </c>
      <c r="G1018" s="24">
        <v>2.9745370370370373E-3</v>
      </c>
      <c r="H1018" s="24">
        <v>0.47339999999999999</v>
      </c>
      <c r="I1018" s="18">
        <f t="shared" si="76"/>
        <v>7.7320000000000002E-3</v>
      </c>
      <c r="J1018" s="18">
        <f t="shared" si="80"/>
        <v>4.7339999999999995E-3</v>
      </c>
      <c r="K1018" s="19">
        <f t="shared" si="77"/>
        <v>44</v>
      </c>
      <c r="L1018" s="18">
        <f t="shared" si="78"/>
        <v>0.22680412371134021</v>
      </c>
      <c r="M1018" s="18">
        <f t="shared" si="79"/>
        <v>0.77319587628865982</v>
      </c>
    </row>
    <row r="1019" spans="1:13" x14ac:dyDescent="0.3">
      <c r="A1019" s="22">
        <v>390</v>
      </c>
      <c r="B1019" s="22">
        <v>362</v>
      </c>
      <c r="C1019" s="23">
        <v>0.92820000000000003</v>
      </c>
      <c r="D1019" s="22">
        <v>28</v>
      </c>
      <c r="E1019" s="24">
        <v>3.5879629629629629E-4</v>
      </c>
      <c r="F1019" s="24">
        <v>1.9675925925925924E-3</v>
      </c>
      <c r="G1019" s="24">
        <v>4.0046296296296297E-3</v>
      </c>
      <c r="H1019" s="24">
        <v>0.5948</v>
      </c>
      <c r="I1019" s="18">
        <f t="shared" si="76"/>
        <v>9.2820000000000003E-3</v>
      </c>
      <c r="J1019" s="18">
        <f t="shared" si="80"/>
        <v>5.9480000000000002E-3</v>
      </c>
      <c r="K1019" s="19">
        <f t="shared" si="77"/>
        <v>28</v>
      </c>
      <c r="L1019" s="18">
        <f t="shared" si="78"/>
        <v>7.179487179487179E-2</v>
      </c>
      <c r="M1019" s="18">
        <f t="shared" si="79"/>
        <v>0.92820512820512824</v>
      </c>
    </row>
    <row r="1020" spans="1:13" x14ac:dyDescent="0.3">
      <c r="A1020" s="22">
        <v>238</v>
      </c>
      <c r="B1020" s="22">
        <v>205</v>
      </c>
      <c r="C1020" s="23">
        <v>0.86129999999999995</v>
      </c>
      <c r="D1020" s="22">
        <v>33</v>
      </c>
      <c r="E1020" s="24">
        <v>3.3564814814814812E-4</v>
      </c>
      <c r="F1020" s="24">
        <v>1.5972222222222223E-3</v>
      </c>
      <c r="G1020" s="24">
        <v>3.5879629629629629E-3</v>
      </c>
      <c r="H1020" s="24">
        <v>0.60870000000000002</v>
      </c>
      <c r="I1020" s="18">
        <f t="shared" si="76"/>
        <v>8.6129999999999991E-3</v>
      </c>
      <c r="J1020" s="18">
        <f t="shared" si="80"/>
        <v>6.0870000000000004E-3</v>
      </c>
      <c r="K1020" s="19">
        <f t="shared" si="77"/>
        <v>33</v>
      </c>
      <c r="L1020" s="18">
        <f t="shared" si="78"/>
        <v>0.13865546218487396</v>
      </c>
      <c r="M1020" s="18">
        <f t="shared" si="79"/>
        <v>0.8613445378151261</v>
      </c>
    </row>
    <row r="1021" spans="1:13" x14ac:dyDescent="0.3">
      <c r="A1021" s="22">
        <v>29</v>
      </c>
      <c r="B1021" s="22">
        <v>28</v>
      </c>
      <c r="C1021" s="23">
        <v>0.96550000000000002</v>
      </c>
      <c r="D1021" s="22">
        <v>1</v>
      </c>
      <c r="E1021" s="24">
        <v>1.0416666666666667E-4</v>
      </c>
      <c r="F1021" s="24">
        <v>1.712962962962963E-3</v>
      </c>
      <c r="G1021" s="24">
        <v>7.5231481481481482E-4</v>
      </c>
      <c r="H1021" s="24">
        <v>0.89290000000000003</v>
      </c>
      <c r="I1021" s="18">
        <f t="shared" si="76"/>
        <v>9.6550000000000004E-3</v>
      </c>
      <c r="J1021" s="18">
        <f t="shared" si="80"/>
        <v>8.9289999999999994E-3</v>
      </c>
      <c r="K1021" s="19">
        <f t="shared" si="77"/>
        <v>1</v>
      </c>
      <c r="L1021" s="18">
        <f t="shared" si="78"/>
        <v>3.4482758620689655E-2</v>
      </c>
      <c r="M1021" s="18">
        <f t="shared" si="79"/>
        <v>0.96551724137931039</v>
      </c>
    </row>
    <row r="1022" spans="1:13" x14ac:dyDescent="0.3">
      <c r="A1022" s="22">
        <v>30</v>
      </c>
      <c r="B1022" s="22">
        <v>29</v>
      </c>
      <c r="C1022" s="23">
        <v>0.9667</v>
      </c>
      <c r="D1022" s="22">
        <v>1</v>
      </c>
      <c r="E1022" s="24">
        <v>2.199074074074074E-4</v>
      </c>
      <c r="F1022" s="24">
        <v>1.736111111111111E-3</v>
      </c>
      <c r="G1022" s="24">
        <v>1.7476851851851852E-3</v>
      </c>
      <c r="H1022" s="24">
        <v>0.83330000000000004</v>
      </c>
      <c r="I1022" s="18">
        <f t="shared" si="76"/>
        <v>9.6670000000000002E-3</v>
      </c>
      <c r="J1022" s="18">
        <f t="shared" si="80"/>
        <v>8.3330000000000001E-3</v>
      </c>
      <c r="K1022" s="19">
        <f t="shared" si="77"/>
        <v>1</v>
      </c>
      <c r="L1022" s="18">
        <f t="shared" si="78"/>
        <v>3.3333333333333333E-2</v>
      </c>
      <c r="M1022" s="18">
        <f t="shared" si="79"/>
        <v>0.96666666666666667</v>
      </c>
    </row>
    <row r="1023" spans="1:13" x14ac:dyDescent="0.3">
      <c r="A1023" s="22">
        <v>287</v>
      </c>
      <c r="B1023" s="22">
        <v>273</v>
      </c>
      <c r="C1023" s="23">
        <v>0.95120000000000005</v>
      </c>
      <c r="D1023" s="22">
        <v>14</v>
      </c>
      <c r="E1023" s="24">
        <v>1.8518518518518518E-4</v>
      </c>
      <c r="F1023" s="24">
        <v>1.6203703703703703E-3</v>
      </c>
      <c r="G1023" s="24">
        <v>2.1527777777777778E-3</v>
      </c>
      <c r="H1023" s="24">
        <v>0.79</v>
      </c>
      <c r="I1023" s="18">
        <f t="shared" si="76"/>
        <v>9.5119999999999996E-3</v>
      </c>
      <c r="J1023" s="18">
        <f t="shared" si="80"/>
        <v>7.9000000000000008E-3</v>
      </c>
      <c r="K1023" s="19">
        <f t="shared" si="77"/>
        <v>14</v>
      </c>
      <c r="L1023" s="18">
        <f t="shared" si="78"/>
        <v>4.878048780487805E-2</v>
      </c>
      <c r="M1023" s="18">
        <f t="shared" si="79"/>
        <v>0.95121951219512191</v>
      </c>
    </row>
    <row r="1024" spans="1:13" x14ac:dyDescent="0.3">
      <c r="A1024" s="22">
        <v>474</v>
      </c>
      <c r="B1024" s="22">
        <v>380</v>
      </c>
      <c r="C1024" s="23">
        <v>0.80169999999999997</v>
      </c>
      <c r="D1024" s="22">
        <v>94</v>
      </c>
      <c r="E1024" s="24">
        <v>4.5138888888888887E-4</v>
      </c>
      <c r="F1024" s="24">
        <v>1.4814814814814814E-3</v>
      </c>
      <c r="G1024" s="24">
        <v>5.5324074074074078E-3</v>
      </c>
      <c r="H1024" s="24">
        <v>0.47420000000000001</v>
      </c>
      <c r="I1024" s="18">
        <f t="shared" si="76"/>
        <v>8.0169999999999998E-3</v>
      </c>
      <c r="J1024" s="18">
        <f t="shared" si="80"/>
        <v>4.7419999999999997E-3</v>
      </c>
      <c r="K1024" s="19">
        <f t="shared" si="77"/>
        <v>94</v>
      </c>
      <c r="L1024" s="18">
        <f t="shared" si="78"/>
        <v>0.19831223628691982</v>
      </c>
      <c r="M1024" s="18">
        <f t="shared" si="79"/>
        <v>0.80168776371308015</v>
      </c>
    </row>
    <row r="1025" spans="1:13" x14ac:dyDescent="0.3">
      <c r="A1025" s="22">
        <v>277</v>
      </c>
      <c r="B1025" s="22">
        <v>230</v>
      </c>
      <c r="C1025" s="23">
        <v>0.83030000000000004</v>
      </c>
      <c r="D1025" s="22">
        <v>47</v>
      </c>
      <c r="E1025" s="24">
        <v>4.6296296296296298E-4</v>
      </c>
      <c r="F1025" s="24">
        <v>1.9907407407407408E-3</v>
      </c>
      <c r="G1025" s="24">
        <v>4.31712962962963E-3</v>
      </c>
      <c r="H1025" s="24">
        <v>0.46179999999999999</v>
      </c>
      <c r="I1025" s="18">
        <f t="shared" si="76"/>
        <v>8.3029999999999996E-3</v>
      </c>
      <c r="J1025" s="18">
        <f t="shared" si="80"/>
        <v>4.6179999999999997E-3</v>
      </c>
      <c r="K1025" s="19">
        <f t="shared" si="77"/>
        <v>47</v>
      </c>
      <c r="L1025" s="18">
        <f t="shared" si="78"/>
        <v>0.16967509025270758</v>
      </c>
      <c r="M1025" s="18">
        <f t="shared" si="79"/>
        <v>0.83032490974729245</v>
      </c>
    </row>
    <row r="1026" spans="1:13" x14ac:dyDescent="0.3">
      <c r="A1026" s="22">
        <v>173</v>
      </c>
      <c r="B1026" s="22">
        <v>163</v>
      </c>
      <c r="C1026" s="23">
        <v>0.94220000000000004</v>
      </c>
      <c r="D1026" s="22">
        <v>10</v>
      </c>
      <c r="E1026" s="24">
        <v>1.9675925925925926E-4</v>
      </c>
      <c r="F1026" s="24">
        <v>1.9212962962962964E-3</v>
      </c>
      <c r="G1026" s="24">
        <v>1.8981481481481482E-3</v>
      </c>
      <c r="H1026" s="24">
        <v>0.77190000000000003</v>
      </c>
      <c r="I1026" s="18">
        <f t="shared" si="76"/>
        <v>9.4219999999999998E-3</v>
      </c>
      <c r="J1026" s="18">
        <f t="shared" si="80"/>
        <v>7.7190000000000002E-3</v>
      </c>
      <c r="K1026" s="19">
        <f t="shared" si="77"/>
        <v>10</v>
      </c>
      <c r="L1026" s="18">
        <f t="shared" si="78"/>
        <v>5.7803468208092484E-2</v>
      </c>
      <c r="M1026" s="18">
        <f t="shared" si="79"/>
        <v>0.94219653179190754</v>
      </c>
    </row>
    <row r="1027" spans="1:13" x14ac:dyDescent="0.3">
      <c r="A1027" s="22">
        <v>167</v>
      </c>
      <c r="B1027" s="22">
        <v>152</v>
      </c>
      <c r="C1027" s="23">
        <v>0.91020000000000001</v>
      </c>
      <c r="D1027" s="22">
        <v>15</v>
      </c>
      <c r="E1027" s="24">
        <v>1.5046296296296297E-4</v>
      </c>
      <c r="F1027" s="24">
        <v>1.8171296296296297E-3</v>
      </c>
      <c r="G1027" s="24">
        <v>3.5879629629629629E-3</v>
      </c>
      <c r="H1027" s="24">
        <v>0.84150000000000003</v>
      </c>
      <c r="I1027" s="18">
        <f t="shared" ref="I1027:I1090" si="81">VALUE(SUBSTITUTE(C1027,"%",""))/100</f>
        <v>9.1020000000000007E-3</v>
      </c>
      <c r="J1027" s="18">
        <f t="shared" si="80"/>
        <v>8.4150000000000006E-3</v>
      </c>
      <c r="K1027" s="19">
        <f t="shared" ref="K1027:K1090" si="82">A1027-B1027</f>
        <v>15</v>
      </c>
      <c r="L1027" s="18">
        <f t="shared" ref="L1027:L1090" si="83">D1027/A1027</f>
        <v>8.9820359281437126E-2</v>
      </c>
      <c r="M1027" s="18">
        <f t="shared" ref="M1027:M1090" si="84">B1027/A1027</f>
        <v>0.91017964071856283</v>
      </c>
    </row>
    <row r="1028" spans="1:13" x14ac:dyDescent="0.3">
      <c r="A1028" s="22">
        <v>27</v>
      </c>
      <c r="B1028" s="22">
        <v>24</v>
      </c>
      <c r="C1028" s="23">
        <v>0.88890000000000002</v>
      </c>
      <c r="D1028" s="22">
        <v>3</v>
      </c>
      <c r="E1028" s="24">
        <v>2.3148148148148149E-4</v>
      </c>
      <c r="F1028" s="24">
        <v>1.4467592592592592E-3</v>
      </c>
      <c r="G1028" s="24">
        <v>2.5810185185185185E-3</v>
      </c>
      <c r="H1028" s="24">
        <v>0.76919999999999999</v>
      </c>
      <c r="I1028" s="18">
        <f t="shared" si="81"/>
        <v>8.8890000000000011E-3</v>
      </c>
      <c r="J1028" s="18">
        <f t="shared" si="80"/>
        <v>7.6920000000000001E-3</v>
      </c>
      <c r="K1028" s="19">
        <f t="shared" si="82"/>
        <v>3</v>
      </c>
      <c r="L1028" s="18">
        <f t="shared" si="83"/>
        <v>0.1111111111111111</v>
      </c>
      <c r="M1028" s="18">
        <f t="shared" si="84"/>
        <v>0.88888888888888884</v>
      </c>
    </row>
    <row r="1029" spans="1:13" x14ac:dyDescent="0.3">
      <c r="A1029" s="22">
        <v>173</v>
      </c>
      <c r="B1029" s="22">
        <v>153</v>
      </c>
      <c r="C1029" s="23">
        <v>0.88439999999999996</v>
      </c>
      <c r="D1029" s="22">
        <v>20</v>
      </c>
      <c r="E1029" s="24">
        <v>3.3564814814814812E-4</v>
      </c>
      <c r="F1029" s="24">
        <v>1.9212962962962964E-3</v>
      </c>
      <c r="G1029" s="24">
        <v>2.1527777777777778E-3</v>
      </c>
      <c r="H1029" s="24">
        <v>0.57989999999999997</v>
      </c>
      <c r="I1029" s="18">
        <f t="shared" si="81"/>
        <v>8.8439999999999994E-3</v>
      </c>
      <c r="J1029" s="18">
        <f t="shared" si="80"/>
        <v>5.7989999999999995E-3</v>
      </c>
      <c r="K1029" s="19">
        <f t="shared" si="82"/>
        <v>20</v>
      </c>
      <c r="L1029" s="18">
        <f t="shared" si="83"/>
        <v>0.11560693641618497</v>
      </c>
      <c r="M1029" s="18">
        <f t="shared" si="84"/>
        <v>0.88439306358381498</v>
      </c>
    </row>
    <row r="1030" spans="1:13" x14ac:dyDescent="0.3">
      <c r="A1030" s="22">
        <v>36</v>
      </c>
      <c r="B1030" s="22">
        <v>27</v>
      </c>
      <c r="C1030" s="23">
        <v>0.75</v>
      </c>
      <c r="D1030" s="22">
        <v>9</v>
      </c>
      <c r="E1030" s="24">
        <v>4.1666666666666669E-4</v>
      </c>
      <c r="F1030" s="24">
        <v>2.0254629629629629E-3</v>
      </c>
      <c r="G1030" s="24">
        <v>2.7430555555555554E-3</v>
      </c>
      <c r="H1030" s="24">
        <v>0.41670000000000001</v>
      </c>
      <c r="I1030" s="18">
        <f t="shared" si="81"/>
        <v>7.4999999999999997E-3</v>
      </c>
      <c r="J1030" s="18">
        <f t="shared" ref="J1030:J1093" si="85">VALUE(SUBSTITUTE(H1030,"%",""))/100</f>
        <v>4.1670000000000006E-3</v>
      </c>
      <c r="K1030" s="19">
        <f t="shared" si="82"/>
        <v>9</v>
      </c>
      <c r="L1030" s="18">
        <f t="shared" si="83"/>
        <v>0.25</v>
      </c>
      <c r="M1030" s="18">
        <f t="shared" si="84"/>
        <v>0.75</v>
      </c>
    </row>
    <row r="1031" spans="1:13" x14ac:dyDescent="0.3">
      <c r="A1031" s="22">
        <v>186</v>
      </c>
      <c r="B1031" s="22">
        <v>171</v>
      </c>
      <c r="C1031" s="23">
        <v>0.9194</v>
      </c>
      <c r="D1031" s="22">
        <v>15</v>
      </c>
      <c r="E1031" s="24">
        <v>3.1250000000000001E-4</v>
      </c>
      <c r="F1031" s="24">
        <v>1.9560185185185184E-3</v>
      </c>
      <c r="G1031" s="24">
        <v>2.4074074074074076E-3</v>
      </c>
      <c r="H1031" s="24">
        <v>0.64480000000000004</v>
      </c>
      <c r="I1031" s="18">
        <f t="shared" si="81"/>
        <v>9.1940000000000008E-3</v>
      </c>
      <c r="J1031" s="18">
        <f t="shared" si="85"/>
        <v>6.4480000000000006E-3</v>
      </c>
      <c r="K1031" s="19">
        <f t="shared" si="82"/>
        <v>15</v>
      </c>
      <c r="L1031" s="18">
        <f t="shared" si="83"/>
        <v>8.0645161290322578E-2</v>
      </c>
      <c r="M1031" s="18">
        <f t="shared" si="84"/>
        <v>0.91935483870967738</v>
      </c>
    </row>
    <row r="1032" spans="1:13" x14ac:dyDescent="0.3">
      <c r="A1032" s="22">
        <v>160</v>
      </c>
      <c r="B1032" s="22">
        <v>149</v>
      </c>
      <c r="C1032" s="23">
        <v>0.93130000000000002</v>
      </c>
      <c r="D1032" s="22">
        <v>11</v>
      </c>
      <c r="E1032" s="24">
        <v>2.6620370370370372E-4</v>
      </c>
      <c r="F1032" s="24">
        <v>1.9328703703703704E-3</v>
      </c>
      <c r="G1032" s="24">
        <v>3.3796296296296296E-3</v>
      </c>
      <c r="H1032" s="24">
        <v>0.74050000000000005</v>
      </c>
      <c r="I1032" s="18">
        <f t="shared" si="81"/>
        <v>9.3130000000000001E-3</v>
      </c>
      <c r="J1032" s="18">
        <f t="shared" si="85"/>
        <v>7.4050000000000001E-3</v>
      </c>
      <c r="K1032" s="19">
        <f t="shared" si="82"/>
        <v>11</v>
      </c>
      <c r="L1032" s="18">
        <f t="shared" si="83"/>
        <v>6.8750000000000006E-2</v>
      </c>
      <c r="M1032" s="18">
        <f t="shared" si="84"/>
        <v>0.93125000000000002</v>
      </c>
    </row>
    <row r="1033" spans="1:13" x14ac:dyDescent="0.3">
      <c r="A1033" s="22">
        <v>233</v>
      </c>
      <c r="B1033" s="22">
        <v>215</v>
      </c>
      <c r="C1033" s="23">
        <v>0.92269999999999996</v>
      </c>
      <c r="D1033" s="22">
        <v>18</v>
      </c>
      <c r="E1033" s="24">
        <v>2.5462962962962961E-4</v>
      </c>
      <c r="F1033" s="24">
        <v>1.7824074074074075E-3</v>
      </c>
      <c r="G1033" s="24">
        <v>5.6481481481481478E-3</v>
      </c>
      <c r="H1033" s="24">
        <v>0.74119999999999997</v>
      </c>
      <c r="I1033" s="18">
        <f t="shared" si="81"/>
        <v>9.2269999999999991E-3</v>
      </c>
      <c r="J1033" s="18">
        <f t="shared" si="85"/>
        <v>7.4119999999999993E-3</v>
      </c>
      <c r="K1033" s="19">
        <f t="shared" si="82"/>
        <v>18</v>
      </c>
      <c r="L1033" s="18">
        <f t="shared" si="83"/>
        <v>7.7253218884120178E-2</v>
      </c>
      <c r="M1033" s="18">
        <f t="shared" si="84"/>
        <v>0.92274678111587982</v>
      </c>
    </row>
    <row r="1034" spans="1:13" x14ac:dyDescent="0.3">
      <c r="A1034" s="22">
        <v>162</v>
      </c>
      <c r="B1034" s="22">
        <v>157</v>
      </c>
      <c r="C1034" s="23">
        <v>0.96909999999999996</v>
      </c>
      <c r="D1034" s="22">
        <v>5</v>
      </c>
      <c r="E1034" s="24">
        <v>1.5046296296296297E-4</v>
      </c>
      <c r="F1034" s="24">
        <v>1.7592592592592592E-3</v>
      </c>
      <c r="G1034" s="24">
        <v>3.5879629629629629E-3</v>
      </c>
      <c r="H1034" s="24">
        <v>0.82720000000000005</v>
      </c>
      <c r="I1034" s="18">
        <f t="shared" si="81"/>
        <v>9.691E-3</v>
      </c>
      <c r="J1034" s="18">
        <f t="shared" si="85"/>
        <v>8.2719999999999998E-3</v>
      </c>
      <c r="K1034" s="19">
        <f t="shared" si="82"/>
        <v>5</v>
      </c>
      <c r="L1034" s="18">
        <f t="shared" si="83"/>
        <v>3.0864197530864196E-2</v>
      </c>
      <c r="M1034" s="18">
        <f t="shared" si="84"/>
        <v>0.96913580246913578</v>
      </c>
    </row>
    <row r="1035" spans="1:13" x14ac:dyDescent="0.3">
      <c r="A1035" s="22">
        <v>27</v>
      </c>
      <c r="B1035" s="22">
        <v>24</v>
      </c>
      <c r="C1035" s="23">
        <v>0.88890000000000002</v>
      </c>
      <c r="D1035" s="22">
        <v>3</v>
      </c>
      <c r="E1035" s="24">
        <v>2.0833333333333335E-4</v>
      </c>
      <c r="F1035" s="24">
        <v>1.5046296296296296E-3</v>
      </c>
      <c r="G1035" s="24">
        <v>2.673611111111111E-3</v>
      </c>
      <c r="H1035" s="24">
        <v>0.70369999999999999</v>
      </c>
      <c r="I1035" s="18">
        <f t="shared" si="81"/>
        <v>8.8890000000000011E-3</v>
      </c>
      <c r="J1035" s="18">
        <f t="shared" si="85"/>
        <v>7.0369999999999999E-3</v>
      </c>
      <c r="K1035" s="19">
        <f t="shared" si="82"/>
        <v>3</v>
      </c>
      <c r="L1035" s="18">
        <f t="shared" si="83"/>
        <v>0.1111111111111111</v>
      </c>
      <c r="M1035" s="18">
        <f t="shared" si="84"/>
        <v>0.88888888888888884</v>
      </c>
    </row>
    <row r="1036" spans="1:13" x14ac:dyDescent="0.3">
      <c r="A1036" s="22">
        <v>168</v>
      </c>
      <c r="B1036" s="22">
        <v>155</v>
      </c>
      <c r="C1036" s="23">
        <v>0.92259999999999998</v>
      </c>
      <c r="D1036" s="22">
        <v>13</v>
      </c>
      <c r="E1036" s="24">
        <v>3.0092592592592595E-4</v>
      </c>
      <c r="F1036" s="24">
        <v>2.2916666666666667E-3</v>
      </c>
      <c r="G1036" s="24">
        <v>2.1759259259259258E-3</v>
      </c>
      <c r="H1036" s="24">
        <v>0.64880000000000004</v>
      </c>
      <c r="I1036" s="18">
        <f t="shared" si="81"/>
        <v>9.2259999999999998E-3</v>
      </c>
      <c r="J1036" s="18">
        <f t="shared" si="85"/>
        <v>6.4880000000000007E-3</v>
      </c>
      <c r="K1036" s="19">
        <f t="shared" si="82"/>
        <v>13</v>
      </c>
      <c r="L1036" s="18">
        <f t="shared" si="83"/>
        <v>7.7380952380952384E-2</v>
      </c>
      <c r="M1036" s="18">
        <f t="shared" si="84"/>
        <v>0.92261904761904767</v>
      </c>
    </row>
    <row r="1037" spans="1:13" x14ac:dyDescent="0.3">
      <c r="A1037" s="22">
        <v>328</v>
      </c>
      <c r="B1037" s="22">
        <v>301</v>
      </c>
      <c r="C1037" s="23">
        <v>0.91769999999999996</v>
      </c>
      <c r="D1037" s="22">
        <v>27</v>
      </c>
      <c r="E1037" s="24">
        <v>2.6620370370370372E-4</v>
      </c>
      <c r="F1037" s="24">
        <v>1.724537037037037E-3</v>
      </c>
      <c r="G1037" s="24">
        <v>4.8495370370370368E-3</v>
      </c>
      <c r="H1037" s="24">
        <v>0.67910000000000004</v>
      </c>
      <c r="I1037" s="18">
        <f t="shared" si="81"/>
        <v>9.1769999999999994E-3</v>
      </c>
      <c r="J1037" s="18">
        <f t="shared" si="85"/>
        <v>6.7910000000000002E-3</v>
      </c>
      <c r="K1037" s="19">
        <f t="shared" si="82"/>
        <v>27</v>
      </c>
      <c r="L1037" s="18">
        <f t="shared" si="83"/>
        <v>8.2317073170731711E-2</v>
      </c>
      <c r="M1037" s="18">
        <f t="shared" si="84"/>
        <v>0.91768292682926833</v>
      </c>
    </row>
    <row r="1038" spans="1:13" x14ac:dyDescent="0.3">
      <c r="A1038" s="22">
        <v>234</v>
      </c>
      <c r="B1038" s="22">
        <v>208</v>
      </c>
      <c r="C1038" s="23">
        <v>0.88890000000000002</v>
      </c>
      <c r="D1038" s="22">
        <v>26</v>
      </c>
      <c r="E1038" s="24">
        <v>2.3148148148148149E-4</v>
      </c>
      <c r="F1038" s="24">
        <v>1.8981481481481482E-3</v>
      </c>
      <c r="G1038" s="24">
        <v>3.6805555555555554E-3</v>
      </c>
      <c r="H1038" s="24">
        <v>0.72250000000000003</v>
      </c>
      <c r="I1038" s="18">
        <f t="shared" si="81"/>
        <v>8.8890000000000011E-3</v>
      </c>
      <c r="J1038" s="18">
        <f t="shared" si="85"/>
        <v>7.2250000000000005E-3</v>
      </c>
      <c r="K1038" s="19">
        <f t="shared" si="82"/>
        <v>26</v>
      </c>
      <c r="L1038" s="18">
        <f t="shared" si="83"/>
        <v>0.1111111111111111</v>
      </c>
      <c r="M1038" s="18">
        <f t="shared" si="84"/>
        <v>0.88888888888888884</v>
      </c>
    </row>
    <row r="1039" spans="1:13" x14ac:dyDescent="0.3">
      <c r="A1039" s="22">
        <v>37</v>
      </c>
      <c r="B1039" s="22">
        <v>34</v>
      </c>
      <c r="C1039" s="23">
        <v>0.91890000000000005</v>
      </c>
      <c r="D1039" s="22">
        <v>3</v>
      </c>
      <c r="E1039" s="24">
        <v>1.6203703703703703E-4</v>
      </c>
      <c r="F1039" s="24">
        <v>1.5740740740740741E-3</v>
      </c>
      <c r="G1039" s="24">
        <v>2.5925925925925925E-3</v>
      </c>
      <c r="H1039" s="24">
        <v>0.83779999999999999</v>
      </c>
      <c r="I1039" s="18">
        <f t="shared" si="81"/>
        <v>9.189000000000001E-3</v>
      </c>
      <c r="J1039" s="18">
        <f t="shared" si="85"/>
        <v>8.378E-3</v>
      </c>
      <c r="K1039" s="19">
        <f t="shared" si="82"/>
        <v>3</v>
      </c>
      <c r="L1039" s="18">
        <f t="shared" si="83"/>
        <v>8.1081081081081086E-2</v>
      </c>
      <c r="M1039" s="18">
        <f t="shared" si="84"/>
        <v>0.91891891891891897</v>
      </c>
    </row>
    <row r="1040" spans="1:13" x14ac:dyDescent="0.3">
      <c r="A1040" s="22">
        <v>185</v>
      </c>
      <c r="B1040" s="22">
        <v>167</v>
      </c>
      <c r="C1040" s="23">
        <v>0.90269999999999995</v>
      </c>
      <c r="D1040" s="22">
        <v>18</v>
      </c>
      <c r="E1040" s="24">
        <v>2.0833333333333335E-4</v>
      </c>
      <c r="F1040" s="24">
        <v>1.8865740740740742E-3</v>
      </c>
      <c r="G1040" s="24">
        <v>4.3055555555555555E-3</v>
      </c>
      <c r="H1040" s="24">
        <v>0.73509999999999998</v>
      </c>
      <c r="I1040" s="18">
        <f t="shared" si="81"/>
        <v>9.0270000000000003E-3</v>
      </c>
      <c r="J1040" s="18">
        <f t="shared" si="85"/>
        <v>7.3509999999999999E-3</v>
      </c>
      <c r="K1040" s="19">
        <f t="shared" si="82"/>
        <v>18</v>
      </c>
      <c r="L1040" s="18">
        <f t="shared" si="83"/>
        <v>9.7297297297297303E-2</v>
      </c>
      <c r="M1040" s="18">
        <f t="shared" si="84"/>
        <v>0.9027027027027027</v>
      </c>
    </row>
    <row r="1041" spans="1:13" x14ac:dyDescent="0.3">
      <c r="A1041" s="22">
        <v>139</v>
      </c>
      <c r="B1041" s="22">
        <v>132</v>
      </c>
      <c r="C1041" s="23">
        <v>0.9496</v>
      </c>
      <c r="D1041" s="22">
        <v>7</v>
      </c>
      <c r="E1041" s="24">
        <v>1.1574074074074075E-4</v>
      </c>
      <c r="F1041" s="24">
        <v>2.0486111111111113E-3</v>
      </c>
      <c r="G1041" s="24">
        <v>2.4074074074074076E-3</v>
      </c>
      <c r="H1041" s="24">
        <v>0.88319999999999999</v>
      </c>
      <c r="I1041" s="18">
        <f t="shared" si="81"/>
        <v>9.4959999999999992E-3</v>
      </c>
      <c r="J1041" s="18">
        <f t="shared" si="85"/>
        <v>8.8319999999999996E-3</v>
      </c>
      <c r="K1041" s="19">
        <f t="shared" si="82"/>
        <v>7</v>
      </c>
      <c r="L1041" s="18">
        <f t="shared" si="83"/>
        <v>5.0359712230215826E-2</v>
      </c>
      <c r="M1041" s="18">
        <f t="shared" si="84"/>
        <v>0.94964028776978415</v>
      </c>
    </row>
    <row r="1042" spans="1:13" x14ac:dyDescent="0.3">
      <c r="A1042" s="22">
        <v>13</v>
      </c>
      <c r="B1042" s="22">
        <v>11</v>
      </c>
      <c r="C1042" s="23">
        <v>0.84619999999999995</v>
      </c>
      <c r="D1042" s="22">
        <v>2</v>
      </c>
      <c r="E1042" s="24">
        <v>5.3240740740740744E-4</v>
      </c>
      <c r="F1042" s="24">
        <v>1.4699074074074074E-3</v>
      </c>
      <c r="G1042" s="24">
        <v>1.7939814814814815E-3</v>
      </c>
      <c r="H1042" s="24">
        <v>0.41670000000000001</v>
      </c>
      <c r="I1042" s="18">
        <f t="shared" si="81"/>
        <v>8.461999999999999E-3</v>
      </c>
      <c r="J1042" s="18">
        <f t="shared" si="85"/>
        <v>4.1670000000000006E-3</v>
      </c>
      <c r="K1042" s="19">
        <f t="shared" si="82"/>
        <v>2</v>
      </c>
      <c r="L1042" s="18">
        <f t="shared" si="83"/>
        <v>0.15384615384615385</v>
      </c>
      <c r="M1042" s="18">
        <f t="shared" si="84"/>
        <v>0.84615384615384615</v>
      </c>
    </row>
    <row r="1043" spans="1:13" x14ac:dyDescent="0.3">
      <c r="A1043" s="22">
        <v>161</v>
      </c>
      <c r="B1043" s="22">
        <v>152</v>
      </c>
      <c r="C1043" s="23">
        <v>0.94410000000000005</v>
      </c>
      <c r="D1043" s="22">
        <v>9</v>
      </c>
      <c r="E1043" s="24">
        <v>2.6620370370370372E-4</v>
      </c>
      <c r="F1043" s="24">
        <v>1.712962962962963E-3</v>
      </c>
      <c r="G1043" s="24">
        <v>1.9907407407407408E-3</v>
      </c>
      <c r="H1043" s="24">
        <v>0.69620000000000004</v>
      </c>
      <c r="I1043" s="18">
        <f t="shared" si="81"/>
        <v>9.4409999999999997E-3</v>
      </c>
      <c r="J1043" s="18">
        <f t="shared" si="85"/>
        <v>6.9620000000000003E-3</v>
      </c>
      <c r="K1043" s="19">
        <f t="shared" si="82"/>
        <v>9</v>
      </c>
      <c r="L1043" s="18">
        <f t="shared" si="83"/>
        <v>5.5900621118012424E-2</v>
      </c>
      <c r="M1043" s="18">
        <f t="shared" si="84"/>
        <v>0.94409937888198758</v>
      </c>
    </row>
    <row r="1044" spans="1:13" x14ac:dyDescent="0.3">
      <c r="A1044" s="22">
        <v>149</v>
      </c>
      <c r="B1044" s="22">
        <v>144</v>
      </c>
      <c r="C1044" s="23">
        <v>0.96640000000000004</v>
      </c>
      <c r="D1044" s="22">
        <v>5</v>
      </c>
      <c r="E1044" s="24">
        <v>1.7361111111111112E-4</v>
      </c>
      <c r="F1044" s="24">
        <v>1.9212962962962964E-3</v>
      </c>
      <c r="G1044" s="24">
        <v>2.0949074074074073E-3</v>
      </c>
      <c r="H1044" s="24">
        <v>0.83109999999999995</v>
      </c>
      <c r="I1044" s="18">
        <f t="shared" si="81"/>
        <v>9.6640000000000007E-3</v>
      </c>
      <c r="J1044" s="18">
        <f t="shared" si="85"/>
        <v>8.3109999999999989E-3</v>
      </c>
      <c r="K1044" s="19">
        <f t="shared" si="82"/>
        <v>5</v>
      </c>
      <c r="L1044" s="18">
        <f t="shared" si="83"/>
        <v>3.3557046979865772E-2</v>
      </c>
      <c r="M1044" s="18">
        <f t="shared" si="84"/>
        <v>0.96644295302013428</v>
      </c>
    </row>
    <row r="1045" spans="1:13" x14ac:dyDescent="0.3">
      <c r="A1045" s="22">
        <v>178</v>
      </c>
      <c r="B1045" s="22">
        <v>167</v>
      </c>
      <c r="C1045" s="23">
        <v>0.93820000000000003</v>
      </c>
      <c r="D1045" s="22">
        <v>11</v>
      </c>
      <c r="E1045" s="24">
        <v>2.5462962962962961E-4</v>
      </c>
      <c r="F1045" s="24">
        <v>1.8749999999999999E-3</v>
      </c>
      <c r="G1045" s="24">
        <v>3.7499999999999999E-3</v>
      </c>
      <c r="H1045" s="24">
        <v>0.74860000000000004</v>
      </c>
      <c r="I1045" s="18">
        <f t="shared" si="81"/>
        <v>9.3819999999999997E-3</v>
      </c>
      <c r="J1045" s="18">
        <f t="shared" si="85"/>
        <v>7.4860000000000005E-3</v>
      </c>
      <c r="K1045" s="19">
        <f t="shared" si="82"/>
        <v>11</v>
      </c>
      <c r="L1045" s="18">
        <f t="shared" si="83"/>
        <v>6.1797752808988762E-2</v>
      </c>
      <c r="M1045" s="18">
        <f t="shared" si="84"/>
        <v>0.9382022471910112</v>
      </c>
    </row>
    <row r="1046" spans="1:13" x14ac:dyDescent="0.3">
      <c r="A1046" s="22">
        <v>224</v>
      </c>
      <c r="B1046" s="22">
        <v>210</v>
      </c>
      <c r="C1046" s="23">
        <v>0.9375</v>
      </c>
      <c r="D1046" s="22">
        <v>14</v>
      </c>
      <c r="E1046" s="24">
        <v>2.4305555555555555E-4</v>
      </c>
      <c r="F1046" s="24">
        <v>2.0833333333333333E-3</v>
      </c>
      <c r="G1046" s="24">
        <v>3.3217592592592591E-3</v>
      </c>
      <c r="H1046" s="24">
        <v>0.72519999999999996</v>
      </c>
      <c r="I1046" s="18">
        <f t="shared" si="81"/>
        <v>9.3749999999999997E-3</v>
      </c>
      <c r="J1046" s="18">
        <f t="shared" si="85"/>
        <v>7.2519999999999998E-3</v>
      </c>
      <c r="K1046" s="19">
        <f t="shared" si="82"/>
        <v>14</v>
      </c>
      <c r="L1046" s="18">
        <f t="shared" si="83"/>
        <v>6.25E-2</v>
      </c>
      <c r="M1046" s="18">
        <f t="shared" si="84"/>
        <v>0.9375</v>
      </c>
    </row>
    <row r="1047" spans="1:13" x14ac:dyDescent="0.3">
      <c r="A1047" s="22">
        <v>277</v>
      </c>
      <c r="B1047" s="22">
        <v>273</v>
      </c>
      <c r="C1047" s="23">
        <v>0.98560000000000003</v>
      </c>
      <c r="D1047" s="22">
        <v>4</v>
      </c>
      <c r="E1047" s="24">
        <v>1.1574074074074075E-4</v>
      </c>
      <c r="F1047" s="24">
        <v>1.3888888888888889E-3</v>
      </c>
      <c r="G1047" s="24">
        <v>1.4236111111111112E-3</v>
      </c>
      <c r="H1047" s="24">
        <v>0.89739999999999998</v>
      </c>
      <c r="I1047" s="18">
        <f t="shared" si="81"/>
        <v>9.8560000000000002E-3</v>
      </c>
      <c r="J1047" s="18">
        <f t="shared" si="85"/>
        <v>8.9739999999999993E-3</v>
      </c>
      <c r="K1047" s="19">
        <f t="shared" si="82"/>
        <v>4</v>
      </c>
      <c r="L1047" s="18">
        <f t="shared" si="83"/>
        <v>1.444043321299639E-2</v>
      </c>
      <c r="M1047" s="18">
        <f t="shared" si="84"/>
        <v>0.98555956678700363</v>
      </c>
    </row>
    <row r="1048" spans="1:13" x14ac:dyDescent="0.3">
      <c r="A1048" s="22">
        <v>188</v>
      </c>
      <c r="B1048" s="22">
        <v>172</v>
      </c>
      <c r="C1048" s="23">
        <v>0.91490000000000005</v>
      </c>
      <c r="D1048" s="22">
        <v>16</v>
      </c>
      <c r="E1048" s="24">
        <v>2.3148148148148149E-4</v>
      </c>
      <c r="F1048" s="24">
        <v>1.8634259259259259E-3</v>
      </c>
      <c r="G1048" s="24">
        <v>2.5000000000000001E-3</v>
      </c>
      <c r="H1048" s="24">
        <v>0.72189999999999999</v>
      </c>
      <c r="I1048" s="18">
        <f t="shared" si="81"/>
        <v>9.1490000000000009E-3</v>
      </c>
      <c r="J1048" s="18">
        <f t="shared" si="85"/>
        <v>7.2189999999999997E-3</v>
      </c>
      <c r="K1048" s="19">
        <f t="shared" si="82"/>
        <v>16</v>
      </c>
      <c r="L1048" s="18">
        <f t="shared" si="83"/>
        <v>8.5106382978723402E-2</v>
      </c>
      <c r="M1048" s="18">
        <f t="shared" si="84"/>
        <v>0.91489361702127658</v>
      </c>
    </row>
    <row r="1049" spans="1:13" x14ac:dyDescent="0.3">
      <c r="A1049" s="22">
        <v>26</v>
      </c>
      <c r="B1049" s="22">
        <v>22</v>
      </c>
      <c r="C1049" s="23">
        <v>0.84619999999999995</v>
      </c>
      <c r="D1049" s="22">
        <v>4</v>
      </c>
      <c r="E1049" s="24">
        <v>3.9351851851851852E-4</v>
      </c>
      <c r="F1049" s="24">
        <v>1.6550925925925926E-3</v>
      </c>
      <c r="G1049" s="24">
        <v>4.3750000000000004E-3</v>
      </c>
      <c r="H1049" s="24">
        <v>0.68</v>
      </c>
      <c r="I1049" s="18">
        <f t="shared" si="81"/>
        <v>8.461999999999999E-3</v>
      </c>
      <c r="J1049" s="18">
        <f t="shared" si="85"/>
        <v>6.8000000000000005E-3</v>
      </c>
      <c r="K1049" s="19">
        <f t="shared" si="82"/>
        <v>4</v>
      </c>
      <c r="L1049" s="18">
        <f t="shared" si="83"/>
        <v>0.15384615384615385</v>
      </c>
      <c r="M1049" s="18">
        <f t="shared" si="84"/>
        <v>0.84615384615384615</v>
      </c>
    </row>
    <row r="1050" spans="1:13" x14ac:dyDescent="0.3">
      <c r="A1050" s="22">
        <v>177</v>
      </c>
      <c r="B1050" s="22">
        <v>167</v>
      </c>
      <c r="C1050" s="23">
        <v>0.94350000000000001</v>
      </c>
      <c r="D1050" s="22">
        <v>10</v>
      </c>
      <c r="E1050" s="24">
        <v>4.0509259259259258E-4</v>
      </c>
      <c r="F1050" s="24">
        <v>2.0370370370370369E-3</v>
      </c>
      <c r="G1050" s="24">
        <v>2.2569444444444442E-3</v>
      </c>
      <c r="H1050" s="24">
        <v>0.5625</v>
      </c>
      <c r="I1050" s="18">
        <f t="shared" si="81"/>
        <v>9.4350000000000007E-3</v>
      </c>
      <c r="J1050" s="18">
        <f t="shared" si="85"/>
        <v>5.6249999999999998E-3</v>
      </c>
      <c r="K1050" s="19">
        <f t="shared" si="82"/>
        <v>10</v>
      </c>
      <c r="L1050" s="18">
        <f t="shared" si="83"/>
        <v>5.6497175141242938E-2</v>
      </c>
      <c r="M1050" s="18">
        <f t="shared" si="84"/>
        <v>0.94350282485875703</v>
      </c>
    </row>
    <row r="1051" spans="1:13" x14ac:dyDescent="0.3">
      <c r="A1051" s="22">
        <v>149</v>
      </c>
      <c r="B1051" s="22">
        <v>144</v>
      </c>
      <c r="C1051" s="23">
        <v>0.96640000000000004</v>
      </c>
      <c r="D1051" s="22">
        <v>5</v>
      </c>
      <c r="E1051" s="24">
        <v>3.2407407407407406E-4</v>
      </c>
      <c r="F1051" s="24">
        <v>1.9328703703703704E-3</v>
      </c>
      <c r="G1051" s="24">
        <v>2.638888888888889E-3</v>
      </c>
      <c r="H1051" s="24">
        <v>0.66220000000000001</v>
      </c>
      <c r="I1051" s="18">
        <f t="shared" si="81"/>
        <v>9.6640000000000007E-3</v>
      </c>
      <c r="J1051" s="18">
        <f t="shared" si="85"/>
        <v>6.6220000000000003E-3</v>
      </c>
      <c r="K1051" s="19">
        <f t="shared" si="82"/>
        <v>5</v>
      </c>
      <c r="L1051" s="18">
        <f t="shared" si="83"/>
        <v>3.3557046979865772E-2</v>
      </c>
      <c r="M1051" s="18">
        <f t="shared" si="84"/>
        <v>0.96644295302013428</v>
      </c>
    </row>
    <row r="1052" spans="1:13" x14ac:dyDescent="0.3">
      <c r="A1052" s="22">
        <v>147</v>
      </c>
      <c r="B1052" s="22">
        <v>147</v>
      </c>
      <c r="C1052" s="23">
        <v>1</v>
      </c>
      <c r="D1052" s="22">
        <v>0</v>
      </c>
      <c r="E1052" s="24">
        <v>1.273148148148148E-4</v>
      </c>
      <c r="F1052" s="24">
        <v>1.9791666666666668E-3</v>
      </c>
      <c r="G1052" s="24">
        <v>1.4236111111111112E-3</v>
      </c>
      <c r="H1052" s="24">
        <v>0.85709999999999997</v>
      </c>
      <c r="I1052" s="18">
        <f t="shared" si="81"/>
        <v>0.01</v>
      </c>
      <c r="J1052" s="18">
        <f t="shared" si="85"/>
        <v>8.5710000000000005E-3</v>
      </c>
      <c r="K1052" s="19">
        <f t="shared" si="82"/>
        <v>0</v>
      </c>
      <c r="L1052" s="18">
        <f t="shared" si="83"/>
        <v>0</v>
      </c>
      <c r="M1052" s="18">
        <f t="shared" si="84"/>
        <v>1</v>
      </c>
    </row>
    <row r="1053" spans="1:13" x14ac:dyDescent="0.3">
      <c r="A1053" s="22">
        <v>140</v>
      </c>
      <c r="B1053" s="22">
        <v>134</v>
      </c>
      <c r="C1053" s="23">
        <v>0.95709999999999995</v>
      </c>
      <c r="D1053" s="22">
        <v>6</v>
      </c>
      <c r="E1053" s="24">
        <v>2.199074074074074E-4</v>
      </c>
      <c r="F1053" s="24">
        <v>1.8981481481481482E-3</v>
      </c>
      <c r="G1053" s="24">
        <v>5.7754629629629631E-3</v>
      </c>
      <c r="H1053" s="24">
        <v>0.78569999999999995</v>
      </c>
      <c r="I1053" s="18">
        <f t="shared" si="81"/>
        <v>9.5709999999999996E-3</v>
      </c>
      <c r="J1053" s="18">
        <f t="shared" si="85"/>
        <v>7.8569999999999994E-3</v>
      </c>
      <c r="K1053" s="19">
        <f t="shared" si="82"/>
        <v>6</v>
      </c>
      <c r="L1053" s="18">
        <f t="shared" si="83"/>
        <v>4.2857142857142858E-2</v>
      </c>
      <c r="M1053" s="18">
        <f t="shared" si="84"/>
        <v>0.95714285714285718</v>
      </c>
    </row>
    <row r="1054" spans="1:13" x14ac:dyDescent="0.3">
      <c r="A1054" s="22">
        <v>177</v>
      </c>
      <c r="B1054" s="22">
        <v>163</v>
      </c>
      <c r="C1054" s="23">
        <v>0.92090000000000005</v>
      </c>
      <c r="D1054" s="22">
        <v>14</v>
      </c>
      <c r="E1054" s="24">
        <v>2.199074074074074E-4</v>
      </c>
      <c r="F1054" s="24">
        <v>1.7939814814814815E-3</v>
      </c>
      <c r="G1054" s="24">
        <v>5.0462962962962961E-3</v>
      </c>
      <c r="H1054" s="24">
        <v>0.7571</v>
      </c>
      <c r="I1054" s="18">
        <f t="shared" si="81"/>
        <v>9.2090000000000002E-3</v>
      </c>
      <c r="J1054" s="18">
        <f t="shared" si="85"/>
        <v>7.5709999999999996E-3</v>
      </c>
      <c r="K1054" s="19">
        <f t="shared" si="82"/>
        <v>14</v>
      </c>
      <c r="L1054" s="18">
        <f t="shared" si="83"/>
        <v>7.909604519774012E-2</v>
      </c>
      <c r="M1054" s="18">
        <f t="shared" si="84"/>
        <v>0.92090395480225984</v>
      </c>
    </row>
    <row r="1055" spans="1:13" x14ac:dyDescent="0.3">
      <c r="A1055" s="22">
        <v>169</v>
      </c>
      <c r="B1055" s="22">
        <v>169</v>
      </c>
      <c r="C1055" s="23">
        <v>1</v>
      </c>
      <c r="D1055" s="22">
        <v>0</v>
      </c>
      <c r="E1055" s="24">
        <v>1.0416666666666667E-4</v>
      </c>
      <c r="F1055" s="24">
        <v>1.9097222222222222E-3</v>
      </c>
      <c r="G1055" s="24">
        <v>7.5231481481481482E-4</v>
      </c>
      <c r="H1055" s="24">
        <v>0.89939999999999998</v>
      </c>
      <c r="I1055" s="18">
        <f t="shared" si="81"/>
        <v>0.01</v>
      </c>
      <c r="J1055" s="18">
        <f t="shared" si="85"/>
        <v>8.9940000000000003E-3</v>
      </c>
      <c r="K1055" s="19">
        <f t="shared" si="82"/>
        <v>0</v>
      </c>
      <c r="L1055" s="18">
        <f t="shared" si="83"/>
        <v>0</v>
      </c>
      <c r="M1055" s="18">
        <f t="shared" si="84"/>
        <v>1</v>
      </c>
    </row>
    <row r="1056" spans="1:13" x14ac:dyDescent="0.3">
      <c r="A1056" s="22">
        <v>26</v>
      </c>
      <c r="B1056" s="22">
        <v>21</v>
      </c>
      <c r="C1056" s="23">
        <v>0.80769999999999997</v>
      </c>
      <c r="D1056" s="22">
        <v>5</v>
      </c>
      <c r="E1056" s="24">
        <v>3.1250000000000001E-4</v>
      </c>
      <c r="F1056" s="24">
        <v>1.712962962962963E-3</v>
      </c>
      <c r="G1056" s="24">
        <v>1.4351851851851852E-3</v>
      </c>
      <c r="H1056" s="24">
        <v>0.48</v>
      </c>
      <c r="I1056" s="18">
        <f t="shared" si="81"/>
        <v>8.0769999999999991E-3</v>
      </c>
      <c r="J1056" s="18">
        <f t="shared" si="85"/>
        <v>4.7999999999999996E-3</v>
      </c>
      <c r="K1056" s="19">
        <f t="shared" si="82"/>
        <v>5</v>
      </c>
      <c r="L1056" s="18">
        <f t="shared" si="83"/>
        <v>0.19230769230769232</v>
      </c>
      <c r="M1056" s="18">
        <f t="shared" si="84"/>
        <v>0.80769230769230771</v>
      </c>
    </row>
    <row r="1057" spans="1:13" x14ac:dyDescent="0.3">
      <c r="A1057" s="22">
        <v>147</v>
      </c>
      <c r="B1057" s="22">
        <v>140</v>
      </c>
      <c r="C1057" s="23">
        <v>0.95240000000000002</v>
      </c>
      <c r="D1057" s="22">
        <v>7</v>
      </c>
      <c r="E1057" s="24">
        <v>1.3888888888888889E-4</v>
      </c>
      <c r="F1057" s="24">
        <v>1.9444444444444444E-3</v>
      </c>
      <c r="G1057" s="24">
        <v>1.5162037037037036E-3</v>
      </c>
      <c r="H1057" s="24">
        <v>0.85519999999999996</v>
      </c>
      <c r="I1057" s="18">
        <f t="shared" si="81"/>
        <v>9.5239999999999995E-3</v>
      </c>
      <c r="J1057" s="18">
        <f t="shared" si="85"/>
        <v>8.5519999999999988E-3</v>
      </c>
      <c r="K1057" s="19">
        <f t="shared" si="82"/>
        <v>7</v>
      </c>
      <c r="L1057" s="18">
        <f t="shared" si="83"/>
        <v>4.7619047619047616E-2</v>
      </c>
      <c r="M1057" s="18">
        <f t="shared" si="84"/>
        <v>0.95238095238095233</v>
      </c>
    </row>
    <row r="1058" spans="1:13" x14ac:dyDescent="0.3">
      <c r="A1058" s="22">
        <v>127</v>
      </c>
      <c r="B1058" s="22">
        <v>122</v>
      </c>
      <c r="C1058" s="23">
        <v>0.96060000000000001</v>
      </c>
      <c r="D1058" s="22">
        <v>5</v>
      </c>
      <c r="E1058" s="24">
        <v>2.4305555555555555E-4</v>
      </c>
      <c r="F1058" s="24">
        <v>1.9444444444444444E-3</v>
      </c>
      <c r="G1058" s="24">
        <v>1.4699074074074074E-3</v>
      </c>
      <c r="H1058" s="24">
        <v>0.7087</v>
      </c>
      <c r="I1058" s="18">
        <f t="shared" si="81"/>
        <v>9.606E-3</v>
      </c>
      <c r="J1058" s="18">
        <f t="shared" si="85"/>
        <v>7.0869999999999995E-3</v>
      </c>
      <c r="K1058" s="19">
        <f t="shared" si="82"/>
        <v>5</v>
      </c>
      <c r="L1058" s="18">
        <f t="shared" si="83"/>
        <v>3.937007874015748E-2</v>
      </c>
      <c r="M1058" s="18">
        <f t="shared" si="84"/>
        <v>0.96062992125984248</v>
      </c>
    </row>
    <row r="1059" spans="1:13" x14ac:dyDescent="0.3">
      <c r="A1059" s="22">
        <v>141</v>
      </c>
      <c r="B1059" s="22">
        <v>135</v>
      </c>
      <c r="C1059" s="23">
        <v>0.95740000000000003</v>
      </c>
      <c r="D1059" s="22">
        <v>6</v>
      </c>
      <c r="E1059" s="24">
        <v>1.9675925925925926E-4</v>
      </c>
      <c r="F1059" s="24">
        <v>1.7013888888888888E-3</v>
      </c>
      <c r="G1059" s="24">
        <v>2.8703703703703703E-3</v>
      </c>
      <c r="H1059" s="24">
        <v>0.78010000000000002</v>
      </c>
      <c r="I1059" s="18">
        <f t="shared" si="81"/>
        <v>9.5740000000000009E-3</v>
      </c>
      <c r="J1059" s="18">
        <f t="shared" si="85"/>
        <v>7.8009999999999998E-3</v>
      </c>
      <c r="K1059" s="19">
        <f t="shared" si="82"/>
        <v>6</v>
      </c>
      <c r="L1059" s="18">
        <f t="shared" si="83"/>
        <v>4.2553191489361701E-2</v>
      </c>
      <c r="M1059" s="18">
        <f t="shared" si="84"/>
        <v>0.95744680851063835</v>
      </c>
    </row>
    <row r="1060" spans="1:13" x14ac:dyDescent="0.3">
      <c r="A1060" s="22">
        <v>208</v>
      </c>
      <c r="B1060" s="22">
        <v>181</v>
      </c>
      <c r="C1060" s="23">
        <v>0.87019999999999997</v>
      </c>
      <c r="D1060" s="22">
        <v>27</v>
      </c>
      <c r="E1060" s="24">
        <v>4.3981481481481481E-4</v>
      </c>
      <c r="F1060" s="24">
        <v>1.8402777777777777E-3</v>
      </c>
      <c r="G1060" s="24">
        <v>2.8703703703703703E-3</v>
      </c>
      <c r="H1060" s="24">
        <v>0.49020000000000002</v>
      </c>
      <c r="I1060" s="18">
        <f t="shared" si="81"/>
        <v>8.7019999999999997E-3</v>
      </c>
      <c r="J1060" s="18">
        <f t="shared" si="85"/>
        <v>4.9020000000000001E-3</v>
      </c>
      <c r="K1060" s="19">
        <f t="shared" si="82"/>
        <v>27</v>
      </c>
      <c r="L1060" s="18">
        <f t="shared" si="83"/>
        <v>0.12980769230769232</v>
      </c>
      <c r="M1060" s="18">
        <f t="shared" si="84"/>
        <v>0.87019230769230771</v>
      </c>
    </row>
    <row r="1061" spans="1:13" x14ac:dyDescent="0.3">
      <c r="A1061" s="22">
        <v>178</v>
      </c>
      <c r="B1061" s="22">
        <v>163</v>
      </c>
      <c r="C1061" s="23">
        <v>0.91569999999999996</v>
      </c>
      <c r="D1061" s="22">
        <v>15</v>
      </c>
      <c r="E1061" s="24">
        <v>3.8194444444444446E-4</v>
      </c>
      <c r="F1061" s="24">
        <v>2.0138888888888888E-3</v>
      </c>
      <c r="G1061" s="24">
        <v>3.449074074074074E-3</v>
      </c>
      <c r="H1061" s="24">
        <v>0.54800000000000004</v>
      </c>
      <c r="I1061" s="18">
        <f t="shared" si="81"/>
        <v>9.1570000000000002E-3</v>
      </c>
      <c r="J1061" s="18">
        <f t="shared" si="85"/>
        <v>5.4800000000000005E-3</v>
      </c>
      <c r="K1061" s="19">
        <f t="shared" si="82"/>
        <v>15</v>
      </c>
      <c r="L1061" s="18">
        <f t="shared" si="83"/>
        <v>8.4269662921348312E-2</v>
      </c>
      <c r="M1061" s="18">
        <f t="shared" si="84"/>
        <v>0.9157303370786517</v>
      </c>
    </row>
    <row r="1062" spans="1:13" x14ac:dyDescent="0.3">
      <c r="A1062" s="22">
        <v>198</v>
      </c>
      <c r="B1062" s="22">
        <v>190</v>
      </c>
      <c r="C1062" s="23">
        <v>0.95960000000000001</v>
      </c>
      <c r="D1062" s="22">
        <v>8</v>
      </c>
      <c r="E1062" s="24">
        <v>2.8935185185185184E-4</v>
      </c>
      <c r="F1062" s="24">
        <v>1.7592592592592592E-3</v>
      </c>
      <c r="G1062" s="24">
        <v>1.6435185185185185E-3</v>
      </c>
      <c r="H1062" s="24">
        <v>0.67010000000000003</v>
      </c>
      <c r="I1062" s="18">
        <f t="shared" si="81"/>
        <v>9.5960000000000004E-3</v>
      </c>
      <c r="J1062" s="18">
        <f t="shared" si="85"/>
        <v>6.7010000000000004E-3</v>
      </c>
      <c r="K1062" s="19">
        <f t="shared" si="82"/>
        <v>8</v>
      </c>
      <c r="L1062" s="18">
        <f t="shared" si="83"/>
        <v>4.0404040404040407E-2</v>
      </c>
      <c r="M1062" s="18">
        <f t="shared" si="84"/>
        <v>0.95959595959595956</v>
      </c>
    </row>
    <row r="1063" spans="1:13" x14ac:dyDescent="0.3">
      <c r="A1063" s="22">
        <v>21</v>
      </c>
      <c r="B1063" s="22">
        <v>17</v>
      </c>
      <c r="C1063" s="23">
        <v>0.8095</v>
      </c>
      <c r="D1063" s="22">
        <v>4</v>
      </c>
      <c r="E1063" s="24">
        <v>5.0925925925925921E-4</v>
      </c>
      <c r="F1063" s="24">
        <v>2.4421296296296296E-3</v>
      </c>
      <c r="G1063" s="24">
        <v>3.2060185185185186E-3</v>
      </c>
      <c r="H1063" s="24">
        <v>0.47620000000000001</v>
      </c>
      <c r="I1063" s="18">
        <f t="shared" si="81"/>
        <v>8.0949999999999998E-3</v>
      </c>
      <c r="J1063" s="18">
        <f t="shared" si="85"/>
        <v>4.7619999999999997E-3</v>
      </c>
      <c r="K1063" s="19">
        <f t="shared" si="82"/>
        <v>4</v>
      </c>
      <c r="L1063" s="18">
        <f t="shared" si="83"/>
        <v>0.19047619047619047</v>
      </c>
      <c r="M1063" s="18">
        <f t="shared" si="84"/>
        <v>0.80952380952380953</v>
      </c>
    </row>
    <row r="1064" spans="1:13" x14ac:dyDescent="0.3">
      <c r="A1064" s="22">
        <v>171</v>
      </c>
      <c r="B1064" s="22">
        <v>161</v>
      </c>
      <c r="C1064" s="23">
        <v>0.9415</v>
      </c>
      <c r="D1064" s="22">
        <v>10</v>
      </c>
      <c r="E1064" s="24">
        <v>1.8518518518518518E-4</v>
      </c>
      <c r="F1064" s="24">
        <v>1.7939814814814815E-3</v>
      </c>
      <c r="G1064" s="24">
        <v>4.3287037037037035E-3</v>
      </c>
      <c r="H1064" s="24">
        <v>0.81440000000000001</v>
      </c>
      <c r="I1064" s="18">
        <f t="shared" si="81"/>
        <v>9.4149999999999998E-3</v>
      </c>
      <c r="J1064" s="18">
        <f t="shared" si="85"/>
        <v>8.1440000000000002E-3</v>
      </c>
      <c r="K1064" s="19">
        <f t="shared" si="82"/>
        <v>10</v>
      </c>
      <c r="L1064" s="18">
        <f t="shared" si="83"/>
        <v>5.8479532163742687E-2</v>
      </c>
      <c r="M1064" s="18">
        <f t="shared" si="84"/>
        <v>0.94152046783625731</v>
      </c>
    </row>
    <row r="1065" spans="1:13" x14ac:dyDescent="0.3">
      <c r="A1065" s="22">
        <v>200</v>
      </c>
      <c r="B1065" s="22">
        <v>196</v>
      </c>
      <c r="C1065" s="23">
        <v>0.98</v>
      </c>
      <c r="D1065" s="22">
        <v>4</v>
      </c>
      <c r="E1065" s="24">
        <v>1.0416666666666667E-4</v>
      </c>
      <c r="F1065" s="24">
        <v>1.9791666666666668E-3</v>
      </c>
      <c r="G1065" s="24">
        <v>1.4004629629629629E-3</v>
      </c>
      <c r="H1065" s="24">
        <v>0.91920000000000002</v>
      </c>
      <c r="I1065" s="18">
        <f t="shared" si="81"/>
        <v>9.7999999999999997E-3</v>
      </c>
      <c r="J1065" s="18">
        <f t="shared" si="85"/>
        <v>9.1920000000000005E-3</v>
      </c>
      <c r="K1065" s="19">
        <f t="shared" si="82"/>
        <v>4</v>
      </c>
      <c r="L1065" s="18">
        <f t="shared" si="83"/>
        <v>0.02</v>
      </c>
      <c r="M1065" s="18">
        <f t="shared" si="84"/>
        <v>0.98</v>
      </c>
    </row>
    <row r="1066" spans="1:13" x14ac:dyDescent="0.3">
      <c r="A1066" s="22">
        <v>166</v>
      </c>
      <c r="B1066" s="22">
        <v>157</v>
      </c>
      <c r="C1066" s="23">
        <v>0.94579999999999997</v>
      </c>
      <c r="D1066" s="22">
        <v>9</v>
      </c>
      <c r="E1066" s="24">
        <v>2.7777777777777778E-4</v>
      </c>
      <c r="F1066" s="24">
        <v>1.8518518518518519E-3</v>
      </c>
      <c r="G1066" s="24">
        <v>1.3194444444444445E-3</v>
      </c>
      <c r="H1066" s="24">
        <v>0.64629999999999999</v>
      </c>
      <c r="I1066" s="18">
        <f t="shared" si="81"/>
        <v>9.4579999999999994E-3</v>
      </c>
      <c r="J1066" s="18">
        <f t="shared" si="85"/>
        <v>6.463E-3</v>
      </c>
      <c r="K1066" s="19">
        <f t="shared" si="82"/>
        <v>9</v>
      </c>
      <c r="L1066" s="18">
        <f t="shared" si="83"/>
        <v>5.4216867469879519E-2</v>
      </c>
      <c r="M1066" s="18">
        <f t="shared" si="84"/>
        <v>0.94578313253012047</v>
      </c>
    </row>
    <row r="1067" spans="1:13" x14ac:dyDescent="0.3">
      <c r="A1067" s="22">
        <v>230</v>
      </c>
      <c r="B1067" s="22">
        <v>217</v>
      </c>
      <c r="C1067" s="23">
        <v>0.94350000000000001</v>
      </c>
      <c r="D1067" s="22">
        <v>13</v>
      </c>
      <c r="E1067" s="24">
        <v>3.1250000000000001E-4</v>
      </c>
      <c r="F1067" s="24">
        <v>1.8402777777777777E-3</v>
      </c>
      <c r="G1067" s="24">
        <v>1.4236111111111112E-3</v>
      </c>
      <c r="H1067" s="24">
        <v>0.57210000000000005</v>
      </c>
      <c r="I1067" s="18">
        <f t="shared" si="81"/>
        <v>9.4350000000000007E-3</v>
      </c>
      <c r="J1067" s="18">
        <f t="shared" si="85"/>
        <v>5.7210000000000004E-3</v>
      </c>
      <c r="K1067" s="19">
        <f t="shared" si="82"/>
        <v>13</v>
      </c>
      <c r="L1067" s="18">
        <f t="shared" si="83"/>
        <v>5.6521739130434782E-2</v>
      </c>
      <c r="M1067" s="18">
        <f t="shared" si="84"/>
        <v>0.94347826086956521</v>
      </c>
    </row>
    <row r="1068" spans="1:13" x14ac:dyDescent="0.3">
      <c r="A1068" s="22">
        <v>174</v>
      </c>
      <c r="B1068" s="22">
        <v>168</v>
      </c>
      <c r="C1068" s="23">
        <v>0.96550000000000002</v>
      </c>
      <c r="D1068" s="22">
        <v>6</v>
      </c>
      <c r="E1068" s="24">
        <v>2.7777777777777778E-4</v>
      </c>
      <c r="F1068" s="24">
        <v>2.0486111111111113E-3</v>
      </c>
      <c r="G1068" s="24">
        <v>2.0138888888888888E-3</v>
      </c>
      <c r="H1068" s="24">
        <v>0.69589999999999996</v>
      </c>
      <c r="I1068" s="18">
        <f t="shared" si="81"/>
        <v>9.6550000000000004E-3</v>
      </c>
      <c r="J1068" s="18">
        <f t="shared" si="85"/>
        <v>6.9589999999999999E-3</v>
      </c>
      <c r="K1068" s="19">
        <f t="shared" si="82"/>
        <v>6</v>
      </c>
      <c r="L1068" s="18">
        <f t="shared" si="83"/>
        <v>3.4482758620689655E-2</v>
      </c>
      <c r="M1068" s="18">
        <f t="shared" si="84"/>
        <v>0.96551724137931039</v>
      </c>
    </row>
    <row r="1069" spans="1:13" x14ac:dyDescent="0.3">
      <c r="A1069" s="22">
        <v>240</v>
      </c>
      <c r="B1069" s="22">
        <v>185</v>
      </c>
      <c r="C1069" s="23">
        <v>0.77080000000000004</v>
      </c>
      <c r="D1069" s="22">
        <v>55</v>
      </c>
      <c r="E1069" s="24">
        <v>6.9444444444444447E-4</v>
      </c>
      <c r="F1069" s="24">
        <v>2.1064814814814813E-3</v>
      </c>
      <c r="G1069" s="24">
        <v>3.472222222222222E-3</v>
      </c>
      <c r="H1069" s="24">
        <v>0.2979</v>
      </c>
      <c r="I1069" s="18">
        <f t="shared" si="81"/>
        <v>7.7080000000000004E-3</v>
      </c>
      <c r="J1069" s="18">
        <f t="shared" si="85"/>
        <v>2.9789999999999999E-3</v>
      </c>
      <c r="K1069" s="19">
        <f t="shared" si="82"/>
        <v>55</v>
      </c>
      <c r="L1069" s="18">
        <f t="shared" si="83"/>
        <v>0.22916666666666666</v>
      </c>
      <c r="M1069" s="18">
        <f t="shared" si="84"/>
        <v>0.77083333333333337</v>
      </c>
    </row>
    <row r="1070" spans="1:13" x14ac:dyDescent="0.3">
      <c r="A1070" s="22">
        <v>35</v>
      </c>
      <c r="B1070" s="22">
        <v>27</v>
      </c>
      <c r="C1070" s="23">
        <v>0.77139999999999997</v>
      </c>
      <c r="D1070" s="22">
        <v>8</v>
      </c>
      <c r="E1070" s="24">
        <v>5.5555555555555556E-4</v>
      </c>
      <c r="F1070" s="24">
        <v>2.0370370370370369E-3</v>
      </c>
      <c r="G1070" s="24">
        <v>2.6967592592592594E-3</v>
      </c>
      <c r="H1070" s="24">
        <v>0.43330000000000002</v>
      </c>
      <c r="I1070" s="18">
        <f t="shared" si="81"/>
        <v>7.7139999999999995E-3</v>
      </c>
      <c r="J1070" s="18">
        <f t="shared" si="85"/>
        <v>4.333E-3</v>
      </c>
      <c r="K1070" s="19">
        <f t="shared" si="82"/>
        <v>8</v>
      </c>
      <c r="L1070" s="18">
        <f t="shared" si="83"/>
        <v>0.22857142857142856</v>
      </c>
      <c r="M1070" s="18">
        <f t="shared" si="84"/>
        <v>0.77142857142857146</v>
      </c>
    </row>
    <row r="1071" spans="1:13" x14ac:dyDescent="0.3">
      <c r="A1071" s="22">
        <v>198</v>
      </c>
      <c r="B1071" s="22">
        <v>179</v>
      </c>
      <c r="C1071" s="23">
        <v>0.90400000000000003</v>
      </c>
      <c r="D1071" s="22">
        <v>19</v>
      </c>
      <c r="E1071" s="24">
        <v>3.1250000000000001E-4</v>
      </c>
      <c r="F1071" s="24">
        <v>1.8634259259259259E-3</v>
      </c>
      <c r="G1071" s="24">
        <v>6.7129629629629631E-3</v>
      </c>
      <c r="H1071" s="24">
        <v>0.60099999999999998</v>
      </c>
      <c r="I1071" s="18">
        <f t="shared" si="81"/>
        <v>9.0399999999999994E-3</v>
      </c>
      <c r="J1071" s="18">
        <f t="shared" si="85"/>
        <v>6.0099999999999997E-3</v>
      </c>
      <c r="K1071" s="19">
        <f t="shared" si="82"/>
        <v>19</v>
      </c>
      <c r="L1071" s="18">
        <f t="shared" si="83"/>
        <v>9.5959595959595953E-2</v>
      </c>
      <c r="M1071" s="18">
        <f t="shared" si="84"/>
        <v>0.90404040404040409</v>
      </c>
    </row>
    <row r="1072" spans="1:13" x14ac:dyDescent="0.3">
      <c r="A1072" s="22">
        <v>189</v>
      </c>
      <c r="B1072" s="22">
        <v>181</v>
      </c>
      <c r="C1072" s="23">
        <v>0.9577</v>
      </c>
      <c r="D1072" s="22">
        <v>8</v>
      </c>
      <c r="E1072" s="24">
        <v>2.199074074074074E-4</v>
      </c>
      <c r="F1072" s="24">
        <v>2.0717592592592593E-3</v>
      </c>
      <c r="G1072" s="24">
        <v>1.8981481481481482E-3</v>
      </c>
      <c r="H1072" s="24">
        <v>0.71430000000000005</v>
      </c>
      <c r="I1072" s="18">
        <f t="shared" si="81"/>
        <v>9.5770000000000004E-3</v>
      </c>
      <c r="J1072" s="18">
        <f t="shared" si="85"/>
        <v>7.143E-3</v>
      </c>
      <c r="K1072" s="19">
        <f t="shared" si="82"/>
        <v>8</v>
      </c>
      <c r="L1072" s="18">
        <f t="shared" si="83"/>
        <v>4.2328042328042326E-2</v>
      </c>
      <c r="M1072" s="18">
        <f t="shared" si="84"/>
        <v>0.95767195767195767</v>
      </c>
    </row>
    <row r="1073" spans="1:13" x14ac:dyDescent="0.3">
      <c r="A1073" s="22">
        <v>229</v>
      </c>
      <c r="B1073" s="22">
        <v>219</v>
      </c>
      <c r="C1073" s="23">
        <v>0.95630000000000004</v>
      </c>
      <c r="D1073" s="22">
        <v>10</v>
      </c>
      <c r="E1073" s="24">
        <v>3.4722222222222224E-4</v>
      </c>
      <c r="F1073" s="24">
        <v>2.2569444444444442E-3</v>
      </c>
      <c r="G1073" s="24">
        <v>4.4560185185185189E-3</v>
      </c>
      <c r="H1073" s="24">
        <v>0.59209999999999996</v>
      </c>
      <c r="I1073" s="18">
        <f t="shared" si="81"/>
        <v>9.5630000000000003E-3</v>
      </c>
      <c r="J1073" s="18">
        <f t="shared" si="85"/>
        <v>5.9209999999999992E-3</v>
      </c>
      <c r="K1073" s="19">
        <f t="shared" si="82"/>
        <v>10</v>
      </c>
      <c r="L1073" s="18">
        <f t="shared" si="83"/>
        <v>4.3668122270742356E-2</v>
      </c>
      <c r="M1073" s="18">
        <f t="shared" si="84"/>
        <v>0.95633187772925765</v>
      </c>
    </row>
    <row r="1074" spans="1:13" x14ac:dyDescent="0.3">
      <c r="A1074" s="22">
        <v>254</v>
      </c>
      <c r="B1074" s="22">
        <v>235</v>
      </c>
      <c r="C1074" s="23">
        <v>0.92520000000000002</v>
      </c>
      <c r="D1074" s="22">
        <v>19</v>
      </c>
      <c r="E1074" s="24">
        <v>3.1250000000000001E-4</v>
      </c>
      <c r="F1074" s="24">
        <v>2.0370370370370369E-3</v>
      </c>
      <c r="G1074" s="24">
        <v>2.685185185185185E-3</v>
      </c>
      <c r="H1074" s="24">
        <v>0.5968</v>
      </c>
      <c r="I1074" s="18">
        <f t="shared" si="81"/>
        <v>9.2519999999999998E-3</v>
      </c>
      <c r="J1074" s="18">
        <f t="shared" si="85"/>
        <v>5.9680000000000002E-3</v>
      </c>
      <c r="K1074" s="19">
        <f t="shared" si="82"/>
        <v>19</v>
      </c>
      <c r="L1074" s="18">
        <f t="shared" si="83"/>
        <v>7.4803149606299218E-2</v>
      </c>
      <c r="M1074" s="18">
        <f t="shared" si="84"/>
        <v>0.92519685039370081</v>
      </c>
    </row>
    <row r="1075" spans="1:13" x14ac:dyDescent="0.3">
      <c r="A1075" s="22">
        <v>584</v>
      </c>
      <c r="B1075" s="22">
        <v>521</v>
      </c>
      <c r="C1075" s="23">
        <v>0.8921</v>
      </c>
      <c r="D1075" s="22">
        <v>63</v>
      </c>
      <c r="E1075" s="24">
        <v>3.3564814814814812E-4</v>
      </c>
      <c r="F1075" s="24">
        <v>1.5740740740740741E-3</v>
      </c>
      <c r="G1075" s="24">
        <v>3.0208333333333333E-3</v>
      </c>
      <c r="H1075" s="24">
        <v>0.58299999999999996</v>
      </c>
      <c r="I1075" s="18">
        <f t="shared" si="81"/>
        <v>8.9210000000000001E-3</v>
      </c>
      <c r="J1075" s="18">
        <f t="shared" si="85"/>
        <v>5.8299999999999992E-3</v>
      </c>
      <c r="K1075" s="19">
        <f t="shared" si="82"/>
        <v>63</v>
      </c>
      <c r="L1075" s="18">
        <f t="shared" si="83"/>
        <v>0.10787671232876712</v>
      </c>
      <c r="M1075" s="18">
        <f t="shared" si="84"/>
        <v>0.89212328767123283</v>
      </c>
    </row>
    <row r="1076" spans="1:13" x14ac:dyDescent="0.3">
      <c r="A1076" s="22">
        <v>564</v>
      </c>
      <c r="B1076" s="22">
        <v>551</v>
      </c>
      <c r="C1076" s="23">
        <v>0.97699999999999998</v>
      </c>
      <c r="D1076" s="22">
        <v>13</v>
      </c>
      <c r="E1076" s="24">
        <v>1.3888888888888889E-4</v>
      </c>
      <c r="F1076" s="24">
        <v>1.1574074074074073E-3</v>
      </c>
      <c r="G1076" s="24">
        <v>1.2268518518518518E-3</v>
      </c>
      <c r="H1076" s="24">
        <v>0.83960000000000001</v>
      </c>
      <c r="I1076" s="18">
        <f t="shared" si="81"/>
        <v>9.7699999999999992E-3</v>
      </c>
      <c r="J1076" s="18">
        <f t="shared" si="85"/>
        <v>8.3960000000000007E-3</v>
      </c>
      <c r="K1076" s="19">
        <f t="shared" si="82"/>
        <v>13</v>
      </c>
      <c r="L1076" s="18">
        <f t="shared" si="83"/>
        <v>2.3049645390070921E-2</v>
      </c>
      <c r="M1076" s="18">
        <f t="shared" si="84"/>
        <v>0.97695035460992907</v>
      </c>
    </row>
    <row r="1077" spans="1:13" x14ac:dyDescent="0.3">
      <c r="A1077" s="22">
        <v>150</v>
      </c>
      <c r="B1077" s="22">
        <v>149</v>
      </c>
      <c r="C1077" s="23">
        <v>0.99329999999999996</v>
      </c>
      <c r="D1077" s="22">
        <v>1</v>
      </c>
      <c r="E1077" s="24">
        <v>1.1574074074074075E-4</v>
      </c>
      <c r="F1077" s="24">
        <v>1.1574074074074073E-3</v>
      </c>
      <c r="G1077" s="24">
        <v>1.5162037037037036E-3</v>
      </c>
      <c r="H1077" s="24">
        <v>0.89329999999999998</v>
      </c>
      <c r="I1077" s="18">
        <f t="shared" si="81"/>
        <v>9.9329999999999991E-3</v>
      </c>
      <c r="J1077" s="18">
        <f t="shared" si="85"/>
        <v>8.933E-3</v>
      </c>
      <c r="K1077" s="19">
        <f t="shared" si="82"/>
        <v>1</v>
      </c>
      <c r="L1077" s="18">
        <f t="shared" si="83"/>
        <v>6.6666666666666671E-3</v>
      </c>
      <c r="M1077" s="18">
        <f t="shared" si="84"/>
        <v>0.99333333333333329</v>
      </c>
    </row>
    <row r="1078" spans="1:13" x14ac:dyDescent="0.3">
      <c r="A1078" s="22">
        <v>521</v>
      </c>
      <c r="B1078" s="22">
        <v>499</v>
      </c>
      <c r="C1078" s="23">
        <v>0.95779999999999998</v>
      </c>
      <c r="D1078" s="22">
        <v>22</v>
      </c>
      <c r="E1078" s="24">
        <v>2.6620370370370372E-4</v>
      </c>
      <c r="F1078" s="24">
        <v>1.1111111111111111E-3</v>
      </c>
      <c r="G1078" s="24">
        <v>2.1296296296296298E-3</v>
      </c>
      <c r="H1078" s="24">
        <v>0.70930000000000004</v>
      </c>
      <c r="I1078" s="18">
        <f t="shared" si="81"/>
        <v>9.5779999999999997E-3</v>
      </c>
      <c r="J1078" s="18">
        <f t="shared" si="85"/>
        <v>7.0930000000000003E-3</v>
      </c>
      <c r="K1078" s="19">
        <f t="shared" si="82"/>
        <v>22</v>
      </c>
      <c r="L1078" s="18">
        <f t="shared" si="83"/>
        <v>4.2226487523992322E-2</v>
      </c>
      <c r="M1078" s="18">
        <f t="shared" si="84"/>
        <v>0.95777351247600773</v>
      </c>
    </row>
    <row r="1079" spans="1:13" x14ac:dyDescent="0.3">
      <c r="A1079" s="22">
        <v>330</v>
      </c>
      <c r="B1079" s="22">
        <v>309</v>
      </c>
      <c r="C1079" s="23">
        <v>0.93640000000000001</v>
      </c>
      <c r="D1079" s="22">
        <v>21</v>
      </c>
      <c r="E1079" s="24">
        <v>2.4305555555555555E-4</v>
      </c>
      <c r="F1079" s="24">
        <v>2.3032407407407407E-3</v>
      </c>
      <c r="G1079" s="24">
        <v>4.5370370370370373E-3</v>
      </c>
      <c r="H1079" s="24">
        <v>0.69540000000000002</v>
      </c>
      <c r="I1079" s="18">
        <f t="shared" si="81"/>
        <v>9.3640000000000008E-3</v>
      </c>
      <c r="J1079" s="18">
        <f t="shared" si="85"/>
        <v>6.9540000000000001E-3</v>
      </c>
      <c r="K1079" s="19">
        <f t="shared" si="82"/>
        <v>21</v>
      </c>
      <c r="L1079" s="18">
        <f t="shared" si="83"/>
        <v>6.363636363636363E-2</v>
      </c>
      <c r="M1079" s="18">
        <f t="shared" si="84"/>
        <v>0.9363636363636364</v>
      </c>
    </row>
    <row r="1080" spans="1:13" x14ac:dyDescent="0.3">
      <c r="A1080" s="22">
        <v>298</v>
      </c>
      <c r="B1080" s="22">
        <v>288</v>
      </c>
      <c r="C1080" s="23">
        <v>0.96640000000000004</v>
      </c>
      <c r="D1080" s="22">
        <v>10</v>
      </c>
      <c r="E1080" s="24">
        <v>1.5046296296296297E-4</v>
      </c>
      <c r="F1080" s="24">
        <v>2.3148148148148147E-3</v>
      </c>
      <c r="G1080" s="24">
        <v>2.8124999999999999E-3</v>
      </c>
      <c r="H1080" s="24">
        <v>0.84750000000000003</v>
      </c>
      <c r="I1080" s="18">
        <f t="shared" si="81"/>
        <v>9.6640000000000007E-3</v>
      </c>
      <c r="J1080" s="18">
        <f t="shared" si="85"/>
        <v>8.4749999999999999E-3</v>
      </c>
      <c r="K1080" s="19">
        <f t="shared" si="82"/>
        <v>10</v>
      </c>
      <c r="L1080" s="18">
        <f t="shared" si="83"/>
        <v>3.3557046979865772E-2</v>
      </c>
      <c r="M1080" s="18">
        <f t="shared" si="84"/>
        <v>0.96644295302013428</v>
      </c>
    </row>
    <row r="1081" spans="1:13" x14ac:dyDescent="0.3">
      <c r="A1081" s="22">
        <v>294</v>
      </c>
      <c r="B1081" s="22">
        <v>287</v>
      </c>
      <c r="C1081" s="23">
        <v>0.97619999999999996</v>
      </c>
      <c r="D1081" s="22">
        <v>7</v>
      </c>
      <c r="E1081" s="24">
        <v>1.6203703703703703E-4</v>
      </c>
      <c r="F1081" s="24">
        <v>2.4074074074074076E-3</v>
      </c>
      <c r="G1081" s="24">
        <v>2.3032407407407407E-3</v>
      </c>
      <c r="H1081" s="24">
        <v>0.82250000000000001</v>
      </c>
      <c r="I1081" s="18">
        <f t="shared" si="81"/>
        <v>9.7619999999999998E-3</v>
      </c>
      <c r="J1081" s="18">
        <f t="shared" si="85"/>
        <v>8.2249999999999997E-3</v>
      </c>
      <c r="K1081" s="19">
        <f t="shared" si="82"/>
        <v>7</v>
      </c>
      <c r="L1081" s="18">
        <f t="shared" si="83"/>
        <v>2.3809523809523808E-2</v>
      </c>
      <c r="M1081" s="18">
        <f t="shared" si="84"/>
        <v>0.97619047619047616</v>
      </c>
    </row>
    <row r="1082" spans="1:13" x14ac:dyDescent="0.3">
      <c r="A1082" s="22">
        <v>261</v>
      </c>
      <c r="B1082" s="22">
        <v>253</v>
      </c>
      <c r="C1082" s="23">
        <v>0.96930000000000005</v>
      </c>
      <c r="D1082" s="22">
        <v>8</v>
      </c>
      <c r="E1082" s="24">
        <v>1.1574074074074075E-4</v>
      </c>
      <c r="F1082" s="24">
        <v>2.1180555555555558E-3</v>
      </c>
      <c r="G1082" s="24">
        <v>4.0277777777777777E-3</v>
      </c>
      <c r="H1082" s="24">
        <v>0.89959999999999996</v>
      </c>
      <c r="I1082" s="18">
        <f t="shared" si="81"/>
        <v>9.6930000000000002E-3</v>
      </c>
      <c r="J1082" s="18">
        <f t="shared" si="85"/>
        <v>8.9959999999999988E-3</v>
      </c>
      <c r="K1082" s="19">
        <f t="shared" si="82"/>
        <v>8</v>
      </c>
      <c r="L1082" s="18">
        <f t="shared" si="83"/>
        <v>3.0651340996168581E-2</v>
      </c>
      <c r="M1082" s="18">
        <f t="shared" si="84"/>
        <v>0.96934865900383138</v>
      </c>
    </row>
    <row r="1083" spans="1:13" x14ac:dyDescent="0.3">
      <c r="A1083" s="22">
        <v>223</v>
      </c>
      <c r="B1083" s="22">
        <v>210</v>
      </c>
      <c r="C1083" s="23">
        <v>0.94169999999999998</v>
      </c>
      <c r="D1083" s="22">
        <v>13</v>
      </c>
      <c r="E1083" s="24">
        <v>1.8518518518518518E-4</v>
      </c>
      <c r="F1083" s="24">
        <v>2.1643518518518518E-3</v>
      </c>
      <c r="G1083" s="24">
        <v>3.7384259259259259E-3</v>
      </c>
      <c r="H1083" s="24">
        <v>0.80089999999999995</v>
      </c>
      <c r="I1083" s="18">
        <f t="shared" si="81"/>
        <v>9.417E-3</v>
      </c>
      <c r="J1083" s="18">
        <f t="shared" si="85"/>
        <v>8.0089999999999988E-3</v>
      </c>
      <c r="K1083" s="19">
        <f t="shared" si="82"/>
        <v>13</v>
      </c>
      <c r="L1083" s="18">
        <f t="shared" si="83"/>
        <v>5.829596412556054E-2</v>
      </c>
      <c r="M1083" s="18">
        <f t="shared" si="84"/>
        <v>0.94170403587443952</v>
      </c>
    </row>
    <row r="1084" spans="1:13" x14ac:dyDescent="0.3">
      <c r="A1084" s="22">
        <v>59</v>
      </c>
      <c r="B1084" s="22">
        <v>58</v>
      </c>
      <c r="C1084" s="23">
        <v>0.98309999999999997</v>
      </c>
      <c r="D1084" s="22">
        <v>1</v>
      </c>
      <c r="E1084" s="24">
        <v>2.4305555555555555E-4</v>
      </c>
      <c r="F1084" s="24">
        <v>2.5578703703703705E-3</v>
      </c>
      <c r="G1084" s="24">
        <v>2.2222222222222222E-3</v>
      </c>
      <c r="H1084" s="24">
        <v>0.74580000000000002</v>
      </c>
      <c r="I1084" s="18">
        <f t="shared" si="81"/>
        <v>9.8309999999999995E-3</v>
      </c>
      <c r="J1084" s="18">
        <f t="shared" si="85"/>
        <v>7.4580000000000002E-3</v>
      </c>
      <c r="K1084" s="19">
        <f t="shared" si="82"/>
        <v>1</v>
      </c>
      <c r="L1084" s="18">
        <f t="shared" si="83"/>
        <v>1.6949152542372881E-2</v>
      </c>
      <c r="M1084" s="18">
        <f t="shared" si="84"/>
        <v>0.98305084745762716</v>
      </c>
    </row>
    <row r="1085" spans="1:13" x14ac:dyDescent="0.3">
      <c r="A1085" s="22">
        <v>340</v>
      </c>
      <c r="B1085" s="22">
        <v>327</v>
      </c>
      <c r="C1085" s="23">
        <v>0.96179999999999999</v>
      </c>
      <c r="D1085" s="22">
        <v>13</v>
      </c>
      <c r="E1085" s="24">
        <v>2.4305555555555555E-4</v>
      </c>
      <c r="F1085" s="24">
        <v>1.3310185185185185E-3</v>
      </c>
      <c r="G1085" s="24">
        <v>2.6157407407407405E-3</v>
      </c>
      <c r="H1085" s="24">
        <v>0.77610000000000001</v>
      </c>
      <c r="I1085" s="18">
        <f t="shared" si="81"/>
        <v>9.6179999999999998E-3</v>
      </c>
      <c r="J1085" s="18">
        <f t="shared" si="85"/>
        <v>7.7610000000000005E-3</v>
      </c>
      <c r="K1085" s="19">
        <f t="shared" si="82"/>
        <v>13</v>
      </c>
      <c r="L1085" s="18">
        <f t="shared" si="83"/>
        <v>3.8235294117647062E-2</v>
      </c>
      <c r="M1085" s="18">
        <f t="shared" si="84"/>
        <v>0.96176470588235297</v>
      </c>
    </row>
    <row r="1086" spans="1:13" x14ac:dyDescent="0.3">
      <c r="A1086" s="22">
        <v>287</v>
      </c>
      <c r="B1086" s="22">
        <v>280</v>
      </c>
      <c r="C1086" s="23">
        <v>0.97560000000000002</v>
      </c>
      <c r="D1086" s="22">
        <v>7</v>
      </c>
      <c r="E1086" s="24">
        <v>1.5046296296296297E-4</v>
      </c>
      <c r="F1086" s="24">
        <v>2.1412037037037038E-3</v>
      </c>
      <c r="G1086" s="24">
        <v>1.3425925925925925E-3</v>
      </c>
      <c r="H1086" s="24">
        <v>0.84319999999999995</v>
      </c>
      <c r="I1086" s="18">
        <f t="shared" si="81"/>
        <v>9.7560000000000008E-3</v>
      </c>
      <c r="J1086" s="18">
        <f t="shared" si="85"/>
        <v>8.4320000000000003E-3</v>
      </c>
      <c r="K1086" s="19">
        <f t="shared" si="82"/>
        <v>7</v>
      </c>
      <c r="L1086" s="18">
        <f t="shared" si="83"/>
        <v>2.4390243902439025E-2</v>
      </c>
      <c r="M1086" s="18">
        <f t="shared" si="84"/>
        <v>0.97560975609756095</v>
      </c>
    </row>
    <row r="1087" spans="1:13" x14ac:dyDescent="0.3">
      <c r="A1087" s="22">
        <v>269</v>
      </c>
      <c r="B1087" s="22">
        <v>257</v>
      </c>
      <c r="C1087" s="23">
        <v>0.95540000000000003</v>
      </c>
      <c r="D1087" s="22">
        <v>12</v>
      </c>
      <c r="E1087" s="24">
        <v>1.8518518518518518E-4</v>
      </c>
      <c r="F1087" s="24">
        <v>2.1296296296296298E-3</v>
      </c>
      <c r="G1087" s="24">
        <v>2.650462962962963E-3</v>
      </c>
      <c r="H1087" s="24">
        <v>0.82020000000000004</v>
      </c>
      <c r="I1087" s="18">
        <f t="shared" si="81"/>
        <v>9.554E-3</v>
      </c>
      <c r="J1087" s="18">
        <f t="shared" si="85"/>
        <v>8.202000000000001E-3</v>
      </c>
      <c r="K1087" s="19">
        <f t="shared" si="82"/>
        <v>12</v>
      </c>
      <c r="L1087" s="18">
        <f t="shared" si="83"/>
        <v>4.4609665427509292E-2</v>
      </c>
      <c r="M1087" s="18">
        <f t="shared" si="84"/>
        <v>0.95539033457249067</v>
      </c>
    </row>
    <row r="1088" spans="1:13" x14ac:dyDescent="0.3">
      <c r="A1088" s="22">
        <v>270</v>
      </c>
      <c r="B1088" s="22">
        <v>261</v>
      </c>
      <c r="C1088" s="23">
        <v>0.9667</v>
      </c>
      <c r="D1088" s="22">
        <v>9</v>
      </c>
      <c r="E1088" s="24">
        <v>1.3888888888888889E-4</v>
      </c>
      <c r="F1088" s="24">
        <v>2.1527777777777778E-3</v>
      </c>
      <c r="G1088" s="24">
        <v>3.1134259259259257E-3</v>
      </c>
      <c r="H1088" s="24">
        <v>0.85870000000000002</v>
      </c>
      <c r="I1088" s="18">
        <f t="shared" si="81"/>
        <v>9.6670000000000002E-3</v>
      </c>
      <c r="J1088" s="18">
        <f t="shared" si="85"/>
        <v>8.5870000000000009E-3</v>
      </c>
      <c r="K1088" s="19">
        <f t="shared" si="82"/>
        <v>9</v>
      </c>
      <c r="L1088" s="18">
        <f t="shared" si="83"/>
        <v>3.3333333333333333E-2</v>
      </c>
      <c r="M1088" s="18">
        <f t="shared" si="84"/>
        <v>0.96666666666666667</v>
      </c>
    </row>
    <row r="1089" spans="1:13" x14ac:dyDescent="0.3">
      <c r="A1089" s="22">
        <v>285</v>
      </c>
      <c r="B1089" s="22">
        <v>273</v>
      </c>
      <c r="C1089" s="23">
        <v>0.95789999999999997</v>
      </c>
      <c r="D1089" s="22">
        <v>12</v>
      </c>
      <c r="E1089" s="24">
        <v>1.3888888888888889E-4</v>
      </c>
      <c r="F1089" s="24">
        <v>2.2453703703703702E-3</v>
      </c>
      <c r="G1089" s="24">
        <v>2.0023148148148148E-3</v>
      </c>
      <c r="H1089" s="24">
        <v>0.85360000000000003</v>
      </c>
      <c r="I1089" s="18">
        <f t="shared" si="81"/>
        <v>9.578999999999999E-3</v>
      </c>
      <c r="J1089" s="18">
        <f t="shared" si="85"/>
        <v>8.5360000000000002E-3</v>
      </c>
      <c r="K1089" s="19">
        <f t="shared" si="82"/>
        <v>12</v>
      </c>
      <c r="L1089" s="18">
        <f t="shared" si="83"/>
        <v>4.2105263157894736E-2</v>
      </c>
      <c r="M1089" s="18">
        <f t="shared" si="84"/>
        <v>0.95789473684210524</v>
      </c>
    </row>
    <row r="1090" spans="1:13" x14ac:dyDescent="0.3">
      <c r="A1090" s="22">
        <v>251</v>
      </c>
      <c r="B1090" s="22">
        <v>229</v>
      </c>
      <c r="C1090" s="23">
        <v>0.91239999999999999</v>
      </c>
      <c r="D1090" s="22">
        <v>22</v>
      </c>
      <c r="E1090" s="24">
        <v>2.5462962962962961E-4</v>
      </c>
      <c r="F1090" s="24">
        <v>2.0717592592592593E-3</v>
      </c>
      <c r="G1090" s="24">
        <v>2.1527777777777778E-3</v>
      </c>
      <c r="H1090" s="24">
        <v>0.73060000000000003</v>
      </c>
      <c r="I1090" s="18">
        <f t="shared" si="81"/>
        <v>9.1240000000000002E-3</v>
      </c>
      <c r="J1090" s="18">
        <f t="shared" si="85"/>
        <v>7.306E-3</v>
      </c>
      <c r="K1090" s="19">
        <f t="shared" si="82"/>
        <v>22</v>
      </c>
      <c r="L1090" s="18">
        <f t="shared" si="83"/>
        <v>8.7649402390438252E-2</v>
      </c>
      <c r="M1090" s="18">
        <f t="shared" si="84"/>
        <v>0.91235059760956172</v>
      </c>
    </row>
    <row r="1091" spans="1:13" x14ac:dyDescent="0.3">
      <c r="A1091" s="22">
        <v>47</v>
      </c>
      <c r="B1091" s="22">
        <v>47</v>
      </c>
      <c r="C1091" s="23">
        <v>1</v>
      </c>
      <c r="D1091" s="22">
        <v>0</v>
      </c>
      <c r="E1091" s="24">
        <v>1.5046296296296297E-4</v>
      </c>
      <c r="F1091" s="24">
        <v>2.1180555555555558E-3</v>
      </c>
      <c r="G1091" s="24">
        <v>1.0300925925925926E-3</v>
      </c>
      <c r="H1091" s="24">
        <v>0.87229999999999996</v>
      </c>
      <c r="I1091" s="18">
        <f t="shared" ref="I1091:I1154" si="86">VALUE(SUBSTITUTE(C1091,"%",""))/100</f>
        <v>0.01</v>
      </c>
      <c r="J1091" s="18">
        <f t="shared" si="85"/>
        <v>8.7229999999999999E-3</v>
      </c>
      <c r="K1091" s="19">
        <f t="shared" ref="K1091:K1154" si="87">A1091-B1091</f>
        <v>0</v>
      </c>
      <c r="L1091" s="18">
        <f t="shared" ref="L1091:L1154" si="88">D1091/A1091</f>
        <v>0</v>
      </c>
      <c r="M1091" s="18">
        <f t="shared" ref="M1091:M1154" si="89">B1091/A1091</f>
        <v>1</v>
      </c>
    </row>
    <row r="1092" spans="1:13" x14ac:dyDescent="0.3">
      <c r="A1092" s="22">
        <v>233</v>
      </c>
      <c r="B1092" s="22">
        <v>225</v>
      </c>
      <c r="C1092" s="23">
        <v>0.9657</v>
      </c>
      <c r="D1092" s="22">
        <v>8</v>
      </c>
      <c r="E1092" s="24">
        <v>1.5046296296296297E-4</v>
      </c>
      <c r="F1092" s="24">
        <v>2.1064814814814813E-3</v>
      </c>
      <c r="G1092" s="24">
        <v>1.3541666666666667E-3</v>
      </c>
      <c r="H1092" s="24">
        <v>0.84719999999999995</v>
      </c>
      <c r="I1092" s="18">
        <f t="shared" si="86"/>
        <v>9.6570000000000007E-3</v>
      </c>
      <c r="J1092" s="18">
        <f t="shared" si="85"/>
        <v>8.4720000000000004E-3</v>
      </c>
      <c r="K1092" s="19">
        <f t="shared" si="87"/>
        <v>8</v>
      </c>
      <c r="L1092" s="18">
        <f t="shared" si="88"/>
        <v>3.4334763948497854E-2</v>
      </c>
      <c r="M1092" s="18">
        <f t="shared" si="89"/>
        <v>0.96566523605150212</v>
      </c>
    </row>
    <row r="1093" spans="1:13" x14ac:dyDescent="0.3">
      <c r="A1093" s="22">
        <v>257</v>
      </c>
      <c r="B1093" s="22">
        <v>248</v>
      </c>
      <c r="C1093" s="23">
        <v>0.96499999999999997</v>
      </c>
      <c r="D1093" s="22">
        <v>9</v>
      </c>
      <c r="E1093" s="24">
        <v>1.6203703703703703E-4</v>
      </c>
      <c r="F1093" s="24">
        <v>2.2453703703703702E-3</v>
      </c>
      <c r="G1093" s="24">
        <v>2.5694444444444445E-3</v>
      </c>
      <c r="H1093" s="24">
        <v>0.83399999999999996</v>
      </c>
      <c r="I1093" s="18">
        <f t="shared" si="86"/>
        <v>9.6499999999999989E-3</v>
      </c>
      <c r="J1093" s="18">
        <f t="shared" si="85"/>
        <v>8.3400000000000002E-3</v>
      </c>
      <c r="K1093" s="19">
        <f t="shared" si="87"/>
        <v>9</v>
      </c>
      <c r="L1093" s="18">
        <f t="shared" si="88"/>
        <v>3.5019455252918288E-2</v>
      </c>
      <c r="M1093" s="18">
        <f t="shared" si="89"/>
        <v>0.96498054474708173</v>
      </c>
    </row>
    <row r="1094" spans="1:13" x14ac:dyDescent="0.3">
      <c r="A1094" s="22">
        <v>245</v>
      </c>
      <c r="B1094" s="22">
        <v>234</v>
      </c>
      <c r="C1094" s="23">
        <v>0.95509999999999995</v>
      </c>
      <c r="D1094" s="22">
        <v>11</v>
      </c>
      <c r="E1094" s="24">
        <v>1.273148148148148E-4</v>
      </c>
      <c r="F1094" s="24">
        <v>2.0949074074074073E-3</v>
      </c>
      <c r="G1094" s="24">
        <v>1.3425925925925925E-3</v>
      </c>
      <c r="H1094" s="24">
        <v>0.85950000000000004</v>
      </c>
      <c r="I1094" s="18">
        <f t="shared" si="86"/>
        <v>9.5509999999999987E-3</v>
      </c>
      <c r="J1094" s="18">
        <f t="shared" ref="J1094:J1157" si="90">VALUE(SUBSTITUTE(H1094,"%",""))/100</f>
        <v>8.5950000000000002E-3</v>
      </c>
      <c r="K1094" s="19">
        <f t="shared" si="87"/>
        <v>11</v>
      </c>
      <c r="L1094" s="18">
        <f t="shared" si="88"/>
        <v>4.4897959183673466E-2</v>
      </c>
      <c r="M1094" s="18">
        <f t="shared" si="89"/>
        <v>0.95510204081632655</v>
      </c>
    </row>
    <row r="1095" spans="1:13" x14ac:dyDescent="0.3">
      <c r="A1095" s="22">
        <v>267</v>
      </c>
      <c r="B1095" s="22">
        <v>265</v>
      </c>
      <c r="C1095" s="23">
        <v>0.99250000000000005</v>
      </c>
      <c r="D1095" s="22">
        <v>2</v>
      </c>
      <c r="E1095" s="24">
        <v>5.7870370370370373E-5</v>
      </c>
      <c r="F1095" s="24">
        <v>2.0717592592592593E-3</v>
      </c>
      <c r="G1095" s="24">
        <v>8.4490740740740739E-4</v>
      </c>
      <c r="H1095" s="24">
        <v>0.97360000000000002</v>
      </c>
      <c r="I1095" s="18">
        <f t="shared" si="86"/>
        <v>9.9249999999999998E-3</v>
      </c>
      <c r="J1095" s="18">
        <f t="shared" si="90"/>
        <v>9.7359999999999999E-3</v>
      </c>
      <c r="K1095" s="19">
        <f t="shared" si="87"/>
        <v>2</v>
      </c>
      <c r="L1095" s="18">
        <f t="shared" si="88"/>
        <v>7.4906367041198503E-3</v>
      </c>
      <c r="M1095" s="18">
        <f t="shared" si="89"/>
        <v>0.99250936329588013</v>
      </c>
    </row>
    <row r="1096" spans="1:13" x14ac:dyDescent="0.3">
      <c r="A1096" s="22">
        <v>231</v>
      </c>
      <c r="B1096" s="22">
        <v>224</v>
      </c>
      <c r="C1096" s="23">
        <v>0.96970000000000001</v>
      </c>
      <c r="D1096" s="22">
        <v>7</v>
      </c>
      <c r="E1096" s="24">
        <v>1.273148148148148E-4</v>
      </c>
      <c r="F1096" s="24">
        <v>2.0370370370370369E-3</v>
      </c>
      <c r="G1096" s="24">
        <v>2.0138888888888888E-3</v>
      </c>
      <c r="H1096" s="24">
        <v>0.86580000000000001</v>
      </c>
      <c r="I1096" s="18">
        <f t="shared" si="86"/>
        <v>9.6970000000000008E-3</v>
      </c>
      <c r="J1096" s="18">
        <f t="shared" si="90"/>
        <v>8.6580000000000008E-3</v>
      </c>
      <c r="K1096" s="19">
        <f t="shared" si="87"/>
        <v>7</v>
      </c>
      <c r="L1096" s="18">
        <f t="shared" si="88"/>
        <v>3.0303030303030304E-2</v>
      </c>
      <c r="M1096" s="18">
        <f t="shared" si="89"/>
        <v>0.96969696969696972</v>
      </c>
    </row>
    <row r="1097" spans="1:13" x14ac:dyDescent="0.3">
      <c r="A1097" s="22">
        <v>236</v>
      </c>
      <c r="B1097" s="22">
        <v>226</v>
      </c>
      <c r="C1097" s="23">
        <v>0.95760000000000001</v>
      </c>
      <c r="D1097" s="22">
        <v>10</v>
      </c>
      <c r="E1097" s="24">
        <v>2.199074074074074E-4</v>
      </c>
      <c r="F1097" s="24">
        <v>2.1296296296296298E-3</v>
      </c>
      <c r="G1097" s="24">
        <v>2.1527777777777778E-3</v>
      </c>
      <c r="H1097" s="24">
        <v>0.75</v>
      </c>
      <c r="I1097" s="18">
        <f t="shared" si="86"/>
        <v>9.5759999999999994E-3</v>
      </c>
      <c r="J1097" s="18">
        <f t="shared" si="90"/>
        <v>7.4999999999999997E-3</v>
      </c>
      <c r="K1097" s="19">
        <f t="shared" si="87"/>
        <v>10</v>
      </c>
      <c r="L1097" s="18">
        <f t="shared" si="88"/>
        <v>4.2372881355932202E-2</v>
      </c>
      <c r="M1097" s="18">
        <f t="shared" si="89"/>
        <v>0.9576271186440678</v>
      </c>
    </row>
    <row r="1098" spans="1:13" x14ac:dyDescent="0.3">
      <c r="A1098" s="22">
        <v>81</v>
      </c>
      <c r="B1098" s="22">
        <v>78</v>
      </c>
      <c r="C1098" s="23">
        <v>0.96299999999999997</v>
      </c>
      <c r="D1098" s="22">
        <v>3</v>
      </c>
      <c r="E1098" s="24">
        <v>1.273148148148148E-4</v>
      </c>
      <c r="F1098" s="24">
        <v>2.0486111111111113E-3</v>
      </c>
      <c r="G1098" s="24">
        <v>6.7129629629629625E-4</v>
      </c>
      <c r="H1098" s="24">
        <v>0.8125</v>
      </c>
      <c r="I1098" s="18">
        <f t="shared" si="86"/>
        <v>9.6299999999999997E-3</v>
      </c>
      <c r="J1098" s="18">
        <f t="shared" si="90"/>
        <v>8.1250000000000003E-3</v>
      </c>
      <c r="K1098" s="19">
        <f t="shared" si="87"/>
        <v>3</v>
      </c>
      <c r="L1098" s="18">
        <f t="shared" si="88"/>
        <v>3.7037037037037035E-2</v>
      </c>
      <c r="M1098" s="18">
        <f t="shared" si="89"/>
        <v>0.96296296296296291</v>
      </c>
    </row>
    <row r="1099" spans="1:13" x14ac:dyDescent="0.3">
      <c r="A1099" s="22">
        <v>281</v>
      </c>
      <c r="B1099" s="22">
        <v>273</v>
      </c>
      <c r="C1099" s="23">
        <v>0.97150000000000003</v>
      </c>
      <c r="D1099" s="22">
        <v>8</v>
      </c>
      <c r="E1099" s="24">
        <v>1.273148148148148E-4</v>
      </c>
      <c r="F1099" s="24">
        <v>2.1064814814814813E-3</v>
      </c>
      <c r="G1099" s="24">
        <v>2.3263888888888887E-3</v>
      </c>
      <c r="H1099" s="24">
        <v>0.88490000000000002</v>
      </c>
      <c r="I1099" s="18">
        <f t="shared" si="86"/>
        <v>9.7149999999999997E-3</v>
      </c>
      <c r="J1099" s="18">
        <f t="shared" si="90"/>
        <v>8.849000000000001E-3</v>
      </c>
      <c r="K1099" s="19">
        <f t="shared" si="87"/>
        <v>8</v>
      </c>
      <c r="L1099" s="18">
        <f t="shared" si="88"/>
        <v>2.8469750889679714E-2</v>
      </c>
      <c r="M1099" s="18">
        <f t="shared" si="89"/>
        <v>0.97153024911032027</v>
      </c>
    </row>
    <row r="1100" spans="1:13" x14ac:dyDescent="0.3">
      <c r="A1100" s="22">
        <v>399</v>
      </c>
      <c r="B1100" s="22">
        <v>387</v>
      </c>
      <c r="C1100" s="23">
        <v>0.96989999999999998</v>
      </c>
      <c r="D1100" s="22">
        <v>12</v>
      </c>
      <c r="E1100" s="24">
        <v>1.273148148148148E-4</v>
      </c>
      <c r="F1100" s="24">
        <v>1.9791666666666668E-3</v>
      </c>
      <c r="G1100" s="24">
        <v>1.6782407407407408E-3</v>
      </c>
      <c r="H1100" s="24">
        <v>0.86360000000000003</v>
      </c>
      <c r="I1100" s="18">
        <f t="shared" si="86"/>
        <v>9.6989999999999993E-3</v>
      </c>
      <c r="J1100" s="18">
        <f t="shared" si="90"/>
        <v>8.6359999999999996E-3</v>
      </c>
      <c r="K1100" s="19">
        <f t="shared" si="87"/>
        <v>12</v>
      </c>
      <c r="L1100" s="18">
        <f t="shared" si="88"/>
        <v>3.007518796992481E-2</v>
      </c>
      <c r="M1100" s="18">
        <f t="shared" si="89"/>
        <v>0.96992481203007519</v>
      </c>
    </row>
    <row r="1101" spans="1:13" x14ac:dyDescent="0.3">
      <c r="A1101" s="22">
        <v>291</v>
      </c>
      <c r="B1101" s="22">
        <v>287</v>
      </c>
      <c r="C1101" s="23">
        <v>0.98629999999999995</v>
      </c>
      <c r="D1101" s="22">
        <v>4</v>
      </c>
      <c r="E1101" s="24">
        <v>1.273148148148148E-4</v>
      </c>
      <c r="F1101" s="24">
        <v>1.8055555555555555E-3</v>
      </c>
      <c r="G1101" s="24">
        <v>2.5231481481481481E-3</v>
      </c>
      <c r="H1101" s="24">
        <v>0.87970000000000004</v>
      </c>
      <c r="I1101" s="18">
        <f t="shared" si="86"/>
        <v>9.8630000000000002E-3</v>
      </c>
      <c r="J1101" s="18">
        <f t="shared" si="90"/>
        <v>8.797000000000001E-3</v>
      </c>
      <c r="K1101" s="19">
        <f t="shared" si="87"/>
        <v>4</v>
      </c>
      <c r="L1101" s="18">
        <f t="shared" si="88"/>
        <v>1.3745704467353952E-2</v>
      </c>
      <c r="M1101" s="18">
        <f t="shared" si="89"/>
        <v>0.9862542955326461</v>
      </c>
    </row>
    <row r="1102" spans="1:13" x14ac:dyDescent="0.3">
      <c r="A1102" s="22">
        <v>290</v>
      </c>
      <c r="B1102" s="22">
        <v>281</v>
      </c>
      <c r="C1102" s="23">
        <v>0.96899999999999997</v>
      </c>
      <c r="D1102" s="22">
        <v>9</v>
      </c>
      <c r="E1102" s="24">
        <v>8.1018518518518516E-5</v>
      </c>
      <c r="F1102" s="24">
        <v>2.1180555555555558E-3</v>
      </c>
      <c r="G1102" s="24">
        <v>6.9444444444444447E-4</v>
      </c>
      <c r="H1102" s="24">
        <v>0.91639999999999999</v>
      </c>
      <c r="I1102" s="18">
        <f t="shared" si="86"/>
        <v>9.689999999999999E-3</v>
      </c>
      <c r="J1102" s="18">
        <f t="shared" si="90"/>
        <v>9.1640000000000003E-3</v>
      </c>
      <c r="K1102" s="19">
        <f t="shared" si="87"/>
        <v>9</v>
      </c>
      <c r="L1102" s="18">
        <f t="shared" si="88"/>
        <v>3.1034482758620689E-2</v>
      </c>
      <c r="M1102" s="18">
        <f t="shared" si="89"/>
        <v>0.96896551724137936</v>
      </c>
    </row>
    <row r="1103" spans="1:13" x14ac:dyDescent="0.3">
      <c r="A1103" s="22">
        <v>230</v>
      </c>
      <c r="B1103" s="22">
        <v>227</v>
      </c>
      <c r="C1103" s="23">
        <v>0.98699999999999999</v>
      </c>
      <c r="D1103" s="22">
        <v>3</v>
      </c>
      <c r="E1103" s="24">
        <v>9.2592592592592588E-5</v>
      </c>
      <c r="F1103" s="24">
        <v>2.1527777777777778E-3</v>
      </c>
      <c r="G1103" s="24">
        <v>8.3333333333333339E-4</v>
      </c>
      <c r="H1103" s="24">
        <v>0.91669999999999996</v>
      </c>
      <c r="I1103" s="18">
        <f t="shared" si="86"/>
        <v>9.8700000000000003E-3</v>
      </c>
      <c r="J1103" s="18">
        <f t="shared" si="90"/>
        <v>9.1669999999999998E-3</v>
      </c>
      <c r="K1103" s="19">
        <f t="shared" si="87"/>
        <v>3</v>
      </c>
      <c r="L1103" s="18">
        <f t="shared" si="88"/>
        <v>1.3043478260869565E-2</v>
      </c>
      <c r="M1103" s="18">
        <f t="shared" si="89"/>
        <v>0.9869565217391304</v>
      </c>
    </row>
    <row r="1104" spans="1:13" x14ac:dyDescent="0.3">
      <c r="A1104" s="22">
        <v>236</v>
      </c>
      <c r="B1104" s="22">
        <v>216</v>
      </c>
      <c r="C1104" s="23">
        <v>0.9153</v>
      </c>
      <c r="D1104" s="22">
        <v>20</v>
      </c>
      <c r="E1104" s="24">
        <v>1.9675925925925926E-4</v>
      </c>
      <c r="F1104" s="24">
        <v>2.1875000000000002E-3</v>
      </c>
      <c r="G1104" s="24">
        <v>2.0138888888888888E-3</v>
      </c>
      <c r="H1104" s="24">
        <v>0.70689999999999997</v>
      </c>
      <c r="I1104" s="18">
        <f t="shared" si="86"/>
        <v>9.1529999999999997E-3</v>
      </c>
      <c r="J1104" s="18">
        <f t="shared" si="90"/>
        <v>7.0689999999999998E-3</v>
      </c>
      <c r="K1104" s="19">
        <f t="shared" si="87"/>
        <v>20</v>
      </c>
      <c r="L1104" s="18">
        <f t="shared" si="88"/>
        <v>8.4745762711864403E-2</v>
      </c>
      <c r="M1104" s="18">
        <f t="shared" si="89"/>
        <v>0.9152542372881356</v>
      </c>
    </row>
    <row r="1105" spans="1:13" x14ac:dyDescent="0.3">
      <c r="A1105" s="22">
        <v>45</v>
      </c>
      <c r="B1105" s="22">
        <v>44</v>
      </c>
      <c r="C1105" s="23">
        <v>0.9778</v>
      </c>
      <c r="D1105" s="22">
        <v>1</v>
      </c>
      <c r="E1105" s="24">
        <v>5.7870370370370373E-5</v>
      </c>
      <c r="F1105" s="24">
        <v>1.9097222222222222E-3</v>
      </c>
      <c r="G1105" s="24">
        <v>1.3425925925925925E-3</v>
      </c>
      <c r="H1105" s="24">
        <v>0.93330000000000002</v>
      </c>
      <c r="I1105" s="18">
        <f t="shared" si="86"/>
        <v>9.7780000000000002E-3</v>
      </c>
      <c r="J1105" s="18">
        <f t="shared" si="90"/>
        <v>9.333000000000001E-3</v>
      </c>
      <c r="K1105" s="19">
        <f t="shared" si="87"/>
        <v>1</v>
      </c>
      <c r="L1105" s="18">
        <f t="shared" si="88"/>
        <v>2.2222222222222223E-2</v>
      </c>
      <c r="M1105" s="18">
        <f t="shared" si="89"/>
        <v>0.97777777777777775</v>
      </c>
    </row>
    <row r="1106" spans="1:13" x14ac:dyDescent="0.3">
      <c r="A1106" s="22">
        <v>249</v>
      </c>
      <c r="B1106" s="22">
        <v>238</v>
      </c>
      <c r="C1106" s="23">
        <v>0.95579999999999998</v>
      </c>
      <c r="D1106" s="22">
        <v>11</v>
      </c>
      <c r="E1106" s="24">
        <v>1.273148148148148E-4</v>
      </c>
      <c r="F1106" s="24">
        <v>1.8749999999999999E-3</v>
      </c>
      <c r="G1106" s="24">
        <v>1.3657407407407407E-3</v>
      </c>
      <c r="H1106" s="24">
        <v>0.86529999999999996</v>
      </c>
      <c r="I1106" s="18">
        <f t="shared" si="86"/>
        <v>9.5580000000000005E-3</v>
      </c>
      <c r="J1106" s="18">
        <f t="shared" si="90"/>
        <v>8.6529999999999992E-3</v>
      </c>
      <c r="K1106" s="19">
        <f t="shared" si="87"/>
        <v>11</v>
      </c>
      <c r="L1106" s="18">
        <f t="shared" si="88"/>
        <v>4.4176706827309238E-2</v>
      </c>
      <c r="M1106" s="18">
        <f t="shared" si="89"/>
        <v>0.95582329317269077</v>
      </c>
    </row>
    <row r="1107" spans="1:13" x14ac:dyDescent="0.3">
      <c r="A1107" s="22">
        <v>350</v>
      </c>
      <c r="B1107" s="22">
        <v>328</v>
      </c>
      <c r="C1107" s="23">
        <v>0.93710000000000004</v>
      </c>
      <c r="D1107" s="22">
        <v>22</v>
      </c>
      <c r="E1107" s="24">
        <v>3.2407407407407406E-4</v>
      </c>
      <c r="F1107" s="24">
        <v>1.7476851851851852E-3</v>
      </c>
      <c r="G1107" s="24">
        <v>1.712962962962963E-3</v>
      </c>
      <c r="H1107" s="24">
        <v>0.58260000000000001</v>
      </c>
      <c r="I1107" s="18">
        <f t="shared" si="86"/>
        <v>9.3710000000000009E-3</v>
      </c>
      <c r="J1107" s="18">
        <f t="shared" si="90"/>
        <v>5.8260000000000004E-3</v>
      </c>
      <c r="K1107" s="19">
        <f t="shared" si="87"/>
        <v>22</v>
      </c>
      <c r="L1107" s="18">
        <f t="shared" si="88"/>
        <v>6.2857142857142861E-2</v>
      </c>
      <c r="M1107" s="18">
        <f t="shared" si="89"/>
        <v>0.93714285714285717</v>
      </c>
    </row>
    <row r="1108" spans="1:13" x14ac:dyDescent="0.3">
      <c r="A1108" s="22">
        <v>361</v>
      </c>
      <c r="B1108" s="22">
        <v>306</v>
      </c>
      <c r="C1108" s="23">
        <v>0.84760000000000002</v>
      </c>
      <c r="D1108" s="22">
        <v>55</v>
      </c>
      <c r="E1108" s="24">
        <v>3.1250000000000001E-4</v>
      </c>
      <c r="F1108" s="24">
        <v>1.6898148148148148E-3</v>
      </c>
      <c r="G1108" s="24">
        <v>4.6412037037037038E-3</v>
      </c>
      <c r="H1108" s="24">
        <v>0.60170000000000001</v>
      </c>
      <c r="I1108" s="18">
        <f t="shared" si="86"/>
        <v>8.4760000000000009E-3</v>
      </c>
      <c r="J1108" s="18">
        <f t="shared" si="90"/>
        <v>6.0169999999999998E-3</v>
      </c>
      <c r="K1108" s="19">
        <f t="shared" si="87"/>
        <v>55</v>
      </c>
      <c r="L1108" s="18">
        <f t="shared" si="88"/>
        <v>0.1523545706371191</v>
      </c>
      <c r="M1108" s="18">
        <f t="shared" si="89"/>
        <v>0.8476454293628809</v>
      </c>
    </row>
    <row r="1109" spans="1:13" x14ac:dyDescent="0.3">
      <c r="A1109" s="22">
        <v>262</v>
      </c>
      <c r="B1109" s="22">
        <v>256</v>
      </c>
      <c r="C1109" s="23">
        <v>0.97709999999999997</v>
      </c>
      <c r="D1109" s="22">
        <v>6</v>
      </c>
      <c r="E1109" s="24">
        <v>1.5046296296296297E-4</v>
      </c>
      <c r="F1109" s="24">
        <v>1.9675925925925924E-3</v>
      </c>
      <c r="G1109" s="24">
        <v>2.0138888888888888E-3</v>
      </c>
      <c r="H1109" s="24">
        <v>0.86150000000000004</v>
      </c>
      <c r="I1109" s="18">
        <f t="shared" si="86"/>
        <v>9.7710000000000002E-3</v>
      </c>
      <c r="J1109" s="18">
        <f t="shared" si="90"/>
        <v>8.6150000000000011E-3</v>
      </c>
      <c r="K1109" s="19">
        <f t="shared" si="87"/>
        <v>6</v>
      </c>
      <c r="L1109" s="18">
        <f t="shared" si="88"/>
        <v>2.2900763358778626E-2</v>
      </c>
      <c r="M1109" s="18">
        <f t="shared" si="89"/>
        <v>0.97709923664122134</v>
      </c>
    </row>
    <row r="1110" spans="1:13" x14ac:dyDescent="0.3">
      <c r="A1110" s="22">
        <v>302</v>
      </c>
      <c r="B1110" s="22">
        <v>288</v>
      </c>
      <c r="C1110" s="23">
        <v>0.9536</v>
      </c>
      <c r="D1110" s="22">
        <v>14</v>
      </c>
      <c r="E1110" s="24">
        <v>2.4305555555555555E-4</v>
      </c>
      <c r="F1110" s="24">
        <v>2.0370370370370369E-3</v>
      </c>
      <c r="G1110" s="24">
        <v>2.0717592592592593E-3</v>
      </c>
      <c r="H1110" s="24">
        <v>0.71099999999999997</v>
      </c>
      <c r="I1110" s="18">
        <f t="shared" si="86"/>
        <v>9.5359999999999993E-3</v>
      </c>
      <c r="J1110" s="18">
        <f t="shared" si="90"/>
        <v>7.11E-3</v>
      </c>
      <c r="K1110" s="19">
        <f t="shared" si="87"/>
        <v>14</v>
      </c>
      <c r="L1110" s="18">
        <f t="shared" si="88"/>
        <v>4.6357615894039736E-2</v>
      </c>
      <c r="M1110" s="18">
        <f t="shared" si="89"/>
        <v>0.95364238410596025</v>
      </c>
    </row>
    <row r="1111" spans="1:13" x14ac:dyDescent="0.3">
      <c r="A1111" s="22">
        <v>299</v>
      </c>
      <c r="B1111" s="22">
        <v>268</v>
      </c>
      <c r="C1111" s="23">
        <v>0.89629999999999999</v>
      </c>
      <c r="D1111" s="22">
        <v>31</v>
      </c>
      <c r="E1111" s="24">
        <v>3.2407407407407406E-4</v>
      </c>
      <c r="F1111" s="24">
        <v>1.9560185185185184E-3</v>
      </c>
      <c r="G1111" s="24">
        <v>2.0601851851851853E-3</v>
      </c>
      <c r="H1111" s="24">
        <v>0.55410000000000004</v>
      </c>
      <c r="I1111" s="18">
        <f t="shared" si="86"/>
        <v>8.9630000000000005E-3</v>
      </c>
      <c r="J1111" s="18">
        <f t="shared" si="90"/>
        <v>5.5410000000000008E-3</v>
      </c>
      <c r="K1111" s="19">
        <f t="shared" si="87"/>
        <v>31</v>
      </c>
      <c r="L1111" s="18">
        <f t="shared" si="88"/>
        <v>0.10367892976588629</v>
      </c>
      <c r="M1111" s="18">
        <f t="shared" si="89"/>
        <v>0.89632107023411367</v>
      </c>
    </row>
    <row r="1112" spans="1:13" x14ac:dyDescent="0.3">
      <c r="A1112" s="22">
        <v>50</v>
      </c>
      <c r="B1112" s="22">
        <v>49</v>
      </c>
      <c r="C1112" s="23">
        <v>0.98</v>
      </c>
      <c r="D1112" s="22">
        <v>1</v>
      </c>
      <c r="E1112" s="24">
        <v>2.7777777777777778E-4</v>
      </c>
      <c r="F1112" s="24">
        <v>2.0254629629629629E-3</v>
      </c>
      <c r="G1112" s="24">
        <v>1.4814814814814814E-3</v>
      </c>
      <c r="H1112" s="24">
        <v>0.76</v>
      </c>
      <c r="I1112" s="18">
        <f t="shared" si="86"/>
        <v>9.7999999999999997E-3</v>
      </c>
      <c r="J1112" s="18">
        <f t="shared" si="90"/>
        <v>7.6E-3</v>
      </c>
      <c r="K1112" s="19">
        <f t="shared" si="87"/>
        <v>1</v>
      </c>
      <c r="L1112" s="18">
        <f t="shared" si="88"/>
        <v>0.02</v>
      </c>
      <c r="M1112" s="18">
        <f t="shared" si="89"/>
        <v>0.98</v>
      </c>
    </row>
    <row r="1113" spans="1:13" x14ac:dyDescent="0.3">
      <c r="A1113" s="22">
        <v>285</v>
      </c>
      <c r="B1113" s="22">
        <v>273</v>
      </c>
      <c r="C1113" s="23">
        <v>0.95789999999999997</v>
      </c>
      <c r="D1113" s="22">
        <v>12</v>
      </c>
      <c r="E1113" s="24">
        <v>2.4305555555555555E-4</v>
      </c>
      <c r="F1113" s="24">
        <v>1.9560185185185184E-3</v>
      </c>
      <c r="G1113" s="24">
        <v>2.4305555555555556E-3</v>
      </c>
      <c r="H1113" s="24">
        <v>0.76160000000000005</v>
      </c>
      <c r="I1113" s="18">
        <f t="shared" si="86"/>
        <v>9.578999999999999E-3</v>
      </c>
      <c r="J1113" s="18">
        <f t="shared" si="90"/>
        <v>7.6160000000000004E-3</v>
      </c>
      <c r="K1113" s="19">
        <f t="shared" si="87"/>
        <v>12</v>
      </c>
      <c r="L1113" s="18">
        <f t="shared" si="88"/>
        <v>4.2105263157894736E-2</v>
      </c>
      <c r="M1113" s="18">
        <f t="shared" si="89"/>
        <v>0.95789473684210524</v>
      </c>
    </row>
    <row r="1114" spans="1:13" x14ac:dyDescent="0.3">
      <c r="A1114" s="22">
        <v>77</v>
      </c>
      <c r="B1114" s="22">
        <v>75</v>
      </c>
      <c r="C1114" s="23">
        <v>0.97399999999999998</v>
      </c>
      <c r="D1114" s="22">
        <v>2</v>
      </c>
      <c r="E1114" s="24">
        <v>1.0416666666666667E-4</v>
      </c>
      <c r="F1114" s="24">
        <v>1.8865740740740742E-3</v>
      </c>
      <c r="G1114" s="24">
        <v>1.5046296296296296E-3</v>
      </c>
      <c r="H1114" s="24">
        <v>0.92110000000000003</v>
      </c>
      <c r="I1114" s="18">
        <f t="shared" si="86"/>
        <v>9.7400000000000004E-3</v>
      </c>
      <c r="J1114" s="18">
        <f t="shared" si="90"/>
        <v>9.2110000000000004E-3</v>
      </c>
      <c r="K1114" s="19">
        <f t="shared" si="87"/>
        <v>2</v>
      </c>
      <c r="L1114" s="18">
        <f t="shared" si="88"/>
        <v>2.5974025974025976E-2</v>
      </c>
      <c r="M1114" s="18">
        <f t="shared" si="89"/>
        <v>0.97402597402597402</v>
      </c>
    </row>
    <row r="1115" spans="1:13" x14ac:dyDescent="0.3">
      <c r="A1115" s="22">
        <v>332</v>
      </c>
      <c r="B1115" s="22">
        <v>321</v>
      </c>
      <c r="C1115" s="23">
        <v>0.96689999999999998</v>
      </c>
      <c r="D1115" s="22">
        <v>11</v>
      </c>
      <c r="E1115" s="24">
        <v>1.9675925925925926E-4</v>
      </c>
      <c r="F1115" s="24">
        <v>2.0601851851851853E-3</v>
      </c>
      <c r="G1115" s="24">
        <v>2.476851851851852E-3</v>
      </c>
      <c r="H1115" s="24">
        <v>0.80659999999999998</v>
      </c>
      <c r="I1115" s="18">
        <f t="shared" si="86"/>
        <v>9.6690000000000005E-3</v>
      </c>
      <c r="J1115" s="18">
        <f t="shared" si="90"/>
        <v>8.0660000000000003E-3</v>
      </c>
      <c r="K1115" s="19">
        <f t="shared" si="87"/>
        <v>11</v>
      </c>
      <c r="L1115" s="18">
        <f t="shared" si="88"/>
        <v>3.313253012048193E-2</v>
      </c>
      <c r="M1115" s="18">
        <f t="shared" si="89"/>
        <v>0.9668674698795181</v>
      </c>
    </row>
    <row r="1116" spans="1:13" x14ac:dyDescent="0.3">
      <c r="A1116" s="22">
        <v>282</v>
      </c>
      <c r="B1116" s="22">
        <v>266</v>
      </c>
      <c r="C1116" s="23">
        <v>0.94330000000000003</v>
      </c>
      <c r="D1116" s="22">
        <v>16</v>
      </c>
      <c r="E1116" s="24">
        <v>2.5462962962962961E-4</v>
      </c>
      <c r="F1116" s="24">
        <v>2.1990740740740742E-3</v>
      </c>
      <c r="G1116" s="24">
        <v>5.6944444444444447E-3</v>
      </c>
      <c r="H1116" s="24">
        <v>0.7429</v>
      </c>
      <c r="I1116" s="18">
        <f t="shared" si="86"/>
        <v>9.4330000000000004E-3</v>
      </c>
      <c r="J1116" s="18">
        <f t="shared" si="90"/>
        <v>7.4289999999999998E-3</v>
      </c>
      <c r="K1116" s="19">
        <f t="shared" si="87"/>
        <v>16</v>
      </c>
      <c r="L1116" s="18">
        <f t="shared" si="88"/>
        <v>5.6737588652482268E-2</v>
      </c>
      <c r="M1116" s="18">
        <f t="shared" si="89"/>
        <v>0.94326241134751776</v>
      </c>
    </row>
    <row r="1117" spans="1:13" x14ac:dyDescent="0.3">
      <c r="A1117" s="22">
        <v>256</v>
      </c>
      <c r="B1117" s="22">
        <v>248</v>
      </c>
      <c r="C1117" s="23">
        <v>0.96879999999999999</v>
      </c>
      <c r="D1117" s="22">
        <v>8</v>
      </c>
      <c r="E1117" s="24">
        <v>1.6203703703703703E-4</v>
      </c>
      <c r="F1117" s="24">
        <v>2.0833333333333333E-3</v>
      </c>
      <c r="G1117" s="24">
        <v>2.685185185185185E-3</v>
      </c>
      <c r="H1117" s="24">
        <v>0.82350000000000001</v>
      </c>
      <c r="I1117" s="18">
        <f t="shared" si="86"/>
        <v>9.6880000000000004E-3</v>
      </c>
      <c r="J1117" s="18">
        <f t="shared" si="90"/>
        <v>8.2349999999999993E-3</v>
      </c>
      <c r="K1117" s="19">
        <f t="shared" si="87"/>
        <v>8</v>
      </c>
      <c r="L1117" s="18">
        <f t="shared" si="88"/>
        <v>3.125E-2</v>
      </c>
      <c r="M1117" s="18">
        <f t="shared" si="89"/>
        <v>0.96875</v>
      </c>
    </row>
    <row r="1118" spans="1:13" x14ac:dyDescent="0.3">
      <c r="A1118" s="22">
        <v>177</v>
      </c>
      <c r="B1118" s="22">
        <v>176</v>
      </c>
      <c r="C1118" s="23">
        <v>0.99439999999999995</v>
      </c>
      <c r="D1118" s="22">
        <v>1</v>
      </c>
      <c r="E1118" s="24">
        <v>1.3888888888888889E-4</v>
      </c>
      <c r="F1118" s="24">
        <v>1.8171296296296297E-3</v>
      </c>
      <c r="G1118" s="24">
        <v>1.2152777777777778E-3</v>
      </c>
      <c r="H1118" s="24">
        <v>0.83520000000000005</v>
      </c>
      <c r="I1118" s="18">
        <f t="shared" si="86"/>
        <v>9.9439999999999997E-3</v>
      </c>
      <c r="J1118" s="18">
        <f t="shared" si="90"/>
        <v>8.352E-3</v>
      </c>
      <c r="K1118" s="19">
        <f t="shared" si="87"/>
        <v>1</v>
      </c>
      <c r="L1118" s="18">
        <f t="shared" si="88"/>
        <v>5.6497175141242938E-3</v>
      </c>
      <c r="M1118" s="18">
        <f t="shared" si="89"/>
        <v>0.99435028248587576</v>
      </c>
    </row>
    <row r="1119" spans="1:13" x14ac:dyDescent="0.3">
      <c r="A1119" s="22">
        <v>27</v>
      </c>
      <c r="B1119" s="22">
        <v>24</v>
      </c>
      <c r="C1119" s="23">
        <v>0.88890000000000002</v>
      </c>
      <c r="D1119" s="22">
        <v>3</v>
      </c>
      <c r="E1119" s="24">
        <v>1.5046296296296297E-4</v>
      </c>
      <c r="F1119" s="24">
        <v>1.5625000000000001E-3</v>
      </c>
      <c r="G1119" s="24">
        <v>7.8703703703703705E-4</v>
      </c>
      <c r="H1119" s="24">
        <v>0.74070000000000003</v>
      </c>
      <c r="I1119" s="18">
        <f t="shared" si="86"/>
        <v>8.8890000000000011E-3</v>
      </c>
      <c r="J1119" s="18">
        <f t="shared" si="90"/>
        <v>7.4070000000000004E-3</v>
      </c>
      <c r="K1119" s="19">
        <f t="shared" si="87"/>
        <v>3</v>
      </c>
      <c r="L1119" s="18">
        <f t="shared" si="88"/>
        <v>0.1111111111111111</v>
      </c>
      <c r="M1119" s="18">
        <f t="shared" si="89"/>
        <v>0.88888888888888884</v>
      </c>
    </row>
    <row r="1120" spans="1:13" x14ac:dyDescent="0.3">
      <c r="A1120" s="22">
        <v>307</v>
      </c>
      <c r="B1120" s="22">
        <v>305</v>
      </c>
      <c r="C1120" s="23">
        <v>0.99350000000000005</v>
      </c>
      <c r="D1120" s="22">
        <v>2</v>
      </c>
      <c r="E1120" s="24">
        <v>1.0416666666666667E-4</v>
      </c>
      <c r="F1120" s="24">
        <v>2.0949074074074073E-3</v>
      </c>
      <c r="G1120" s="24">
        <v>1.1805555555555556E-3</v>
      </c>
      <c r="H1120" s="24">
        <v>0.91800000000000004</v>
      </c>
      <c r="I1120" s="18">
        <f t="shared" si="86"/>
        <v>9.9350000000000011E-3</v>
      </c>
      <c r="J1120" s="18">
        <f t="shared" si="90"/>
        <v>9.1800000000000007E-3</v>
      </c>
      <c r="K1120" s="19">
        <f t="shared" si="87"/>
        <v>2</v>
      </c>
      <c r="L1120" s="18">
        <f t="shared" si="88"/>
        <v>6.5146579804560263E-3</v>
      </c>
      <c r="M1120" s="18">
        <f t="shared" si="89"/>
        <v>0.99348534201954397</v>
      </c>
    </row>
    <row r="1121" spans="1:13" x14ac:dyDescent="0.3">
      <c r="A1121" s="22">
        <v>587</v>
      </c>
      <c r="B1121" s="22">
        <v>577</v>
      </c>
      <c r="C1121" s="23">
        <v>0.98299999999999998</v>
      </c>
      <c r="D1121" s="22">
        <v>10</v>
      </c>
      <c r="E1121" s="24">
        <v>1.1574074074074075E-4</v>
      </c>
      <c r="F1121" s="24">
        <v>1.4814814814814814E-3</v>
      </c>
      <c r="G1121" s="24">
        <v>1.3425925925925925E-3</v>
      </c>
      <c r="H1121" s="24">
        <v>0.9194</v>
      </c>
      <c r="I1121" s="18">
        <f t="shared" si="86"/>
        <v>9.8300000000000002E-3</v>
      </c>
      <c r="J1121" s="18">
        <f t="shared" si="90"/>
        <v>9.1940000000000008E-3</v>
      </c>
      <c r="K1121" s="19">
        <f t="shared" si="87"/>
        <v>10</v>
      </c>
      <c r="L1121" s="18">
        <f t="shared" si="88"/>
        <v>1.7035775127768313E-2</v>
      </c>
      <c r="M1121" s="18">
        <f t="shared" si="89"/>
        <v>0.98296422487223167</v>
      </c>
    </row>
    <row r="1122" spans="1:13" x14ac:dyDescent="0.3">
      <c r="A1122" s="22">
        <v>270</v>
      </c>
      <c r="B1122" s="22">
        <v>265</v>
      </c>
      <c r="C1122" s="23">
        <v>0.98150000000000004</v>
      </c>
      <c r="D1122" s="22">
        <v>5</v>
      </c>
      <c r="E1122" s="24">
        <v>8.1018518518518516E-5</v>
      </c>
      <c r="F1122" s="24">
        <v>1.8981481481481482E-3</v>
      </c>
      <c r="G1122" s="24">
        <v>1.3425925925925925E-3</v>
      </c>
      <c r="H1122" s="24">
        <v>0.91790000000000005</v>
      </c>
      <c r="I1122" s="18">
        <f t="shared" si="86"/>
        <v>9.8150000000000008E-3</v>
      </c>
      <c r="J1122" s="18">
        <f t="shared" si="90"/>
        <v>9.1789999999999997E-3</v>
      </c>
      <c r="K1122" s="19">
        <f t="shared" si="87"/>
        <v>5</v>
      </c>
      <c r="L1122" s="18">
        <f t="shared" si="88"/>
        <v>1.8518518518518517E-2</v>
      </c>
      <c r="M1122" s="18">
        <f t="shared" si="89"/>
        <v>0.98148148148148151</v>
      </c>
    </row>
    <row r="1123" spans="1:13" x14ac:dyDescent="0.3">
      <c r="A1123" s="22">
        <v>307</v>
      </c>
      <c r="B1123" s="22">
        <v>297</v>
      </c>
      <c r="C1123" s="23">
        <v>0.96740000000000004</v>
      </c>
      <c r="D1123" s="22">
        <v>10</v>
      </c>
      <c r="E1123" s="24">
        <v>1.6203703703703703E-4</v>
      </c>
      <c r="F1123" s="24">
        <v>2.0717592592592593E-3</v>
      </c>
      <c r="G1123" s="24">
        <v>2.0254629629629629E-3</v>
      </c>
      <c r="H1123" s="24">
        <v>0.82240000000000002</v>
      </c>
      <c r="I1123" s="18">
        <f t="shared" si="86"/>
        <v>9.6740000000000003E-3</v>
      </c>
      <c r="J1123" s="18">
        <f t="shared" si="90"/>
        <v>8.2240000000000004E-3</v>
      </c>
      <c r="K1123" s="19">
        <f t="shared" si="87"/>
        <v>10</v>
      </c>
      <c r="L1123" s="18">
        <f t="shared" si="88"/>
        <v>3.2573289902280131E-2</v>
      </c>
      <c r="M1123" s="18">
        <f t="shared" si="89"/>
        <v>0.96742671009771986</v>
      </c>
    </row>
    <row r="1124" spans="1:13" x14ac:dyDescent="0.3">
      <c r="A1124" s="22">
        <v>242</v>
      </c>
      <c r="B1124" s="22">
        <v>238</v>
      </c>
      <c r="C1124" s="23">
        <v>0.98350000000000004</v>
      </c>
      <c r="D1124" s="22">
        <v>4</v>
      </c>
      <c r="E1124" s="24">
        <v>6.9444444444444444E-5</v>
      </c>
      <c r="F1124" s="24">
        <v>1.8749999999999999E-3</v>
      </c>
      <c r="G1124" s="24">
        <v>1.3310185185185185E-3</v>
      </c>
      <c r="H1124" s="24">
        <v>0.94630000000000003</v>
      </c>
      <c r="I1124" s="18">
        <f t="shared" si="86"/>
        <v>9.835E-3</v>
      </c>
      <c r="J1124" s="18">
        <f t="shared" si="90"/>
        <v>9.4630000000000009E-3</v>
      </c>
      <c r="K1124" s="19">
        <f t="shared" si="87"/>
        <v>4</v>
      </c>
      <c r="L1124" s="18">
        <f t="shared" si="88"/>
        <v>1.6528925619834711E-2</v>
      </c>
      <c r="M1124" s="18">
        <f t="shared" si="89"/>
        <v>0.98347107438016534</v>
      </c>
    </row>
    <row r="1125" spans="1:13" x14ac:dyDescent="0.3">
      <c r="A1125" s="22">
        <v>194</v>
      </c>
      <c r="B1125" s="22">
        <v>182</v>
      </c>
      <c r="C1125" s="23">
        <v>0.93810000000000004</v>
      </c>
      <c r="D1125" s="22">
        <v>12</v>
      </c>
      <c r="E1125" s="24">
        <v>1.3888888888888889E-4</v>
      </c>
      <c r="F1125" s="24">
        <v>2.0486111111111113E-3</v>
      </c>
      <c r="G1125" s="24">
        <v>1.1111111111111111E-3</v>
      </c>
      <c r="H1125" s="24">
        <v>0.8115</v>
      </c>
      <c r="I1125" s="18">
        <f t="shared" si="86"/>
        <v>9.3810000000000004E-3</v>
      </c>
      <c r="J1125" s="18">
        <f t="shared" si="90"/>
        <v>8.1150000000000007E-3</v>
      </c>
      <c r="K1125" s="19">
        <f t="shared" si="87"/>
        <v>12</v>
      </c>
      <c r="L1125" s="18">
        <f t="shared" si="88"/>
        <v>6.1855670103092786E-2</v>
      </c>
      <c r="M1125" s="18">
        <f t="shared" si="89"/>
        <v>0.93814432989690721</v>
      </c>
    </row>
    <row r="1126" spans="1:13" x14ac:dyDescent="0.3">
      <c r="A1126" s="22">
        <v>21</v>
      </c>
      <c r="B1126" s="22">
        <v>21</v>
      </c>
      <c r="C1126" s="23">
        <v>1</v>
      </c>
      <c r="D1126" s="22">
        <v>0</v>
      </c>
      <c r="E1126" s="24">
        <v>1.3888888888888889E-4</v>
      </c>
      <c r="F1126" s="24">
        <v>2.1643518518518518E-3</v>
      </c>
      <c r="G1126" s="24">
        <v>1.0879629629629629E-3</v>
      </c>
      <c r="H1126" s="24">
        <v>0.90480000000000005</v>
      </c>
      <c r="I1126" s="18">
        <f t="shared" si="86"/>
        <v>0.01</v>
      </c>
      <c r="J1126" s="18">
        <f t="shared" si="90"/>
        <v>9.0480000000000005E-3</v>
      </c>
      <c r="K1126" s="19">
        <f t="shared" si="87"/>
        <v>0</v>
      </c>
      <c r="L1126" s="18">
        <f t="shared" si="88"/>
        <v>0</v>
      </c>
      <c r="M1126" s="18">
        <f t="shared" si="89"/>
        <v>1</v>
      </c>
    </row>
    <row r="1127" spans="1:13" x14ac:dyDescent="0.3">
      <c r="A1127" s="22">
        <v>291</v>
      </c>
      <c r="B1127" s="22">
        <v>288</v>
      </c>
      <c r="C1127" s="23">
        <v>0.98970000000000002</v>
      </c>
      <c r="D1127" s="22">
        <v>3</v>
      </c>
      <c r="E1127" s="24">
        <v>8.1018518518518516E-5</v>
      </c>
      <c r="F1127" s="24">
        <v>1.9212962962962964E-3</v>
      </c>
      <c r="G1127" s="24">
        <v>9.7222222222222219E-4</v>
      </c>
      <c r="H1127" s="24">
        <v>0.93789999999999996</v>
      </c>
      <c r="I1127" s="18">
        <f t="shared" si="86"/>
        <v>9.8969999999999995E-3</v>
      </c>
      <c r="J1127" s="18">
        <f t="shared" si="90"/>
        <v>9.3790000000000002E-3</v>
      </c>
      <c r="K1127" s="19">
        <f t="shared" si="87"/>
        <v>3</v>
      </c>
      <c r="L1127" s="18">
        <f t="shared" si="88"/>
        <v>1.0309278350515464E-2</v>
      </c>
      <c r="M1127" s="18">
        <f t="shared" si="89"/>
        <v>0.98969072164948457</v>
      </c>
    </row>
    <row r="1128" spans="1:13" x14ac:dyDescent="0.3">
      <c r="A1128" s="22">
        <v>516</v>
      </c>
      <c r="B1128" s="22">
        <v>479</v>
      </c>
      <c r="C1128" s="23">
        <v>0.92830000000000001</v>
      </c>
      <c r="D1128" s="22">
        <v>37</v>
      </c>
      <c r="E1128" s="24">
        <v>3.0092592592592595E-4</v>
      </c>
      <c r="F1128" s="24">
        <v>1.8518518518518519E-3</v>
      </c>
      <c r="G1128" s="24">
        <v>2.4421296296296296E-3</v>
      </c>
      <c r="H1128" s="24">
        <v>0.63800000000000001</v>
      </c>
      <c r="I1128" s="18">
        <f t="shared" si="86"/>
        <v>9.2829999999999996E-3</v>
      </c>
      <c r="J1128" s="18">
        <f t="shared" si="90"/>
        <v>6.3800000000000003E-3</v>
      </c>
      <c r="K1128" s="19">
        <f t="shared" si="87"/>
        <v>37</v>
      </c>
      <c r="L1128" s="18">
        <f t="shared" si="88"/>
        <v>7.170542635658915E-2</v>
      </c>
      <c r="M1128" s="18">
        <f t="shared" si="89"/>
        <v>0.92829457364341084</v>
      </c>
    </row>
    <row r="1129" spans="1:13" x14ac:dyDescent="0.3">
      <c r="A1129" s="22">
        <v>452</v>
      </c>
      <c r="B1129" s="22">
        <v>447</v>
      </c>
      <c r="C1129" s="23">
        <v>0.9889</v>
      </c>
      <c r="D1129" s="22">
        <v>5</v>
      </c>
      <c r="E1129" s="24">
        <v>6.9444444444444444E-5</v>
      </c>
      <c r="F1129" s="24">
        <v>1.4351851851851852E-3</v>
      </c>
      <c r="G1129" s="24">
        <v>2.685185185185185E-3</v>
      </c>
      <c r="H1129" s="24">
        <v>0.94440000000000002</v>
      </c>
      <c r="I1129" s="18">
        <f t="shared" si="86"/>
        <v>9.8890000000000002E-3</v>
      </c>
      <c r="J1129" s="18">
        <f t="shared" si="90"/>
        <v>9.444000000000001E-3</v>
      </c>
      <c r="K1129" s="19">
        <f t="shared" si="87"/>
        <v>5</v>
      </c>
      <c r="L1129" s="18">
        <f t="shared" si="88"/>
        <v>1.1061946902654867E-2</v>
      </c>
      <c r="M1129" s="18">
        <f t="shared" si="89"/>
        <v>0.98893805309734517</v>
      </c>
    </row>
    <row r="1130" spans="1:13" x14ac:dyDescent="0.3">
      <c r="A1130" s="22">
        <v>375</v>
      </c>
      <c r="B1130" s="22">
        <v>375</v>
      </c>
      <c r="C1130" s="23">
        <v>1</v>
      </c>
      <c r="D1130" s="22">
        <v>0</v>
      </c>
      <c r="E1130" s="24">
        <v>5.7870370370370373E-5</v>
      </c>
      <c r="F1130" s="24">
        <v>1.5393518518518519E-3</v>
      </c>
      <c r="G1130" s="24">
        <v>7.5231481481481482E-4</v>
      </c>
      <c r="H1130" s="24">
        <v>0.96530000000000005</v>
      </c>
      <c r="I1130" s="18">
        <f t="shared" si="86"/>
        <v>0.01</v>
      </c>
      <c r="J1130" s="18">
        <f t="shared" si="90"/>
        <v>9.6530000000000001E-3</v>
      </c>
      <c r="K1130" s="19">
        <f t="shared" si="87"/>
        <v>0</v>
      </c>
      <c r="L1130" s="18">
        <f t="shared" si="88"/>
        <v>0</v>
      </c>
      <c r="M1130" s="18">
        <f t="shared" si="89"/>
        <v>1</v>
      </c>
    </row>
    <row r="1131" spans="1:13" x14ac:dyDescent="0.3">
      <c r="A1131" s="22">
        <v>306</v>
      </c>
      <c r="B1131" s="22">
        <v>287</v>
      </c>
      <c r="C1131" s="23">
        <v>0.93789999999999996</v>
      </c>
      <c r="D1131" s="22">
        <v>19</v>
      </c>
      <c r="E1131" s="24">
        <v>2.199074074074074E-4</v>
      </c>
      <c r="F1131" s="24">
        <v>1.5625000000000001E-3</v>
      </c>
      <c r="G1131" s="24">
        <v>3.3564814814814816E-3</v>
      </c>
      <c r="H1131" s="24">
        <v>0.76319999999999999</v>
      </c>
      <c r="I1131" s="18">
        <f t="shared" si="86"/>
        <v>9.3790000000000002E-3</v>
      </c>
      <c r="J1131" s="18">
        <f t="shared" si="90"/>
        <v>7.6319999999999999E-3</v>
      </c>
      <c r="K1131" s="19">
        <f t="shared" si="87"/>
        <v>19</v>
      </c>
      <c r="L1131" s="18">
        <f t="shared" si="88"/>
        <v>6.2091503267973858E-2</v>
      </c>
      <c r="M1131" s="18">
        <f t="shared" si="89"/>
        <v>0.93790849673202614</v>
      </c>
    </row>
    <row r="1132" spans="1:13" x14ac:dyDescent="0.3">
      <c r="A1132" s="22">
        <v>241</v>
      </c>
      <c r="B1132" s="22">
        <v>235</v>
      </c>
      <c r="C1132" s="23">
        <v>0.97509999999999997</v>
      </c>
      <c r="D1132" s="22">
        <v>6</v>
      </c>
      <c r="E1132" s="24">
        <v>1.7361111111111112E-4</v>
      </c>
      <c r="F1132" s="24">
        <v>1.8518518518518519E-3</v>
      </c>
      <c r="G1132" s="24">
        <v>1.3541666666666667E-3</v>
      </c>
      <c r="H1132" s="24">
        <v>0.80330000000000001</v>
      </c>
      <c r="I1132" s="18">
        <f t="shared" si="86"/>
        <v>9.7509999999999993E-3</v>
      </c>
      <c r="J1132" s="18">
        <f t="shared" si="90"/>
        <v>8.0330000000000002E-3</v>
      </c>
      <c r="K1132" s="19">
        <f t="shared" si="87"/>
        <v>6</v>
      </c>
      <c r="L1132" s="18">
        <f t="shared" si="88"/>
        <v>2.4896265560165973E-2</v>
      </c>
      <c r="M1132" s="18">
        <f t="shared" si="89"/>
        <v>0.975103734439834</v>
      </c>
    </row>
    <row r="1133" spans="1:13" x14ac:dyDescent="0.3">
      <c r="A1133" s="22">
        <v>34</v>
      </c>
      <c r="B1133" s="22">
        <v>34</v>
      </c>
      <c r="C1133" s="23">
        <v>1</v>
      </c>
      <c r="D1133" s="22">
        <v>0</v>
      </c>
      <c r="E1133" s="24">
        <v>2.0833333333333335E-4</v>
      </c>
      <c r="F1133" s="24">
        <v>2.0949074074074073E-3</v>
      </c>
      <c r="G1133" s="24">
        <v>1.4814814814814814E-3</v>
      </c>
      <c r="H1133" s="24">
        <v>0.85289999999999999</v>
      </c>
      <c r="I1133" s="18">
        <f t="shared" si="86"/>
        <v>0.01</v>
      </c>
      <c r="J1133" s="18">
        <f t="shared" si="90"/>
        <v>8.5290000000000001E-3</v>
      </c>
      <c r="K1133" s="19">
        <f t="shared" si="87"/>
        <v>0</v>
      </c>
      <c r="L1133" s="18">
        <f t="shared" si="88"/>
        <v>0</v>
      </c>
      <c r="M1133" s="18">
        <f t="shared" si="89"/>
        <v>1</v>
      </c>
    </row>
    <row r="1134" spans="1:13" x14ac:dyDescent="0.3">
      <c r="A1134" s="22">
        <v>248</v>
      </c>
      <c r="B1134" s="22">
        <v>238</v>
      </c>
      <c r="C1134" s="23">
        <v>0.9597</v>
      </c>
      <c r="D1134" s="22">
        <v>10</v>
      </c>
      <c r="E1134" s="24">
        <v>2.199074074074074E-4</v>
      </c>
      <c r="F1134" s="24">
        <v>1.8865740740740742E-3</v>
      </c>
      <c r="G1134" s="24">
        <v>3.1597222222222222E-3</v>
      </c>
      <c r="H1134" s="24">
        <v>0.7409</v>
      </c>
      <c r="I1134" s="18">
        <f t="shared" si="86"/>
        <v>9.5969999999999996E-3</v>
      </c>
      <c r="J1134" s="18">
        <f t="shared" si="90"/>
        <v>7.4089999999999998E-3</v>
      </c>
      <c r="K1134" s="19">
        <f t="shared" si="87"/>
        <v>10</v>
      </c>
      <c r="L1134" s="18">
        <f t="shared" si="88"/>
        <v>4.0322580645161289E-2</v>
      </c>
      <c r="M1134" s="18">
        <f t="shared" si="89"/>
        <v>0.95967741935483875</v>
      </c>
    </row>
    <row r="1135" spans="1:13" x14ac:dyDescent="0.3">
      <c r="A1135" s="22">
        <v>323</v>
      </c>
      <c r="B1135" s="22">
        <v>307</v>
      </c>
      <c r="C1135" s="23">
        <v>0.95050000000000001</v>
      </c>
      <c r="D1135" s="22">
        <v>16</v>
      </c>
      <c r="E1135" s="24">
        <v>1.5046296296296297E-4</v>
      </c>
      <c r="F1135" s="24">
        <v>1.8749999999999999E-3</v>
      </c>
      <c r="G1135" s="24">
        <v>2.4074074074074076E-3</v>
      </c>
      <c r="H1135" s="24">
        <v>0.82699999999999996</v>
      </c>
      <c r="I1135" s="18">
        <f t="shared" si="86"/>
        <v>9.5049999999999996E-3</v>
      </c>
      <c r="J1135" s="18">
        <f t="shared" si="90"/>
        <v>8.2699999999999996E-3</v>
      </c>
      <c r="K1135" s="19">
        <f t="shared" si="87"/>
        <v>16</v>
      </c>
      <c r="L1135" s="18">
        <f t="shared" si="88"/>
        <v>4.9535603715170282E-2</v>
      </c>
      <c r="M1135" s="18">
        <f t="shared" si="89"/>
        <v>0.9504643962848297</v>
      </c>
    </row>
    <row r="1136" spans="1:13" x14ac:dyDescent="0.3">
      <c r="A1136" s="22">
        <v>260</v>
      </c>
      <c r="B1136" s="22">
        <v>257</v>
      </c>
      <c r="C1136" s="23">
        <v>0.98850000000000005</v>
      </c>
      <c r="D1136" s="22">
        <v>3</v>
      </c>
      <c r="E1136" s="24">
        <v>1.1574074074074075E-4</v>
      </c>
      <c r="F1136" s="24">
        <v>1.724537037037037E-3</v>
      </c>
      <c r="G1136" s="24">
        <v>1.1805555555555556E-3</v>
      </c>
      <c r="H1136" s="24">
        <v>0.91120000000000001</v>
      </c>
      <c r="I1136" s="18">
        <f t="shared" si="86"/>
        <v>9.8849999999999997E-3</v>
      </c>
      <c r="J1136" s="18">
        <f t="shared" si="90"/>
        <v>9.1120000000000003E-3</v>
      </c>
      <c r="K1136" s="19">
        <f t="shared" si="87"/>
        <v>3</v>
      </c>
      <c r="L1136" s="18">
        <f t="shared" si="88"/>
        <v>1.1538461538461539E-2</v>
      </c>
      <c r="M1136" s="18">
        <f t="shared" si="89"/>
        <v>0.9884615384615385</v>
      </c>
    </row>
    <row r="1137" spans="1:13" x14ac:dyDescent="0.3">
      <c r="A1137" s="22">
        <v>316</v>
      </c>
      <c r="B1137" s="22">
        <v>311</v>
      </c>
      <c r="C1137" s="23">
        <v>0.98419999999999996</v>
      </c>
      <c r="D1137" s="22">
        <v>5</v>
      </c>
      <c r="E1137" s="24">
        <v>1.1574074074074075E-4</v>
      </c>
      <c r="F1137" s="24">
        <v>1.8634259259259259E-3</v>
      </c>
      <c r="G1137" s="24">
        <v>2.0138888888888888E-3</v>
      </c>
      <c r="H1137" s="24">
        <v>0.87539999999999996</v>
      </c>
      <c r="I1137" s="18">
        <f t="shared" si="86"/>
        <v>9.8420000000000001E-3</v>
      </c>
      <c r="J1137" s="18">
        <f t="shared" si="90"/>
        <v>8.7539999999999996E-3</v>
      </c>
      <c r="K1137" s="19">
        <f t="shared" si="87"/>
        <v>5</v>
      </c>
      <c r="L1137" s="18">
        <f t="shared" si="88"/>
        <v>1.5822784810126583E-2</v>
      </c>
      <c r="M1137" s="18">
        <f t="shared" si="89"/>
        <v>0.98417721518987344</v>
      </c>
    </row>
    <row r="1138" spans="1:13" x14ac:dyDescent="0.3">
      <c r="A1138" s="22">
        <v>60</v>
      </c>
      <c r="B1138" s="22">
        <v>59</v>
      </c>
      <c r="C1138" s="23">
        <v>0.98329999999999995</v>
      </c>
      <c r="D1138" s="22">
        <v>1</v>
      </c>
      <c r="E1138" s="24">
        <v>3.4722222222222222E-5</v>
      </c>
      <c r="F1138" s="24">
        <v>1.8634259259259259E-3</v>
      </c>
      <c r="G1138" s="24">
        <v>1.3310185185185185E-3</v>
      </c>
      <c r="H1138" s="24">
        <v>0.98329999999999995</v>
      </c>
      <c r="I1138" s="18">
        <f t="shared" si="86"/>
        <v>9.8329999999999997E-3</v>
      </c>
      <c r="J1138" s="18">
        <f t="shared" si="90"/>
        <v>9.8329999999999997E-3</v>
      </c>
      <c r="K1138" s="19">
        <f t="shared" si="87"/>
        <v>1</v>
      </c>
      <c r="L1138" s="18">
        <f t="shared" si="88"/>
        <v>1.6666666666666666E-2</v>
      </c>
      <c r="M1138" s="18">
        <f t="shared" si="89"/>
        <v>0.98333333333333328</v>
      </c>
    </row>
    <row r="1139" spans="1:13" x14ac:dyDescent="0.3">
      <c r="A1139" s="22">
        <v>267</v>
      </c>
      <c r="B1139" s="22">
        <v>251</v>
      </c>
      <c r="C1139" s="23">
        <v>0.94010000000000005</v>
      </c>
      <c r="D1139" s="22">
        <v>16</v>
      </c>
      <c r="E1139" s="24">
        <v>2.199074074074074E-4</v>
      </c>
      <c r="F1139" s="24">
        <v>1.7013888888888888E-3</v>
      </c>
      <c r="G1139" s="24">
        <v>5.37037037037037E-3</v>
      </c>
      <c r="H1139" s="24">
        <v>0.75560000000000005</v>
      </c>
      <c r="I1139" s="18">
        <f t="shared" si="86"/>
        <v>9.4009999999999996E-3</v>
      </c>
      <c r="J1139" s="18">
        <f t="shared" si="90"/>
        <v>7.5560000000000002E-3</v>
      </c>
      <c r="K1139" s="19">
        <f t="shared" si="87"/>
        <v>16</v>
      </c>
      <c r="L1139" s="18">
        <f t="shared" si="88"/>
        <v>5.9925093632958802E-2</v>
      </c>
      <c r="M1139" s="18">
        <f t="shared" si="89"/>
        <v>0.94007490636704116</v>
      </c>
    </row>
    <row r="1140" spans="1:13" x14ac:dyDescent="0.3">
      <c r="A1140" s="22">
        <v>30</v>
      </c>
      <c r="B1140" s="22">
        <v>29</v>
      </c>
      <c r="C1140" s="23">
        <v>0.9667</v>
      </c>
      <c r="D1140" s="22">
        <v>1</v>
      </c>
      <c r="E1140" s="24">
        <v>9.2592592592592588E-5</v>
      </c>
      <c r="F1140" s="24">
        <v>1.3888888888888889E-3</v>
      </c>
      <c r="G1140" s="24">
        <v>5.3240740740740744E-4</v>
      </c>
      <c r="H1140" s="24">
        <v>0.93100000000000005</v>
      </c>
      <c r="I1140" s="18">
        <f t="shared" si="86"/>
        <v>9.6670000000000002E-3</v>
      </c>
      <c r="J1140" s="18">
        <f t="shared" si="90"/>
        <v>9.3100000000000006E-3</v>
      </c>
      <c r="K1140" s="19">
        <f t="shared" si="87"/>
        <v>1</v>
      </c>
      <c r="L1140" s="18">
        <f t="shared" si="88"/>
        <v>3.3333333333333333E-2</v>
      </c>
      <c r="M1140" s="18">
        <f t="shared" si="89"/>
        <v>0.96666666666666667</v>
      </c>
    </row>
    <row r="1141" spans="1:13" x14ac:dyDescent="0.3">
      <c r="A1141" s="22">
        <v>247</v>
      </c>
      <c r="B1141" s="22">
        <v>238</v>
      </c>
      <c r="C1141" s="23">
        <v>0.96360000000000001</v>
      </c>
      <c r="D1141" s="22">
        <v>9</v>
      </c>
      <c r="E1141" s="24">
        <v>1.5046296296296297E-4</v>
      </c>
      <c r="F1141" s="24">
        <v>1.7939814814814815E-3</v>
      </c>
      <c r="G1141" s="24">
        <v>2.0138888888888888E-3</v>
      </c>
      <c r="H1141" s="24">
        <v>0.83330000000000004</v>
      </c>
      <c r="I1141" s="18">
        <f t="shared" si="86"/>
        <v>9.6360000000000005E-3</v>
      </c>
      <c r="J1141" s="18">
        <f t="shared" si="90"/>
        <v>8.3330000000000001E-3</v>
      </c>
      <c r="K1141" s="19">
        <f t="shared" si="87"/>
        <v>9</v>
      </c>
      <c r="L1141" s="18">
        <f t="shared" si="88"/>
        <v>3.643724696356275E-2</v>
      </c>
      <c r="M1141" s="18">
        <f t="shared" si="89"/>
        <v>0.96356275303643724</v>
      </c>
    </row>
    <row r="1142" spans="1:13" x14ac:dyDescent="0.3">
      <c r="A1142" s="22">
        <v>376</v>
      </c>
      <c r="B1142" s="22">
        <v>365</v>
      </c>
      <c r="C1142" s="23">
        <v>0.97070000000000001</v>
      </c>
      <c r="D1142" s="22">
        <v>11</v>
      </c>
      <c r="E1142" s="24">
        <v>1.7361111111111112E-4</v>
      </c>
      <c r="F1142" s="24">
        <v>2.0833333333333333E-3</v>
      </c>
      <c r="G1142" s="24">
        <v>2.4305555555555556E-3</v>
      </c>
      <c r="H1142" s="24">
        <v>0.81769999999999998</v>
      </c>
      <c r="I1142" s="18">
        <f t="shared" si="86"/>
        <v>9.7070000000000004E-3</v>
      </c>
      <c r="J1142" s="18">
        <f t="shared" si="90"/>
        <v>8.1770000000000002E-3</v>
      </c>
      <c r="K1142" s="19">
        <f t="shared" si="87"/>
        <v>11</v>
      </c>
      <c r="L1142" s="18">
        <f t="shared" si="88"/>
        <v>2.9255319148936171E-2</v>
      </c>
      <c r="M1142" s="18">
        <f t="shared" si="89"/>
        <v>0.9707446808510638</v>
      </c>
    </row>
    <row r="1143" spans="1:13" x14ac:dyDescent="0.3">
      <c r="A1143" s="22">
        <v>316</v>
      </c>
      <c r="B1143" s="22">
        <v>306</v>
      </c>
      <c r="C1143" s="23">
        <v>0.96840000000000004</v>
      </c>
      <c r="D1143" s="22">
        <v>10</v>
      </c>
      <c r="E1143" s="24">
        <v>1.5046296296296297E-4</v>
      </c>
      <c r="F1143" s="24">
        <v>2.0254629629629629E-3</v>
      </c>
      <c r="G1143" s="24">
        <v>1.3657407407407407E-3</v>
      </c>
      <c r="H1143" s="24">
        <v>0.82799999999999996</v>
      </c>
      <c r="I1143" s="18">
        <f t="shared" si="86"/>
        <v>9.6839999999999999E-3</v>
      </c>
      <c r="J1143" s="18">
        <f t="shared" si="90"/>
        <v>8.2799999999999992E-3</v>
      </c>
      <c r="K1143" s="19">
        <f t="shared" si="87"/>
        <v>10</v>
      </c>
      <c r="L1143" s="18">
        <f t="shared" si="88"/>
        <v>3.1645569620253167E-2</v>
      </c>
      <c r="M1143" s="18">
        <f t="shared" si="89"/>
        <v>0.96835443037974689</v>
      </c>
    </row>
    <row r="1144" spans="1:13" x14ac:dyDescent="0.3">
      <c r="A1144" s="22">
        <v>310</v>
      </c>
      <c r="B1144" s="22">
        <v>304</v>
      </c>
      <c r="C1144" s="23">
        <v>0.98060000000000003</v>
      </c>
      <c r="D1144" s="22">
        <v>6</v>
      </c>
      <c r="E1144" s="24">
        <v>8.1018518518518516E-5</v>
      </c>
      <c r="F1144" s="24">
        <v>1.9791666666666668E-3</v>
      </c>
      <c r="G1144" s="24">
        <v>1.1574074074074073E-3</v>
      </c>
      <c r="H1144" s="24">
        <v>0.92159999999999997</v>
      </c>
      <c r="I1144" s="18">
        <f t="shared" si="86"/>
        <v>9.8060000000000005E-3</v>
      </c>
      <c r="J1144" s="18">
        <f t="shared" si="90"/>
        <v>9.2160000000000002E-3</v>
      </c>
      <c r="K1144" s="19">
        <f t="shared" si="87"/>
        <v>6</v>
      </c>
      <c r="L1144" s="18">
        <f t="shared" si="88"/>
        <v>1.935483870967742E-2</v>
      </c>
      <c r="M1144" s="18">
        <f t="shared" si="89"/>
        <v>0.98064516129032253</v>
      </c>
    </row>
    <row r="1145" spans="1:13" x14ac:dyDescent="0.3">
      <c r="A1145" s="22">
        <v>340</v>
      </c>
      <c r="B1145" s="22">
        <v>327</v>
      </c>
      <c r="C1145" s="23">
        <v>0.96179999999999999</v>
      </c>
      <c r="D1145" s="22">
        <v>13</v>
      </c>
      <c r="E1145" s="24">
        <v>2.6620370370370372E-4</v>
      </c>
      <c r="F1145" s="24">
        <v>2.0254629629629629E-3</v>
      </c>
      <c r="G1145" s="24">
        <v>1.7824074074074075E-3</v>
      </c>
      <c r="H1145" s="24">
        <v>0.71340000000000003</v>
      </c>
      <c r="I1145" s="18">
        <f t="shared" si="86"/>
        <v>9.6179999999999998E-3</v>
      </c>
      <c r="J1145" s="18">
        <f t="shared" si="90"/>
        <v>7.1340000000000006E-3</v>
      </c>
      <c r="K1145" s="19">
        <f t="shared" si="87"/>
        <v>13</v>
      </c>
      <c r="L1145" s="18">
        <f t="shared" si="88"/>
        <v>3.8235294117647062E-2</v>
      </c>
      <c r="M1145" s="18">
        <f t="shared" si="89"/>
        <v>0.96176470588235297</v>
      </c>
    </row>
    <row r="1146" spans="1:13" x14ac:dyDescent="0.3">
      <c r="A1146" s="22">
        <v>306</v>
      </c>
      <c r="B1146" s="22">
        <v>289</v>
      </c>
      <c r="C1146" s="23">
        <v>0.94440000000000002</v>
      </c>
      <c r="D1146" s="22">
        <v>17</v>
      </c>
      <c r="E1146" s="24">
        <v>2.7777777777777778E-4</v>
      </c>
      <c r="F1146" s="24">
        <v>1.8865740740740742E-3</v>
      </c>
      <c r="G1146" s="24">
        <v>3.5185185185185185E-3</v>
      </c>
      <c r="H1146" s="24">
        <v>0.69740000000000002</v>
      </c>
      <c r="I1146" s="18">
        <f t="shared" si="86"/>
        <v>9.444000000000001E-3</v>
      </c>
      <c r="J1146" s="18">
        <f t="shared" si="90"/>
        <v>6.9740000000000002E-3</v>
      </c>
      <c r="K1146" s="19">
        <f t="shared" si="87"/>
        <v>17</v>
      </c>
      <c r="L1146" s="18">
        <f t="shared" si="88"/>
        <v>5.5555555555555552E-2</v>
      </c>
      <c r="M1146" s="18">
        <f t="shared" si="89"/>
        <v>0.94444444444444442</v>
      </c>
    </row>
    <row r="1147" spans="1:13" x14ac:dyDescent="0.3">
      <c r="A1147" s="22">
        <v>40</v>
      </c>
      <c r="B1147" s="22">
        <v>40</v>
      </c>
      <c r="C1147" s="23">
        <v>1</v>
      </c>
      <c r="D1147" s="22">
        <v>0</v>
      </c>
      <c r="E1147" s="24">
        <v>5.7870370370370373E-5</v>
      </c>
      <c r="F1147" s="24">
        <v>1.9212962962962964E-3</v>
      </c>
      <c r="G1147" s="24">
        <v>5.9027777777777778E-4</v>
      </c>
      <c r="H1147" s="24">
        <v>0.97499999999999998</v>
      </c>
      <c r="I1147" s="18">
        <f t="shared" si="86"/>
        <v>0.01</v>
      </c>
      <c r="J1147" s="18">
        <f t="shared" si="90"/>
        <v>9.75E-3</v>
      </c>
      <c r="K1147" s="19">
        <f t="shared" si="87"/>
        <v>0</v>
      </c>
      <c r="L1147" s="18">
        <f t="shared" si="88"/>
        <v>0</v>
      </c>
      <c r="M1147" s="18">
        <f t="shared" si="89"/>
        <v>1</v>
      </c>
    </row>
    <row r="1148" spans="1:13" x14ac:dyDescent="0.3">
      <c r="A1148" s="22">
        <v>378</v>
      </c>
      <c r="B1148" s="22">
        <v>370</v>
      </c>
      <c r="C1148" s="23">
        <v>0.9788</v>
      </c>
      <c r="D1148" s="22">
        <v>8</v>
      </c>
      <c r="E1148" s="24">
        <v>1.273148148148148E-4</v>
      </c>
      <c r="F1148" s="24">
        <v>1.9907407407407408E-3</v>
      </c>
      <c r="G1148" s="24">
        <v>1.8055555555555555E-3</v>
      </c>
      <c r="H1148" s="24">
        <v>0.86699999999999999</v>
      </c>
      <c r="I1148" s="18">
        <f t="shared" si="86"/>
        <v>9.7879999999999998E-3</v>
      </c>
      <c r="J1148" s="18">
        <f t="shared" si="90"/>
        <v>8.6700000000000006E-3</v>
      </c>
      <c r="K1148" s="19">
        <f t="shared" si="87"/>
        <v>8</v>
      </c>
      <c r="L1148" s="18">
        <f t="shared" si="88"/>
        <v>2.1164021164021163E-2</v>
      </c>
      <c r="M1148" s="18">
        <f t="shared" si="89"/>
        <v>0.97883597883597884</v>
      </c>
    </row>
    <row r="1149" spans="1:13" x14ac:dyDescent="0.3">
      <c r="A1149" s="22">
        <v>424</v>
      </c>
      <c r="B1149" s="22">
        <v>416</v>
      </c>
      <c r="C1149" s="23">
        <v>0.98109999999999997</v>
      </c>
      <c r="D1149" s="22">
        <v>8</v>
      </c>
      <c r="E1149" s="24">
        <v>1.6203703703703703E-4</v>
      </c>
      <c r="F1149" s="24">
        <v>2.0138888888888888E-3</v>
      </c>
      <c r="G1149" s="24">
        <v>2.5578703703703705E-3</v>
      </c>
      <c r="H1149" s="24">
        <v>0.83889999999999998</v>
      </c>
      <c r="I1149" s="18">
        <f t="shared" si="86"/>
        <v>9.8110000000000003E-3</v>
      </c>
      <c r="J1149" s="18">
        <f t="shared" si="90"/>
        <v>8.3890000000000006E-3</v>
      </c>
      <c r="K1149" s="19">
        <f t="shared" si="87"/>
        <v>8</v>
      </c>
      <c r="L1149" s="18">
        <f t="shared" si="88"/>
        <v>1.8867924528301886E-2</v>
      </c>
      <c r="M1149" s="18">
        <f t="shared" si="89"/>
        <v>0.98113207547169812</v>
      </c>
    </row>
    <row r="1150" spans="1:13" x14ac:dyDescent="0.3">
      <c r="A1150" s="22">
        <v>356</v>
      </c>
      <c r="B1150" s="22">
        <v>353</v>
      </c>
      <c r="C1150" s="23">
        <v>0.99160000000000004</v>
      </c>
      <c r="D1150" s="22">
        <v>3</v>
      </c>
      <c r="E1150" s="24">
        <v>5.7870370370370373E-5</v>
      </c>
      <c r="F1150" s="24">
        <v>1.9444444444444444E-3</v>
      </c>
      <c r="G1150" s="24">
        <v>7.407407407407407E-4</v>
      </c>
      <c r="H1150" s="24">
        <v>0.97170000000000001</v>
      </c>
      <c r="I1150" s="18">
        <f t="shared" si="86"/>
        <v>9.9160000000000012E-3</v>
      </c>
      <c r="J1150" s="18">
        <f t="shared" si="90"/>
        <v>9.7169999999999999E-3</v>
      </c>
      <c r="K1150" s="19">
        <f t="shared" si="87"/>
        <v>3</v>
      </c>
      <c r="L1150" s="18">
        <f t="shared" si="88"/>
        <v>8.4269662921348312E-3</v>
      </c>
      <c r="M1150" s="18">
        <f t="shared" si="89"/>
        <v>0.9915730337078652</v>
      </c>
    </row>
    <row r="1151" spans="1:13" x14ac:dyDescent="0.3">
      <c r="A1151" s="22">
        <v>320</v>
      </c>
      <c r="B1151" s="22">
        <v>308</v>
      </c>
      <c r="C1151" s="23">
        <v>0.96250000000000002</v>
      </c>
      <c r="D1151" s="22">
        <v>12</v>
      </c>
      <c r="E1151" s="24">
        <v>1.1574074074074075E-4</v>
      </c>
      <c r="F1151" s="24">
        <v>1.7708333333333332E-3</v>
      </c>
      <c r="G1151" s="24">
        <v>2.3611111111111111E-3</v>
      </c>
      <c r="H1151" s="24">
        <v>0.88990000000000002</v>
      </c>
      <c r="I1151" s="18">
        <f t="shared" si="86"/>
        <v>9.6249999999999999E-3</v>
      </c>
      <c r="J1151" s="18">
        <f t="shared" si="90"/>
        <v>8.8990000000000007E-3</v>
      </c>
      <c r="K1151" s="19">
        <f t="shared" si="87"/>
        <v>12</v>
      </c>
      <c r="L1151" s="18">
        <f t="shared" si="88"/>
        <v>3.7499999999999999E-2</v>
      </c>
      <c r="M1151" s="18">
        <f t="shared" si="89"/>
        <v>0.96250000000000002</v>
      </c>
    </row>
    <row r="1152" spans="1:13" x14ac:dyDescent="0.3">
      <c r="A1152" s="22">
        <v>351</v>
      </c>
      <c r="B1152" s="22">
        <v>341</v>
      </c>
      <c r="C1152" s="23">
        <v>0.97150000000000003</v>
      </c>
      <c r="D1152" s="22">
        <v>10</v>
      </c>
      <c r="E1152" s="24">
        <v>1.273148148148148E-4</v>
      </c>
      <c r="F1152" s="24">
        <v>1.9675925925925924E-3</v>
      </c>
      <c r="G1152" s="24">
        <v>1.261574074074074E-3</v>
      </c>
      <c r="H1152" s="24">
        <v>0.86250000000000004</v>
      </c>
      <c r="I1152" s="18">
        <f t="shared" si="86"/>
        <v>9.7149999999999997E-3</v>
      </c>
      <c r="J1152" s="18">
        <f t="shared" si="90"/>
        <v>8.6250000000000007E-3</v>
      </c>
      <c r="K1152" s="19">
        <f t="shared" si="87"/>
        <v>10</v>
      </c>
      <c r="L1152" s="18">
        <f t="shared" si="88"/>
        <v>2.8490028490028491E-2</v>
      </c>
      <c r="M1152" s="18">
        <f t="shared" si="89"/>
        <v>0.97150997150997154</v>
      </c>
    </row>
    <row r="1153" spans="1:13" x14ac:dyDescent="0.3">
      <c r="A1153" s="22">
        <v>85</v>
      </c>
      <c r="B1153" s="22">
        <v>83</v>
      </c>
      <c r="C1153" s="23">
        <v>0.97650000000000003</v>
      </c>
      <c r="D1153" s="22">
        <v>2</v>
      </c>
      <c r="E1153" s="24">
        <v>1.5046296296296297E-4</v>
      </c>
      <c r="F1153" s="24">
        <v>1.9328703703703704E-3</v>
      </c>
      <c r="G1153" s="24">
        <v>2.5925925925925925E-3</v>
      </c>
      <c r="H1153" s="24">
        <v>0.85880000000000001</v>
      </c>
      <c r="I1153" s="18">
        <f t="shared" si="86"/>
        <v>9.7650000000000011E-3</v>
      </c>
      <c r="J1153" s="18">
        <f t="shared" si="90"/>
        <v>8.5880000000000001E-3</v>
      </c>
      <c r="K1153" s="19">
        <f t="shared" si="87"/>
        <v>2</v>
      </c>
      <c r="L1153" s="18">
        <f t="shared" si="88"/>
        <v>2.3529411764705882E-2</v>
      </c>
      <c r="M1153" s="18">
        <f t="shared" si="89"/>
        <v>0.97647058823529409</v>
      </c>
    </row>
    <row r="1154" spans="1:13" x14ac:dyDescent="0.3">
      <c r="A1154" s="22">
        <v>44</v>
      </c>
      <c r="B1154" s="22">
        <v>43</v>
      </c>
      <c r="C1154" s="23">
        <v>0.97729999999999995</v>
      </c>
      <c r="D1154" s="22">
        <v>1</v>
      </c>
      <c r="E1154" s="24">
        <v>1.0416666666666667E-4</v>
      </c>
      <c r="F1154" s="24">
        <v>1.7708333333333332E-3</v>
      </c>
      <c r="G1154" s="24">
        <v>2.685185185185185E-3</v>
      </c>
      <c r="H1154" s="24">
        <v>0.84089999999999998</v>
      </c>
      <c r="I1154" s="18">
        <f t="shared" si="86"/>
        <v>9.7729999999999987E-3</v>
      </c>
      <c r="J1154" s="18">
        <f t="shared" si="90"/>
        <v>8.4089999999999998E-3</v>
      </c>
      <c r="K1154" s="19">
        <f t="shared" si="87"/>
        <v>1</v>
      </c>
      <c r="L1154" s="18">
        <f t="shared" si="88"/>
        <v>2.2727272727272728E-2</v>
      </c>
      <c r="M1154" s="18">
        <f t="shared" si="89"/>
        <v>0.97727272727272729</v>
      </c>
    </row>
    <row r="1155" spans="1:13" x14ac:dyDescent="0.3">
      <c r="A1155" s="22">
        <v>388</v>
      </c>
      <c r="B1155" s="22">
        <v>363</v>
      </c>
      <c r="C1155" s="23">
        <v>0.93559999999999999</v>
      </c>
      <c r="D1155" s="22">
        <v>25</v>
      </c>
      <c r="E1155" s="24">
        <v>2.199074074074074E-4</v>
      </c>
      <c r="F1155" s="24">
        <v>2.1527777777777778E-3</v>
      </c>
      <c r="G1155" s="24">
        <v>2.0138888888888888E-3</v>
      </c>
      <c r="H1155" s="24">
        <v>0.752</v>
      </c>
      <c r="I1155" s="18">
        <f t="shared" ref="I1155:I1218" si="91">VALUE(SUBSTITUTE(C1155,"%",""))/100</f>
        <v>9.3559999999999997E-3</v>
      </c>
      <c r="J1155" s="18">
        <f t="shared" si="90"/>
        <v>7.5199999999999998E-3</v>
      </c>
      <c r="K1155" s="19">
        <f t="shared" ref="K1155:K1218" si="92">A1155-B1155</f>
        <v>25</v>
      </c>
      <c r="L1155" s="18">
        <f t="shared" ref="L1155:L1218" si="93">D1155/A1155</f>
        <v>6.4432989690721643E-2</v>
      </c>
      <c r="M1155" s="18">
        <f t="shared" ref="M1155:M1218" si="94">B1155/A1155</f>
        <v>0.93556701030927836</v>
      </c>
    </row>
    <row r="1156" spans="1:13" x14ac:dyDescent="0.3">
      <c r="A1156" s="22">
        <v>283</v>
      </c>
      <c r="B1156" s="22">
        <v>280</v>
      </c>
      <c r="C1156" s="23">
        <v>0.98939999999999995</v>
      </c>
      <c r="D1156" s="22">
        <v>3</v>
      </c>
      <c r="E1156" s="24">
        <v>6.9444444444444444E-5</v>
      </c>
      <c r="F1156" s="24">
        <v>2.1412037037037038E-3</v>
      </c>
      <c r="G1156" s="24">
        <v>1.261574074074074E-3</v>
      </c>
      <c r="H1156" s="24">
        <v>0.95730000000000004</v>
      </c>
      <c r="I1156" s="18">
        <f t="shared" si="91"/>
        <v>9.894E-3</v>
      </c>
      <c r="J1156" s="18">
        <f t="shared" si="90"/>
        <v>9.5729999999999999E-3</v>
      </c>
      <c r="K1156" s="19">
        <f t="shared" si="92"/>
        <v>3</v>
      </c>
      <c r="L1156" s="18">
        <f t="shared" si="93"/>
        <v>1.0600706713780919E-2</v>
      </c>
      <c r="M1156" s="18">
        <f t="shared" si="94"/>
        <v>0.98939929328621912</v>
      </c>
    </row>
    <row r="1157" spans="1:13" x14ac:dyDescent="0.3">
      <c r="A1157" s="22">
        <v>241</v>
      </c>
      <c r="B1157" s="22">
        <v>238</v>
      </c>
      <c r="C1157" s="23">
        <v>0.98760000000000003</v>
      </c>
      <c r="D1157" s="22">
        <v>3</v>
      </c>
      <c r="E1157" s="24">
        <v>5.7870370370370373E-5</v>
      </c>
      <c r="F1157" s="24">
        <v>2.0254629629629629E-3</v>
      </c>
      <c r="G1157" s="24">
        <v>2.2685185185185187E-3</v>
      </c>
      <c r="H1157" s="24">
        <v>0.9667</v>
      </c>
      <c r="I1157" s="18">
        <f t="shared" si="91"/>
        <v>9.8760000000000011E-3</v>
      </c>
      <c r="J1157" s="18">
        <f t="shared" si="90"/>
        <v>9.6670000000000002E-3</v>
      </c>
      <c r="K1157" s="19">
        <f t="shared" si="92"/>
        <v>3</v>
      </c>
      <c r="L1157" s="18">
        <f t="shared" si="93"/>
        <v>1.2448132780082987E-2</v>
      </c>
      <c r="M1157" s="18">
        <f t="shared" si="94"/>
        <v>0.98755186721991706</v>
      </c>
    </row>
    <row r="1158" spans="1:13" x14ac:dyDescent="0.3">
      <c r="A1158" s="22">
        <v>280</v>
      </c>
      <c r="B1158" s="22">
        <v>273</v>
      </c>
      <c r="C1158" s="23">
        <v>0.97499999999999998</v>
      </c>
      <c r="D1158" s="22">
        <v>7</v>
      </c>
      <c r="E1158" s="24">
        <v>1.0416666666666667E-4</v>
      </c>
      <c r="F1158" s="24">
        <v>1.9212962962962964E-3</v>
      </c>
      <c r="G1158" s="24">
        <v>2.5231481481481481E-3</v>
      </c>
      <c r="H1158" s="24">
        <v>0.8821</v>
      </c>
      <c r="I1158" s="18">
        <f t="shared" si="91"/>
        <v>9.75E-3</v>
      </c>
      <c r="J1158" s="18">
        <f t="shared" ref="J1158:J1221" si="95">VALUE(SUBSTITUTE(H1158,"%",""))/100</f>
        <v>8.8210000000000007E-3</v>
      </c>
      <c r="K1158" s="19">
        <f t="shared" si="92"/>
        <v>7</v>
      </c>
      <c r="L1158" s="18">
        <f t="shared" si="93"/>
        <v>2.5000000000000001E-2</v>
      </c>
      <c r="M1158" s="18">
        <f t="shared" si="94"/>
        <v>0.97499999999999998</v>
      </c>
    </row>
    <row r="1159" spans="1:13" x14ac:dyDescent="0.3">
      <c r="A1159" s="22">
        <v>294</v>
      </c>
      <c r="B1159" s="22">
        <v>273</v>
      </c>
      <c r="C1159" s="23">
        <v>0.92859999999999998</v>
      </c>
      <c r="D1159" s="22">
        <v>21</v>
      </c>
      <c r="E1159" s="24">
        <v>3.0092592592592595E-4</v>
      </c>
      <c r="F1159" s="24">
        <v>2.2685185185185187E-3</v>
      </c>
      <c r="G1159" s="24">
        <v>1.8981481481481482E-3</v>
      </c>
      <c r="H1159" s="24">
        <v>0.61770000000000003</v>
      </c>
      <c r="I1159" s="18">
        <f t="shared" si="91"/>
        <v>9.2859999999999991E-3</v>
      </c>
      <c r="J1159" s="18">
        <f t="shared" si="95"/>
        <v>6.1770000000000002E-3</v>
      </c>
      <c r="K1159" s="19">
        <f t="shared" si="92"/>
        <v>21</v>
      </c>
      <c r="L1159" s="18">
        <f t="shared" si="93"/>
        <v>7.1428571428571425E-2</v>
      </c>
      <c r="M1159" s="18">
        <f t="shared" si="94"/>
        <v>0.9285714285714286</v>
      </c>
    </row>
    <row r="1160" spans="1:13" x14ac:dyDescent="0.3">
      <c r="A1160" s="22">
        <v>290</v>
      </c>
      <c r="B1160" s="22">
        <v>246</v>
      </c>
      <c r="C1160" s="23">
        <v>0.84830000000000005</v>
      </c>
      <c r="D1160" s="22">
        <v>44</v>
      </c>
      <c r="E1160" s="24">
        <v>3.1250000000000001E-4</v>
      </c>
      <c r="F1160" s="24">
        <v>2.1296296296296298E-3</v>
      </c>
      <c r="G1160" s="24">
        <v>3.2870370370370371E-3</v>
      </c>
      <c r="H1160" s="24">
        <v>0.63859999999999995</v>
      </c>
      <c r="I1160" s="18">
        <f t="shared" si="91"/>
        <v>8.483000000000001E-3</v>
      </c>
      <c r="J1160" s="18">
        <f t="shared" si="95"/>
        <v>6.3859999999999993E-3</v>
      </c>
      <c r="K1160" s="19">
        <f t="shared" si="92"/>
        <v>44</v>
      </c>
      <c r="L1160" s="18">
        <f t="shared" si="93"/>
        <v>0.15172413793103448</v>
      </c>
      <c r="M1160" s="18">
        <f t="shared" si="94"/>
        <v>0.84827586206896555</v>
      </c>
    </row>
    <row r="1161" spans="1:13" x14ac:dyDescent="0.3">
      <c r="A1161" s="22">
        <v>32</v>
      </c>
      <c r="B1161" s="22">
        <v>32</v>
      </c>
      <c r="C1161" s="23">
        <v>1</v>
      </c>
      <c r="D1161" s="22">
        <v>0</v>
      </c>
      <c r="E1161" s="24">
        <v>6.9444444444444444E-5</v>
      </c>
      <c r="F1161" s="24">
        <v>1.8865740740740742E-3</v>
      </c>
      <c r="G1161" s="24">
        <v>8.1018518518518516E-4</v>
      </c>
      <c r="H1161" s="24">
        <v>0.96879999999999999</v>
      </c>
      <c r="I1161" s="18">
        <f t="shared" si="91"/>
        <v>0.01</v>
      </c>
      <c r="J1161" s="18">
        <f t="shared" si="95"/>
        <v>9.6880000000000004E-3</v>
      </c>
      <c r="K1161" s="19">
        <f t="shared" si="92"/>
        <v>0</v>
      </c>
      <c r="L1161" s="18">
        <f t="shared" si="93"/>
        <v>0</v>
      </c>
      <c r="M1161" s="18">
        <f t="shared" si="94"/>
        <v>1</v>
      </c>
    </row>
    <row r="1162" spans="1:13" x14ac:dyDescent="0.3">
      <c r="A1162" s="22">
        <v>270</v>
      </c>
      <c r="B1162" s="22">
        <v>263</v>
      </c>
      <c r="C1162" s="23">
        <v>0.97409999999999997</v>
      </c>
      <c r="D1162" s="22">
        <v>7</v>
      </c>
      <c r="E1162" s="24">
        <v>1.3888888888888889E-4</v>
      </c>
      <c r="F1162" s="24">
        <v>1.9907407407407408E-3</v>
      </c>
      <c r="G1162" s="24">
        <v>1.3888888888888889E-3</v>
      </c>
      <c r="H1162" s="24">
        <v>0.85450000000000004</v>
      </c>
      <c r="I1162" s="18">
        <f t="shared" si="91"/>
        <v>9.7409999999999997E-3</v>
      </c>
      <c r="J1162" s="18">
        <f t="shared" si="95"/>
        <v>8.5450000000000005E-3</v>
      </c>
      <c r="K1162" s="19">
        <f t="shared" si="92"/>
        <v>7</v>
      </c>
      <c r="L1162" s="18">
        <f t="shared" si="93"/>
        <v>2.5925925925925925E-2</v>
      </c>
      <c r="M1162" s="18">
        <f t="shared" si="94"/>
        <v>0.97407407407407409</v>
      </c>
    </row>
    <row r="1163" spans="1:13" x14ac:dyDescent="0.3">
      <c r="A1163" s="22">
        <v>212</v>
      </c>
      <c r="B1163" s="22">
        <v>208</v>
      </c>
      <c r="C1163" s="23">
        <v>0.98109999999999997</v>
      </c>
      <c r="D1163" s="22">
        <v>4</v>
      </c>
      <c r="E1163" s="24">
        <v>9.2592592592592588E-5</v>
      </c>
      <c r="F1163" s="24">
        <v>1.8865740740740742E-3</v>
      </c>
      <c r="G1163" s="24">
        <v>1.7824074074074075E-3</v>
      </c>
      <c r="H1163" s="24">
        <v>0.91</v>
      </c>
      <c r="I1163" s="18">
        <f t="shared" si="91"/>
        <v>9.8110000000000003E-3</v>
      </c>
      <c r="J1163" s="18">
        <f t="shared" si="95"/>
        <v>9.1000000000000004E-3</v>
      </c>
      <c r="K1163" s="19">
        <f t="shared" si="92"/>
        <v>4</v>
      </c>
      <c r="L1163" s="18">
        <f t="shared" si="93"/>
        <v>1.8867924528301886E-2</v>
      </c>
      <c r="M1163" s="18">
        <f t="shared" si="94"/>
        <v>0.98113207547169812</v>
      </c>
    </row>
    <row r="1164" spans="1:13" x14ac:dyDescent="0.3">
      <c r="A1164" s="22">
        <v>246</v>
      </c>
      <c r="B1164" s="22">
        <v>238</v>
      </c>
      <c r="C1164" s="23">
        <v>0.96750000000000003</v>
      </c>
      <c r="D1164" s="22">
        <v>8</v>
      </c>
      <c r="E1164" s="24">
        <v>8.1018518518518516E-5</v>
      </c>
      <c r="F1164" s="24">
        <v>2.0023148148148148E-3</v>
      </c>
      <c r="G1164" s="24">
        <v>2.638888888888889E-3</v>
      </c>
      <c r="H1164" s="24">
        <v>0.91839999999999999</v>
      </c>
      <c r="I1164" s="18">
        <f t="shared" si="91"/>
        <v>9.6749999999999996E-3</v>
      </c>
      <c r="J1164" s="18">
        <f t="shared" si="95"/>
        <v>9.1839999999999995E-3</v>
      </c>
      <c r="K1164" s="19">
        <f t="shared" si="92"/>
        <v>8</v>
      </c>
      <c r="L1164" s="18">
        <f t="shared" si="93"/>
        <v>3.2520325203252036E-2</v>
      </c>
      <c r="M1164" s="18">
        <f t="shared" si="94"/>
        <v>0.96747967479674801</v>
      </c>
    </row>
    <row r="1165" spans="1:13" x14ac:dyDescent="0.3">
      <c r="A1165" s="22">
        <v>194</v>
      </c>
      <c r="B1165" s="22">
        <v>190</v>
      </c>
      <c r="C1165" s="23">
        <v>0.97940000000000005</v>
      </c>
      <c r="D1165" s="22">
        <v>4</v>
      </c>
      <c r="E1165" s="24">
        <v>9.2592592592592588E-5</v>
      </c>
      <c r="F1165" s="24">
        <v>1.8865740740740742E-3</v>
      </c>
      <c r="G1165" s="24">
        <v>2.476851851851852E-3</v>
      </c>
      <c r="H1165" s="24">
        <v>0.92779999999999996</v>
      </c>
      <c r="I1165" s="18">
        <f t="shared" si="91"/>
        <v>9.7940000000000006E-3</v>
      </c>
      <c r="J1165" s="18">
        <f t="shared" si="95"/>
        <v>9.2779999999999998E-3</v>
      </c>
      <c r="K1165" s="19">
        <f t="shared" si="92"/>
        <v>4</v>
      </c>
      <c r="L1165" s="18">
        <f t="shared" si="93"/>
        <v>2.0618556701030927E-2</v>
      </c>
      <c r="M1165" s="18">
        <f t="shared" si="94"/>
        <v>0.97938144329896903</v>
      </c>
    </row>
    <row r="1166" spans="1:13" x14ac:dyDescent="0.3">
      <c r="A1166" s="22">
        <v>179</v>
      </c>
      <c r="B1166" s="22">
        <v>176</v>
      </c>
      <c r="C1166" s="23">
        <v>0.98319999999999996</v>
      </c>
      <c r="D1166" s="22">
        <v>3</v>
      </c>
      <c r="E1166" s="24">
        <v>6.9444444444444444E-5</v>
      </c>
      <c r="F1166" s="24">
        <v>1.8981481481481482E-3</v>
      </c>
      <c r="G1166" s="24">
        <v>1.1921296296296296E-3</v>
      </c>
      <c r="H1166" s="24">
        <v>0.96050000000000002</v>
      </c>
      <c r="I1166" s="18">
        <f t="shared" si="91"/>
        <v>9.8320000000000005E-3</v>
      </c>
      <c r="J1166" s="18">
        <f t="shared" si="95"/>
        <v>9.6050000000000007E-3</v>
      </c>
      <c r="K1166" s="19">
        <f t="shared" si="92"/>
        <v>3</v>
      </c>
      <c r="L1166" s="18">
        <f t="shared" si="93"/>
        <v>1.6759776536312849E-2</v>
      </c>
      <c r="M1166" s="18">
        <f t="shared" si="94"/>
        <v>0.98324022346368711</v>
      </c>
    </row>
    <row r="1167" spans="1:13" x14ac:dyDescent="0.3">
      <c r="A1167" s="22">
        <v>67</v>
      </c>
      <c r="B1167" s="22">
        <v>65</v>
      </c>
      <c r="C1167" s="23">
        <v>0.97009999999999996</v>
      </c>
      <c r="D1167" s="22">
        <v>2</v>
      </c>
      <c r="E1167" s="24">
        <v>1.0416666666666667E-4</v>
      </c>
      <c r="F1167" s="24">
        <v>1.8055555555555555E-3</v>
      </c>
      <c r="G1167" s="24">
        <v>1.3773148148148147E-3</v>
      </c>
      <c r="H1167" s="24">
        <v>0.89549999999999996</v>
      </c>
      <c r="I1167" s="18">
        <f t="shared" si="91"/>
        <v>9.7009999999999996E-3</v>
      </c>
      <c r="J1167" s="18">
        <f t="shared" si="95"/>
        <v>8.9549999999999994E-3</v>
      </c>
      <c r="K1167" s="19">
        <f t="shared" si="92"/>
        <v>2</v>
      </c>
      <c r="L1167" s="18">
        <f t="shared" si="93"/>
        <v>2.9850746268656716E-2</v>
      </c>
      <c r="M1167" s="18">
        <f t="shared" si="94"/>
        <v>0.97014925373134331</v>
      </c>
    </row>
    <row r="1168" spans="1:13" x14ac:dyDescent="0.3">
      <c r="A1168" s="22">
        <v>27</v>
      </c>
      <c r="B1168" s="22">
        <v>27</v>
      </c>
      <c r="C1168" s="23">
        <v>1</v>
      </c>
      <c r="D1168" s="22">
        <v>0</v>
      </c>
      <c r="E1168" s="24">
        <v>1.0416666666666667E-4</v>
      </c>
      <c r="F1168" s="24">
        <v>1.7013888888888888E-3</v>
      </c>
      <c r="G1168" s="24">
        <v>1.0763888888888889E-3</v>
      </c>
      <c r="H1168" s="24">
        <v>0.88890000000000002</v>
      </c>
      <c r="I1168" s="18">
        <f t="shared" si="91"/>
        <v>0.01</v>
      </c>
      <c r="J1168" s="18">
        <f t="shared" si="95"/>
        <v>8.8890000000000011E-3</v>
      </c>
      <c r="K1168" s="19">
        <f t="shared" si="92"/>
        <v>0</v>
      </c>
      <c r="L1168" s="18">
        <f t="shared" si="93"/>
        <v>0</v>
      </c>
      <c r="M1168" s="18">
        <f t="shared" si="94"/>
        <v>1</v>
      </c>
    </row>
    <row r="1169" spans="1:13" x14ac:dyDescent="0.3">
      <c r="A1169" s="22">
        <v>190</v>
      </c>
      <c r="B1169" s="22">
        <v>183</v>
      </c>
      <c r="C1169" s="23">
        <v>0.96319999999999995</v>
      </c>
      <c r="D1169" s="22">
        <v>7</v>
      </c>
      <c r="E1169" s="24">
        <v>1.0416666666666667E-4</v>
      </c>
      <c r="F1169" s="24">
        <v>1.8287037037037037E-3</v>
      </c>
      <c r="G1169" s="24">
        <v>2.0138888888888888E-3</v>
      </c>
      <c r="H1169" s="24">
        <v>0.87829999999999997</v>
      </c>
      <c r="I1169" s="18">
        <f t="shared" si="91"/>
        <v>9.6319999999999999E-3</v>
      </c>
      <c r="J1169" s="18">
        <f t="shared" si="95"/>
        <v>8.7829999999999991E-3</v>
      </c>
      <c r="K1169" s="19">
        <f t="shared" si="92"/>
        <v>7</v>
      </c>
      <c r="L1169" s="18">
        <f t="shared" si="93"/>
        <v>3.6842105263157891E-2</v>
      </c>
      <c r="M1169" s="18">
        <f t="shared" si="94"/>
        <v>0.9631578947368421</v>
      </c>
    </row>
    <row r="1170" spans="1:13" x14ac:dyDescent="0.3">
      <c r="A1170" s="22">
        <v>213</v>
      </c>
      <c r="B1170" s="22">
        <v>205</v>
      </c>
      <c r="C1170" s="23">
        <v>0.96240000000000003</v>
      </c>
      <c r="D1170" s="22">
        <v>8</v>
      </c>
      <c r="E1170" s="24">
        <v>1.1574074074074075E-4</v>
      </c>
      <c r="F1170" s="24">
        <v>1.8287037037037037E-3</v>
      </c>
      <c r="G1170" s="24">
        <v>3.4953703703703705E-3</v>
      </c>
      <c r="H1170" s="24">
        <v>0.88149999999999995</v>
      </c>
      <c r="I1170" s="18">
        <f t="shared" si="91"/>
        <v>9.6240000000000006E-3</v>
      </c>
      <c r="J1170" s="18">
        <f t="shared" si="95"/>
        <v>8.8149999999999999E-3</v>
      </c>
      <c r="K1170" s="19">
        <f t="shared" si="92"/>
        <v>8</v>
      </c>
      <c r="L1170" s="18">
        <f t="shared" si="93"/>
        <v>3.7558685446009391E-2</v>
      </c>
      <c r="M1170" s="18">
        <f t="shared" si="94"/>
        <v>0.96244131455399062</v>
      </c>
    </row>
    <row r="1171" spans="1:13" x14ac:dyDescent="0.3">
      <c r="A1171" s="22">
        <v>208</v>
      </c>
      <c r="B1171" s="22">
        <v>205</v>
      </c>
      <c r="C1171" s="23">
        <v>0.98560000000000003</v>
      </c>
      <c r="D1171" s="22">
        <v>3</v>
      </c>
      <c r="E1171" s="24">
        <v>4.6296296296296294E-5</v>
      </c>
      <c r="F1171" s="24">
        <v>1.8055555555555555E-3</v>
      </c>
      <c r="G1171" s="24">
        <v>2.0023148148148148E-3</v>
      </c>
      <c r="H1171" s="24">
        <v>0.97089999999999999</v>
      </c>
      <c r="I1171" s="18">
        <f t="shared" si="91"/>
        <v>9.8560000000000002E-3</v>
      </c>
      <c r="J1171" s="18">
        <f t="shared" si="95"/>
        <v>9.7090000000000006E-3</v>
      </c>
      <c r="K1171" s="19">
        <f t="shared" si="92"/>
        <v>3</v>
      </c>
      <c r="L1171" s="18">
        <f t="shared" si="93"/>
        <v>1.4423076923076924E-2</v>
      </c>
      <c r="M1171" s="18">
        <f t="shared" si="94"/>
        <v>0.98557692307692313</v>
      </c>
    </row>
    <row r="1172" spans="1:13" x14ac:dyDescent="0.3">
      <c r="A1172" s="22">
        <v>166</v>
      </c>
      <c r="B1172" s="22">
        <v>165</v>
      </c>
      <c r="C1172" s="23">
        <v>0.99399999999999999</v>
      </c>
      <c r="D1172" s="22">
        <v>1</v>
      </c>
      <c r="E1172" s="24">
        <v>9.2592592592592588E-5</v>
      </c>
      <c r="F1172" s="24">
        <v>1.8634259259259259E-3</v>
      </c>
      <c r="G1172" s="24">
        <v>2.4421296296296296E-3</v>
      </c>
      <c r="H1172" s="24">
        <v>0.92769999999999997</v>
      </c>
      <c r="I1172" s="18">
        <f t="shared" si="91"/>
        <v>9.9399999999999992E-3</v>
      </c>
      <c r="J1172" s="18">
        <f t="shared" si="95"/>
        <v>9.2770000000000005E-3</v>
      </c>
      <c r="K1172" s="19">
        <f t="shared" si="92"/>
        <v>1</v>
      </c>
      <c r="L1172" s="18">
        <f t="shared" si="93"/>
        <v>6.024096385542169E-3</v>
      </c>
      <c r="M1172" s="18">
        <f t="shared" si="94"/>
        <v>0.99397590361445787</v>
      </c>
    </row>
    <row r="1173" spans="1:13" x14ac:dyDescent="0.3">
      <c r="A1173" s="22">
        <v>169</v>
      </c>
      <c r="B1173" s="22">
        <v>161</v>
      </c>
      <c r="C1173" s="23">
        <v>0.95269999999999999</v>
      </c>
      <c r="D1173" s="22">
        <v>8</v>
      </c>
      <c r="E1173" s="24">
        <v>2.0833333333333335E-4</v>
      </c>
      <c r="F1173" s="24">
        <v>1.9907407407407408E-3</v>
      </c>
      <c r="G1173" s="24">
        <v>2.5115740740740741E-3</v>
      </c>
      <c r="H1173" s="24">
        <v>0.73960000000000004</v>
      </c>
      <c r="I1173" s="18">
        <f t="shared" si="91"/>
        <v>9.5270000000000007E-3</v>
      </c>
      <c r="J1173" s="18">
        <f t="shared" si="95"/>
        <v>7.3960000000000007E-3</v>
      </c>
      <c r="K1173" s="19">
        <f t="shared" si="92"/>
        <v>8</v>
      </c>
      <c r="L1173" s="18">
        <f t="shared" si="93"/>
        <v>4.7337278106508875E-2</v>
      </c>
      <c r="M1173" s="18">
        <f t="shared" si="94"/>
        <v>0.9526627218934911</v>
      </c>
    </row>
    <row r="1174" spans="1:13" x14ac:dyDescent="0.3">
      <c r="A1174" s="22">
        <v>175</v>
      </c>
      <c r="B1174" s="22">
        <v>167</v>
      </c>
      <c r="C1174" s="23">
        <v>0.95430000000000004</v>
      </c>
      <c r="D1174" s="22">
        <v>8</v>
      </c>
      <c r="E1174" s="24">
        <v>1.1574074074074075E-4</v>
      </c>
      <c r="F1174" s="24">
        <v>1.724537037037037E-3</v>
      </c>
      <c r="G1174" s="24">
        <v>2.685185185185185E-3</v>
      </c>
      <c r="H1174" s="24">
        <v>0.8629</v>
      </c>
      <c r="I1174" s="18">
        <f t="shared" si="91"/>
        <v>9.5430000000000011E-3</v>
      </c>
      <c r="J1174" s="18">
        <f t="shared" si="95"/>
        <v>8.6289999999999995E-3</v>
      </c>
      <c r="K1174" s="19">
        <f t="shared" si="92"/>
        <v>8</v>
      </c>
      <c r="L1174" s="18">
        <f t="shared" si="93"/>
        <v>4.5714285714285714E-2</v>
      </c>
      <c r="M1174" s="18">
        <f t="shared" si="94"/>
        <v>0.95428571428571429</v>
      </c>
    </row>
    <row r="1175" spans="1:13" x14ac:dyDescent="0.3">
      <c r="A1175" s="22">
        <v>43</v>
      </c>
      <c r="B1175" s="22">
        <v>43</v>
      </c>
      <c r="C1175" s="23">
        <v>1</v>
      </c>
      <c r="D1175" s="22">
        <v>0</v>
      </c>
      <c r="E1175" s="24">
        <v>4.6296296296296294E-5</v>
      </c>
      <c r="F1175" s="24">
        <v>1.8749999999999999E-3</v>
      </c>
      <c r="G1175" s="24">
        <v>3.3564814814814812E-4</v>
      </c>
      <c r="H1175" s="24">
        <v>1</v>
      </c>
      <c r="I1175" s="18">
        <f t="shared" si="91"/>
        <v>0.01</v>
      </c>
      <c r="J1175" s="18">
        <f t="shared" si="95"/>
        <v>0.01</v>
      </c>
      <c r="K1175" s="19">
        <f t="shared" si="92"/>
        <v>0</v>
      </c>
      <c r="L1175" s="18">
        <f t="shared" si="93"/>
        <v>0</v>
      </c>
      <c r="M1175" s="18">
        <f t="shared" si="94"/>
        <v>1</v>
      </c>
    </row>
    <row r="1176" spans="1:13" x14ac:dyDescent="0.3">
      <c r="A1176" s="22">
        <v>24</v>
      </c>
      <c r="B1176" s="22">
        <v>24</v>
      </c>
      <c r="C1176" s="23">
        <v>1</v>
      </c>
      <c r="D1176" s="22">
        <v>0</v>
      </c>
      <c r="E1176" s="24">
        <v>3.4722222222222222E-5</v>
      </c>
      <c r="F1176" s="24">
        <v>1.9212962962962964E-3</v>
      </c>
      <c r="G1176" s="24">
        <v>3.4722222222222222E-5</v>
      </c>
      <c r="H1176" s="24">
        <v>1</v>
      </c>
      <c r="I1176" s="18">
        <f t="shared" si="91"/>
        <v>0.01</v>
      </c>
      <c r="J1176" s="18">
        <f t="shared" si="95"/>
        <v>0.01</v>
      </c>
      <c r="K1176" s="19">
        <f t="shared" si="92"/>
        <v>0</v>
      </c>
      <c r="L1176" s="18">
        <f t="shared" si="93"/>
        <v>0</v>
      </c>
      <c r="M1176" s="18">
        <f t="shared" si="94"/>
        <v>1</v>
      </c>
    </row>
    <row r="1177" spans="1:13" x14ac:dyDescent="0.3">
      <c r="A1177" s="22">
        <v>26</v>
      </c>
      <c r="B1177" s="22">
        <v>26</v>
      </c>
      <c r="C1177" s="23">
        <v>1</v>
      </c>
      <c r="D1177" s="22">
        <v>0</v>
      </c>
      <c r="E1177" s="24">
        <v>5.7870370370370373E-5</v>
      </c>
      <c r="F1177" s="24">
        <v>1.9907407407407408E-3</v>
      </c>
      <c r="G1177" s="24">
        <v>6.7129629629629625E-4</v>
      </c>
      <c r="H1177" s="24">
        <v>0.92310000000000003</v>
      </c>
      <c r="I1177" s="18">
        <f t="shared" si="91"/>
        <v>0.01</v>
      </c>
      <c r="J1177" s="18">
        <f t="shared" si="95"/>
        <v>9.2309999999999996E-3</v>
      </c>
      <c r="K1177" s="19">
        <f t="shared" si="92"/>
        <v>0</v>
      </c>
      <c r="L1177" s="18">
        <f t="shared" si="93"/>
        <v>0</v>
      </c>
      <c r="M1177" s="18">
        <f t="shared" si="94"/>
        <v>1</v>
      </c>
    </row>
    <row r="1178" spans="1:13" x14ac:dyDescent="0.3">
      <c r="A1178" s="22">
        <v>42</v>
      </c>
      <c r="B1178" s="22">
        <v>41</v>
      </c>
      <c r="C1178" s="23">
        <v>0.97619999999999996</v>
      </c>
      <c r="D1178" s="22">
        <v>1</v>
      </c>
      <c r="E1178" s="24">
        <v>3.4722222222222222E-5</v>
      </c>
      <c r="F1178" s="24">
        <v>1.8634259259259259E-3</v>
      </c>
      <c r="G1178" s="24">
        <v>3.4722222222222222E-5</v>
      </c>
      <c r="H1178" s="24">
        <v>1</v>
      </c>
      <c r="I1178" s="18">
        <f t="shared" si="91"/>
        <v>9.7619999999999998E-3</v>
      </c>
      <c r="J1178" s="18">
        <f t="shared" si="95"/>
        <v>0.01</v>
      </c>
      <c r="K1178" s="19">
        <f t="shared" si="92"/>
        <v>1</v>
      </c>
      <c r="L1178" s="18">
        <f t="shared" si="93"/>
        <v>2.3809523809523808E-2</v>
      </c>
      <c r="M1178" s="18">
        <f t="shared" si="94"/>
        <v>0.97619047619047616</v>
      </c>
    </row>
    <row r="1179" spans="1:13" x14ac:dyDescent="0.3">
      <c r="A1179" s="22">
        <v>37</v>
      </c>
      <c r="B1179" s="22">
        <v>36</v>
      </c>
      <c r="C1179" s="23">
        <v>0.97299999999999998</v>
      </c>
      <c r="D1179" s="22">
        <v>1</v>
      </c>
      <c r="E1179" s="24">
        <v>5.7870370370370373E-5</v>
      </c>
      <c r="F1179" s="24">
        <v>1.6666666666666668E-3</v>
      </c>
      <c r="G1179" s="24">
        <v>3.3564814814814816E-3</v>
      </c>
      <c r="H1179" s="24">
        <v>0.94589999999999996</v>
      </c>
      <c r="I1179" s="18">
        <f t="shared" si="91"/>
        <v>9.7299999999999991E-3</v>
      </c>
      <c r="J1179" s="18">
        <f t="shared" si="95"/>
        <v>9.4590000000000004E-3</v>
      </c>
      <c r="K1179" s="19">
        <f t="shared" si="92"/>
        <v>1</v>
      </c>
      <c r="L1179" s="18">
        <f t="shared" si="93"/>
        <v>2.7027027027027029E-2</v>
      </c>
      <c r="M1179" s="18">
        <f t="shared" si="94"/>
        <v>0.97297297297297303</v>
      </c>
    </row>
    <row r="1180" spans="1:13" x14ac:dyDescent="0.3">
      <c r="A1180" s="22">
        <v>60</v>
      </c>
      <c r="B1180" s="22">
        <v>60</v>
      </c>
      <c r="C1180" s="23">
        <v>1</v>
      </c>
      <c r="D1180" s="22">
        <v>0</v>
      </c>
      <c r="E1180" s="24">
        <v>5.7870370370370373E-5</v>
      </c>
      <c r="F1180" s="24">
        <v>2.1643518518518518E-3</v>
      </c>
      <c r="G1180" s="24">
        <v>7.0601851851851847E-4</v>
      </c>
      <c r="H1180" s="24">
        <v>0.9667</v>
      </c>
      <c r="I1180" s="18">
        <f t="shared" si="91"/>
        <v>0.01</v>
      </c>
      <c r="J1180" s="18">
        <f t="shared" si="95"/>
        <v>9.6670000000000002E-3</v>
      </c>
      <c r="K1180" s="19">
        <f t="shared" si="92"/>
        <v>0</v>
      </c>
      <c r="L1180" s="18">
        <f t="shared" si="93"/>
        <v>0</v>
      </c>
      <c r="M1180" s="18">
        <f t="shared" si="94"/>
        <v>1</v>
      </c>
    </row>
    <row r="1181" spans="1:13" x14ac:dyDescent="0.3">
      <c r="A1181" s="22">
        <v>82</v>
      </c>
      <c r="B1181" s="22">
        <v>81</v>
      </c>
      <c r="C1181" s="23">
        <v>0.98780000000000001</v>
      </c>
      <c r="D1181" s="22">
        <v>1</v>
      </c>
      <c r="E1181" s="24">
        <v>3.4722222222222222E-5</v>
      </c>
      <c r="F1181" s="24">
        <v>1.6666666666666668E-3</v>
      </c>
      <c r="G1181" s="24">
        <v>6.7129629629629625E-4</v>
      </c>
      <c r="H1181" s="24">
        <v>0.97560000000000002</v>
      </c>
      <c r="I1181" s="18">
        <f t="shared" si="91"/>
        <v>9.8779999999999996E-3</v>
      </c>
      <c r="J1181" s="18">
        <f t="shared" si="95"/>
        <v>9.7560000000000008E-3</v>
      </c>
      <c r="K1181" s="19">
        <f t="shared" si="92"/>
        <v>1</v>
      </c>
      <c r="L1181" s="18">
        <f t="shared" si="93"/>
        <v>1.2195121951219513E-2</v>
      </c>
      <c r="M1181" s="18">
        <f t="shared" si="94"/>
        <v>0.98780487804878048</v>
      </c>
    </row>
    <row r="1182" spans="1:13" x14ac:dyDescent="0.3">
      <c r="A1182" s="22">
        <v>31</v>
      </c>
      <c r="B1182" s="22">
        <v>31</v>
      </c>
      <c r="C1182" s="23">
        <v>1</v>
      </c>
      <c r="D1182" s="22">
        <v>0</v>
      </c>
      <c r="E1182" s="24">
        <v>6.9444444444444444E-5</v>
      </c>
      <c r="F1182" s="24">
        <v>1.6203703703703703E-3</v>
      </c>
      <c r="G1182" s="24">
        <v>7.0601851851851847E-4</v>
      </c>
      <c r="H1182" s="24">
        <v>0.9355</v>
      </c>
      <c r="I1182" s="18">
        <f t="shared" si="91"/>
        <v>0.01</v>
      </c>
      <c r="J1182" s="18">
        <f t="shared" si="95"/>
        <v>9.3550000000000005E-3</v>
      </c>
      <c r="K1182" s="19">
        <f t="shared" si="92"/>
        <v>0</v>
      </c>
      <c r="L1182" s="18">
        <f t="shared" si="93"/>
        <v>0</v>
      </c>
      <c r="M1182" s="18">
        <f t="shared" si="94"/>
        <v>1</v>
      </c>
    </row>
    <row r="1183" spans="1:13" x14ac:dyDescent="0.3">
      <c r="A1183" s="22">
        <v>178</v>
      </c>
      <c r="B1183" s="22">
        <v>171</v>
      </c>
      <c r="C1183" s="23">
        <v>0.9607</v>
      </c>
      <c r="D1183" s="22">
        <v>7</v>
      </c>
      <c r="E1183" s="24">
        <v>1.8518518518518518E-4</v>
      </c>
      <c r="F1183" s="24">
        <v>1.8865740740740742E-3</v>
      </c>
      <c r="G1183" s="24">
        <v>1.4583333333333334E-3</v>
      </c>
      <c r="H1183" s="24">
        <v>0.76139999999999997</v>
      </c>
      <c r="I1183" s="18">
        <f t="shared" si="91"/>
        <v>9.6069999999999992E-3</v>
      </c>
      <c r="J1183" s="18">
        <f t="shared" si="95"/>
        <v>7.6139999999999992E-3</v>
      </c>
      <c r="K1183" s="19">
        <f t="shared" si="92"/>
        <v>7</v>
      </c>
      <c r="L1183" s="18">
        <f t="shared" si="93"/>
        <v>3.9325842696629212E-2</v>
      </c>
      <c r="M1183" s="18">
        <f t="shared" si="94"/>
        <v>0.9606741573033708</v>
      </c>
    </row>
    <row r="1184" spans="1:13" x14ac:dyDescent="0.3">
      <c r="A1184" s="22">
        <v>183</v>
      </c>
      <c r="B1184" s="22">
        <v>175</v>
      </c>
      <c r="C1184" s="23">
        <v>0.95630000000000004</v>
      </c>
      <c r="D1184" s="22">
        <v>8</v>
      </c>
      <c r="E1184" s="24">
        <v>1.5046296296296297E-4</v>
      </c>
      <c r="F1184" s="24">
        <v>1.7013888888888888E-3</v>
      </c>
      <c r="G1184" s="24">
        <v>3.2175925925925926E-3</v>
      </c>
      <c r="H1184" s="24">
        <v>0.85560000000000003</v>
      </c>
      <c r="I1184" s="18">
        <f t="shared" si="91"/>
        <v>9.5630000000000003E-3</v>
      </c>
      <c r="J1184" s="18">
        <f t="shared" si="95"/>
        <v>8.5560000000000011E-3</v>
      </c>
      <c r="K1184" s="19">
        <f t="shared" si="92"/>
        <v>8</v>
      </c>
      <c r="L1184" s="18">
        <f t="shared" si="93"/>
        <v>4.3715846994535519E-2</v>
      </c>
      <c r="M1184" s="18">
        <f t="shared" si="94"/>
        <v>0.95628415300546443</v>
      </c>
    </row>
    <row r="1185" spans="1:13" x14ac:dyDescent="0.3">
      <c r="A1185" s="22">
        <v>39</v>
      </c>
      <c r="B1185" s="22">
        <v>37</v>
      </c>
      <c r="C1185" s="23">
        <v>0.94869999999999999</v>
      </c>
      <c r="D1185" s="22">
        <v>2</v>
      </c>
      <c r="E1185" s="24">
        <v>3.4722222222222222E-5</v>
      </c>
      <c r="F1185" s="24">
        <v>2.0023148148148148E-3</v>
      </c>
      <c r="G1185" s="24">
        <v>6.7129629629629625E-4</v>
      </c>
      <c r="H1185" s="24">
        <v>0.97370000000000001</v>
      </c>
      <c r="I1185" s="18">
        <f t="shared" si="91"/>
        <v>9.4870000000000006E-3</v>
      </c>
      <c r="J1185" s="18">
        <f t="shared" si="95"/>
        <v>9.7370000000000009E-3</v>
      </c>
      <c r="K1185" s="19">
        <f t="shared" si="92"/>
        <v>2</v>
      </c>
      <c r="L1185" s="18">
        <f t="shared" si="93"/>
        <v>5.128205128205128E-2</v>
      </c>
      <c r="M1185" s="18">
        <f t="shared" si="94"/>
        <v>0.94871794871794868</v>
      </c>
    </row>
    <row r="1186" spans="1:13" x14ac:dyDescent="0.3">
      <c r="A1186" s="22">
        <v>170</v>
      </c>
      <c r="B1186" s="22">
        <v>167</v>
      </c>
      <c r="C1186" s="23">
        <v>0.98240000000000005</v>
      </c>
      <c r="D1186" s="22">
        <v>3</v>
      </c>
      <c r="E1186" s="24">
        <v>1.3888888888888889E-4</v>
      </c>
      <c r="F1186" s="24">
        <v>1.6666666666666668E-3</v>
      </c>
      <c r="G1186" s="24">
        <v>1.9675925925925924E-3</v>
      </c>
      <c r="H1186" s="24">
        <v>0.85289999999999999</v>
      </c>
      <c r="I1186" s="18">
        <f t="shared" si="91"/>
        <v>9.8240000000000011E-3</v>
      </c>
      <c r="J1186" s="18">
        <f t="shared" si="95"/>
        <v>8.5290000000000001E-3</v>
      </c>
      <c r="K1186" s="19">
        <f t="shared" si="92"/>
        <v>3</v>
      </c>
      <c r="L1186" s="18">
        <f t="shared" si="93"/>
        <v>1.7647058823529412E-2</v>
      </c>
      <c r="M1186" s="18">
        <f t="shared" si="94"/>
        <v>0.98235294117647054</v>
      </c>
    </row>
    <row r="1187" spans="1:13" x14ac:dyDescent="0.3">
      <c r="A1187" s="22">
        <v>180</v>
      </c>
      <c r="B1187" s="22">
        <v>168</v>
      </c>
      <c r="C1187" s="23">
        <v>0.93330000000000002</v>
      </c>
      <c r="D1187" s="22">
        <v>12</v>
      </c>
      <c r="E1187" s="24">
        <v>1.3888888888888889E-4</v>
      </c>
      <c r="F1187" s="24">
        <v>1.9212962962962964E-3</v>
      </c>
      <c r="G1187" s="24">
        <v>3.1134259259259257E-3</v>
      </c>
      <c r="H1187" s="24">
        <v>0.83150000000000002</v>
      </c>
      <c r="I1187" s="18">
        <f t="shared" si="91"/>
        <v>9.333000000000001E-3</v>
      </c>
      <c r="J1187" s="18">
        <f t="shared" si="95"/>
        <v>8.3149999999999995E-3</v>
      </c>
      <c r="K1187" s="19">
        <f t="shared" si="92"/>
        <v>12</v>
      </c>
      <c r="L1187" s="18">
        <f t="shared" si="93"/>
        <v>6.6666666666666666E-2</v>
      </c>
      <c r="M1187" s="18">
        <f t="shared" si="94"/>
        <v>0.93333333333333335</v>
      </c>
    </row>
    <row r="1188" spans="1:13" x14ac:dyDescent="0.3">
      <c r="A1188" s="22">
        <v>24</v>
      </c>
      <c r="B1188" s="22">
        <v>24</v>
      </c>
      <c r="C1188" s="23">
        <v>1</v>
      </c>
      <c r="D1188" s="22">
        <v>0</v>
      </c>
      <c r="E1188" s="24">
        <v>4.6296296296296294E-5</v>
      </c>
      <c r="F1188" s="24">
        <v>1.8055555555555555E-3</v>
      </c>
      <c r="G1188" s="24">
        <v>2.4305555555555555E-4</v>
      </c>
      <c r="H1188" s="24">
        <v>1</v>
      </c>
      <c r="I1188" s="18">
        <f t="shared" si="91"/>
        <v>0.01</v>
      </c>
      <c r="J1188" s="18">
        <f t="shared" si="95"/>
        <v>0.01</v>
      </c>
      <c r="K1188" s="19">
        <f t="shared" si="92"/>
        <v>0</v>
      </c>
      <c r="L1188" s="18">
        <f t="shared" si="93"/>
        <v>0</v>
      </c>
      <c r="M1188" s="18">
        <f t="shared" si="94"/>
        <v>1</v>
      </c>
    </row>
    <row r="1189" spans="1:13" x14ac:dyDescent="0.3">
      <c r="A1189" s="22">
        <v>7</v>
      </c>
      <c r="B1189" s="22">
        <v>7</v>
      </c>
      <c r="C1189" s="23">
        <v>1</v>
      </c>
      <c r="D1189" s="22">
        <v>0</v>
      </c>
      <c r="E1189" s="24">
        <v>3.8194444444444446E-4</v>
      </c>
      <c r="F1189" s="24">
        <v>1.8402777777777777E-3</v>
      </c>
      <c r="G1189" s="24">
        <v>1.0763888888888889E-3</v>
      </c>
      <c r="H1189" s="24">
        <v>0.42859999999999998</v>
      </c>
      <c r="I1189" s="18">
        <f t="shared" si="91"/>
        <v>0.01</v>
      </c>
      <c r="J1189" s="18">
        <f t="shared" si="95"/>
        <v>4.2859999999999999E-3</v>
      </c>
      <c r="K1189" s="19">
        <f t="shared" si="92"/>
        <v>0</v>
      </c>
      <c r="L1189" s="18">
        <f t="shared" si="93"/>
        <v>0</v>
      </c>
      <c r="M1189" s="18">
        <f t="shared" si="94"/>
        <v>1</v>
      </c>
    </row>
    <row r="1190" spans="1:13" x14ac:dyDescent="0.3">
      <c r="A1190" s="22">
        <v>181</v>
      </c>
      <c r="B1190" s="22">
        <v>181</v>
      </c>
      <c r="C1190" s="23">
        <v>1</v>
      </c>
      <c r="D1190" s="22">
        <v>0</v>
      </c>
      <c r="E1190" s="24">
        <v>1.3888888888888889E-4</v>
      </c>
      <c r="F1190" s="24">
        <v>1.9328703703703704E-3</v>
      </c>
      <c r="G1190" s="24">
        <v>1.0300925925925926E-3</v>
      </c>
      <c r="H1190" s="24">
        <v>0.87849999999999995</v>
      </c>
      <c r="I1190" s="18">
        <f t="shared" si="91"/>
        <v>0.01</v>
      </c>
      <c r="J1190" s="18">
        <f t="shared" si="95"/>
        <v>8.7849999999999994E-3</v>
      </c>
      <c r="K1190" s="19">
        <f t="shared" si="92"/>
        <v>0</v>
      </c>
      <c r="L1190" s="18">
        <f t="shared" si="93"/>
        <v>0</v>
      </c>
      <c r="M1190" s="18">
        <f t="shared" si="94"/>
        <v>1</v>
      </c>
    </row>
    <row r="1191" spans="1:13" x14ac:dyDescent="0.3">
      <c r="A1191" s="22">
        <v>209</v>
      </c>
      <c r="B1191" s="22">
        <v>206</v>
      </c>
      <c r="C1191" s="23">
        <v>0.98560000000000003</v>
      </c>
      <c r="D1191" s="22">
        <v>3</v>
      </c>
      <c r="E1191" s="24">
        <v>5.7870370370370373E-5</v>
      </c>
      <c r="F1191" s="24">
        <v>1.8749999999999999E-3</v>
      </c>
      <c r="G1191" s="24">
        <v>6.7129629629629625E-4</v>
      </c>
      <c r="H1191" s="24">
        <v>0.95169999999999999</v>
      </c>
      <c r="I1191" s="18">
        <f t="shared" si="91"/>
        <v>9.8560000000000002E-3</v>
      </c>
      <c r="J1191" s="18">
        <f t="shared" si="95"/>
        <v>9.5169999999999994E-3</v>
      </c>
      <c r="K1191" s="19">
        <f t="shared" si="92"/>
        <v>3</v>
      </c>
      <c r="L1191" s="18">
        <f t="shared" si="93"/>
        <v>1.4354066985645933E-2</v>
      </c>
      <c r="M1191" s="18">
        <f t="shared" si="94"/>
        <v>0.9856459330143541</v>
      </c>
    </row>
    <row r="1192" spans="1:13" x14ac:dyDescent="0.3">
      <c r="A1192" s="22">
        <v>180</v>
      </c>
      <c r="B1192" s="22">
        <v>179</v>
      </c>
      <c r="C1192" s="23">
        <v>0.99439999999999995</v>
      </c>
      <c r="D1192" s="22">
        <v>1</v>
      </c>
      <c r="E1192" s="24">
        <v>4.6296296296296294E-5</v>
      </c>
      <c r="F1192" s="24">
        <v>1.712962962962963E-3</v>
      </c>
      <c r="G1192" s="24">
        <v>7.1759259259259259E-4</v>
      </c>
      <c r="H1192" s="24">
        <v>0.97209999999999996</v>
      </c>
      <c r="I1192" s="18">
        <f t="shared" si="91"/>
        <v>9.9439999999999997E-3</v>
      </c>
      <c r="J1192" s="18">
        <f t="shared" si="95"/>
        <v>9.7210000000000005E-3</v>
      </c>
      <c r="K1192" s="19">
        <f t="shared" si="92"/>
        <v>1</v>
      </c>
      <c r="L1192" s="18">
        <f t="shared" si="93"/>
        <v>5.5555555555555558E-3</v>
      </c>
      <c r="M1192" s="18">
        <f t="shared" si="94"/>
        <v>0.99444444444444446</v>
      </c>
    </row>
    <row r="1193" spans="1:13" x14ac:dyDescent="0.3">
      <c r="A1193" s="22">
        <v>221</v>
      </c>
      <c r="B1193" s="22">
        <v>203</v>
      </c>
      <c r="C1193" s="23">
        <v>0.91859999999999997</v>
      </c>
      <c r="D1193" s="22">
        <v>18</v>
      </c>
      <c r="E1193" s="24">
        <v>1.3888888888888889E-4</v>
      </c>
      <c r="F1193" s="24">
        <v>1.8865740740740742E-3</v>
      </c>
      <c r="G1193" s="24">
        <v>2.0254629629629629E-3</v>
      </c>
      <c r="H1193" s="24">
        <v>0.87319999999999998</v>
      </c>
      <c r="I1193" s="18">
        <f t="shared" si="91"/>
        <v>9.1859999999999997E-3</v>
      </c>
      <c r="J1193" s="18">
        <f t="shared" si="95"/>
        <v>8.7320000000000002E-3</v>
      </c>
      <c r="K1193" s="19">
        <f t="shared" si="92"/>
        <v>18</v>
      </c>
      <c r="L1193" s="18">
        <f t="shared" si="93"/>
        <v>8.1447963800904979E-2</v>
      </c>
      <c r="M1193" s="18">
        <f t="shared" si="94"/>
        <v>0.91855203619909498</v>
      </c>
    </row>
    <row r="1194" spans="1:13" x14ac:dyDescent="0.3">
      <c r="A1194" s="22">
        <v>254</v>
      </c>
      <c r="B1194" s="22">
        <v>248</v>
      </c>
      <c r="C1194" s="23">
        <v>0.97640000000000005</v>
      </c>
      <c r="D1194" s="22">
        <v>6</v>
      </c>
      <c r="E1194" s="24">
        <v>1.1574074074074075E-4</v>
      </c>
      <c r="F1194" s="24">
        <v>1.9444444444444444E-3</v>
      </c>
      <c r="G1194" s="24">
        <v>2.1643518518518518E-3</v>
      </c>
      <c r="H1194" s="24">
        <v>0.90869999999999995</v>
      </c>
      <c r="I1194" s="18">
        <f t="shared" si="91"/>
        <v>9.7640000000000001E-3</v>
      </c>
      <c r="J1194" s="18">
        <f t="shared" si="95"/>
        <v>9.0869999999999996E-3</v>
      </c>
      <c r="K1194" s="19">
        <f t="shared" si="92"/>
        <v>6</v>
      </c>
      <c r="L1194" s="18">
        <f t="shared" si="93"/>
        <v>2.3622047244094488E-2</v>
      </c>
      <c r="M1194" s="18">
        <f t="shared" si="94"/>
        <v>0.97637795275590555</v>
      </c>
    </row>
    <row r="1195" spans="1:13" x14ac:dyDescent="0.3">
      <c r="A1195" s="22">
        <v>627</v>
      </c>
      <c r="B1195" s="22">
        <v>577</v>
      </c>
      <c r="C1195" s="23">
        <v>0.92030000000000001</v>
      </c>
      <c r="D1195" s="22">
        <v>50</v>
      </c>
      <c r="E1195" s="24">
        <v>4.7453703703703704E-4</v>
      </c>
      <c r="F1195" s="24">
        <v>1.8402777777777777E-3</v>
      </c>
      <c r="G1195" s="24">
        <v>3.7037037037037038E-3</v>
      </c>
      <c r="H1195" s="24">
        <v>0.47810000000000002</v>
      </c>
      <c r="I1195" s="18">
        <f t="shared" si="91"/>
        <v>9.2029999999999994E-3</v>
      </c>
      <c r="J1195" s="18">
        <f t="shared" si="95"/>
        <v>4.7810000000000005E-3</v>
      </c>
      <c r="K1195" s="19">
        <f t="shared" si="92"/>
        <v>50</v>
      </c>
      <c r="L1195" s="18">
        <f t="shared" si="93"/>
        <v>7.9744816586921854E-2</v>
      </c>
      <c r="M1195" s="18">
        <f t="shared" si="94"/>
        <v>0.9202551834130781</v>
      </c>
    </row>
    <row r="1196" spans="1:13" x14ac:dyDescent="0.3">
      <c r="A1196" s="22">
        <v>167</v>
      </c>
      <c r="B1196" s="22">
        <v>159</v>
      </c>
      <c r="C1196" s="23">
        <v>0.95209999999999995</v>
      </c>
      <c r="D1196" s="22">
        <v>8</v>
      </c>
      <c r="E1196" s="24">
        <v>2.0833333333333335E-4</v>
      </c>
      <c r="F1196" s="24">
        <v>2.1990740740740742E-3</v>
      </c>
      <c r="G1196" s="24">
        <v>2.7199074074074074E-3</v>
      </c>
      <c r="H1196" s="24">
        <v>0.76049999999999995</v>
      </c>
      <c r="I1196" s="18">
        <f t="shared" si="91"/>
        <v>9.5209999999999999E-3</v>
      </c>
      <c r="J1196" s="18">
        <f t="shared" si="95"/>
        <v>7.6049999999999998E-3</v>
      </c>
      <c r="K1196" s="19">
        <f t="shared" si="92"/>
        <v>8</v>
      </c>
      <c r="L1196" s="18">
        <f t="shared" si="93"/>
        <v>4.790419161676647E-2</v>
      </c>
      <c r="M1196" s="18">
        <f t="shared" si="94"/>
        <v>0.95209580838323349</v>
      </c>
    </row>
    <row r="1197" spans="1:13" x14ac:dyDescent="0.3">
      <c r="A1197" s="22">
        <v>599</v>
      </c>
      <c r="B1197" s="22">
        <v>554</v>
      </c>
      <c r="C1197" s="23">
        <v>0.92490000000000006</v>
      </c>
      <c r="D1197" s="22">
        <v>45</v>
      </c>
      <c r="E1197" s="24">
        <v>2.8935185185185184E-4</v>
      </c>
      <c r="F1197" s="24">
        <v>1.7939814814814815E-3</v>
      </c>
      <c r="G1197" s="24">
        <v>3.3564814814814816E-3</v>
      </c>
      <c r="H1197" s="24">
        <v>0.63560000000000005</v>
      </c>
      <c r="I1197" s="18">
        <f t="shared" si="91"/>
        <v>9.2490000000000003E-3</v>
      </c>
      <c r="J1197" s="18">
        <f t="shared" si="95"/>
        <v>6.3560000000000005E-3</v>
      </c>
      <c r="K1197" s="19">
        <f t="shared" si="92"/>
        <v>45</v>
      </c>
      <c r="L1197" s="18">
        <f t="shared" si="93"/>
        <v>7.512520868113523E-2</v>
      </c>
      <c r="M1197" s="18">
        <f t="shared" si="94"/>
        <v>0.92487479131886474</v>
      </c>
    </row>
    <row r="1198" spans="1:13" x14ac:dyDescent="0.3">
      <c r="A1198" s="22">
        <v>304</v>
      </c>
      <c r="B1198" s="22">
        <v>300</v>
      </c>
      <c r="C1198" s="23">
        <v>0.98680000000000001</v>
      </c>
      <c r="D1198" s="22">
        <v>4</v>
      </c>
      <c r="E1198" s="24">
        <v>8.1018518518518516E-5</v>
      </c>
      <c r="F1198" s="24">
        <v>1.7939814814814815E-3</v>
      </c>
      <c r="G1198" s="24">
        <v>2.0254629629629629E-3</v>
      </c>
      <c r="H1198" s="24">
        <v>0.92410000000000003</v>
      </c>
      <c r="I1198" s="18">
        <f t="shared" si="91"/>
        <v>9.868E-3</v>
      </c>
      <c r="J1198" s="18">
        <f t="shared" si="95"/>
        <v>9.2410000000000009E-3</v>
      </c>
      <c r="K1198" s="19">
        <f t="shared" si="92"/>
        <v>4</v>
      </c>
      <c r="L1198" s="18">
        <f t="shared" si="93"/>
        <v>1.3157894736842105E-2</v>
      </c>
      <c r="M1198" s="18">
        <f t="shared" si="94"/>
        <v>0.98684210526315785</v>
      </c>
    </row>
    <row r="1199" spans="1:13" x14ac:dyDescent="0.3">
      <c r="A1199" s="22">
        <v>267</v>
      </c>
      <c r="B1199" s="22">
        <v>260</v>
      </c>
      <c r="C1199" s="23">
        <v>0.9738</v>
      </c>
      <c r="D1199" s="22">
        <v>7</v>
      </c>
      <c r="E1199" s="24">
        <v>9.2592592592592588E-5</v>
      </c>
      <c r="F1199" s="24">
        <v>2.0370370370370369E-3</v>
      </c>
      <c r="G1199" s="24">
        <v>1.3194444444444445E-3</v>
      </c>
      <c r="H1199" s="24">
        <v>0.90910000000000002</v>
      </c>
      <c r="I1199" s="18">
        <f t="shared" si="91"/>
        <v>9.7380000000000001E-3</v>
      </c>
      <c r="J1199" s="18">
        <f t="shared" si="95"/>
        <v>9.0910000000000001E-3</v>
      </c>
      <c r="K1199" s="19">
        <f t="shared" si="92"/>
        <v>7</v>
      </c>
      <c r="L1199" s="18">
        <f t="shared" si="93"/>
        <v>2.6217228464419477E-2</v>
      </c>
      <c r="M1199" s="18">
        <f t="shared" si="94"/>
        <v>0.97378277153558057</v>
      </c>
    </row>
    <row r="1200" spans="1:13" x14ac:dyDescent="0.3">
      <c r="A1200" s="22">
        <v>286</v>
      </c>
      <c r="B1200" s="22">
        <v>281</v>
      </c>
      <c r="C1200" s="23">
        <v>0.98250000000000004</v>
      </c>
      <c r="D1200" s="22">
        <v>5</v>
      </c>
      <c r="E1200" s="24">
        <v>1.273148148148148E-4</v>
      </c>
      <c r="F1200" s="24">
        <v>1.8518518518518519E-3</v>
      </c>
      <c r="G1200" s="24">
        <v>2.0138888888888888E-3</v>
      </c>
      <c r="H1200" s="24">
        <v>0.86970000000000003</v>
      </c>
      <c r="I1200" s="18">
        <f t="shared" si="91"/>
        <v>9.8250000000000004E-3</v>
      </c>
      <c r="J1200" s="18">
        <f t="shared" si="95"/>
        <v>8.6969999999999999E-3</v>
      </c>
      <c r="K1200" s="19">
        <f t="shared" si="92"/>
        <v>5</v>
      </c>
      <c r="L1200" s="18">
        <f t="shared" si="93"/>
        <v>1.7482517482517484E-2</v>
      </c>
      <c r="M1200" s="18">
        <f t="shared" si="94"/>
        <v>0.9825174825174825</v>
      </c>
    </row>
    <row r="1201" spans="1:13" x14ac:dyDescent="0.3">
      <c r="A1201" s="22">
        <v>196</v>
      </c>
      <c r="B1201" s="22">
        <v>192</v>
      </c>
      <c r="C1201" s="23">
        <v>0.97960000000000003</v>
      </c>
      <c r="D1201" s="22">
        <v>4</v>
      </c>
      <c r="E1201" s="24">
        <v>1.5046296296296297E-4</v>
      </c>
      <c r="F1201" s="24">
        <v>1.8865740740740742E-3</v>
      </c>
      <c r="G1201" s="24">
        <v>1.4583333333333334E-3</v>
      </c>
      <c r="H1201" s="24">
        <v>0.85640000000000005</v>
      </c>
      <c r="I1201" s="18">
        <f t="shared" si="91"/>
        <v>9.7960000000000009E-3</v>
      </c>
      <c r="J1201" s="18">
        <f t="shared" si="95"/>
        <v>8.5640000000000004E-3</v>
      </c>
      <c r="K1201" s="19">
        <f t="shared" si="92"/>
        <v>4</v>
      </c>
      <c r="L1201" s="18">
        <f t="shared" si="93"/>
        <v>2.0408163265306121E-2</v>
      </c>
      <c r="M1201" s="18">
        <f t="shared" si="94"/>
        <v>0.97959183673469385</v>
      </c>
    </row>
    <row r="1202" spans="1:13" x14ac:dyDescent="0.3">
      <c r="A1202" s="22">
        <v>191</v>
      </c>
      <c r="B1202" s="22">
        <v>189</v>
      </c>
      <c r="C1202" s="23">
        <v>0.98950000000000005</v>
      </c>
      <c r="D1202" s="22">
        <v>2</v>
      </c>
      <c r="E1202" s="24">
        <v>1.273148148148148E-4</v>
      </c>
      <c r="F1202" s="24">
        <v>2.0833333333333333E-3</v>
      </c>
      <c r="G1202" s="24">
        <v>1.7824074074074075E-3</v>
      </c>
      <c r="H1202" s="24">
        <v>0.88419999999999999</v>
      </c>
      <c r="I1202" s="18">
        <f t="shared" si="91"/>
        <v>9.895000000000001E-3</v>
      </c>
      <c r="J1202" s="18">
        <f t="shared" si="95"/>
        <v>8.8419999999999992E-3</v>
      </c>
      <c r="K1202" s="19">
        <f t="shared" si="92"/>
        <v>2</v>
      </c>
      <c r="L1202" s="18">
        <f t="shared" si="93"/>
        <v>1.0471204188481676E-2</v>
      </c>
      <c r="M1202" s="18">
        <f t="shared" si="94"/>
        <v>0.98952879581151831</v>
      </c>
    </row>
    <row r="1203" spans="1:13" x14ac:dyDescent="0.3">
      <c r="A1203" s="22">
        <v>60</v>
      </c>
      <c r="B1203" s="22">
        <v>60</v>
      </c>
      <c r="C1203" s="23">
        <v>1</v>
      </c>
      <c r="D1203" s="22">
        <v>0</v>
      </c>
      <c r="E1203" s="24">
        <v>6.9444444444444444E-5</v>
      </c>
      <c r="F1203" s="24">
        <v>1.3657407407407407E-3</v>
      </c>
      <c r="G1203" s="24">
        <v>6.8287037037037036E-4</v>
      </c>
      <c r="H1203" s="24">
        <v>0.9667</v>
      </c>
      <c r="I1203" s="18">
        <f t="shared" si="91"/>
        <v>0.01</v>
      </c>
      <c r="J1203" s="18">
        <f t="shared" si="95"/>
        <v>9.6670000000000002E-3</v>
      </c>
      <c r="K1203" s="19">
        <f t="shared" si="92"/>
        <v>0</v>
      </c>
      <c r="L1203" s="18">
        <f t="shared" si="93"/>
        <v>0</v>
      </c>
      <c r="M1203" s="18">
        <f t="shared" si="94"/>
        <v>1</v>
      </c>
    </row>
    <row r="1204" spans="1:13" x14ac:dyDescent="0.3">
      <c r="A1204" s="22">
        <v>215</v>
      </c>
      <c r="B1204" s="22">
        <v>207</v>
      </c>
      <c r="C1204" s="23">
        <v>0.96279999999999999</v>
      </c>
      <c r="D1204" s="22">
        <v>8</v>
      </c>
      <c r="E1204" s="24">
        <v>1.1574074074074075E-4</v>
      </c>
      <c r="F1204" s="24">
        <v>1.8518518518518519E-3</v>
      </c>
      <c r="G1204" s="24">
        <v>1.2037037037037038E-3</v>
      </c>
      <c r="H1204" s="24">
        <v>0.90429999999999999</v>
      </c>
      <c r="I1204" s="18">
        <f t="shared" si="91"/>
        <v>9.6279999999999994E-3</v>
      </c>
      <c r="J1204" s="18">
        <f t="shared" si="95"/>
        <v>9.0430000000000007E-3</v>
      </c>
      <c r="K1204" s="19">
        <f t="shared" si="92"/>
        <v>8</v>
      </c>
      <c r="L1204" s="18">
        <f t="shared" si="93"/>
        <v>3.7209302325581395E-2</v>
      </c>
      <c r="M1204" s="18">
        <f t="shared" si="94"/>
        <v>0.96279069767441861</v>
      </c>
    </row>
    <row r="1205" spans="1:13" x14ac:dyDescent="0.3">
      <c r="A1205" s="22">
        <v>221</v>
      </c>
      <c r="B1205" s="22">
        <v>213</v>
      </c>
      <c r="C1205" s="23">
        <v>0.96379999999999999</v>
      </c>
      <c r="D1205" s="22">
        <v>8</v>
      </c>
      <c r="E1205" s="24">
        <v>9.2592592592592588E-5</v>
      </c>
      <c r="F1205" s="24">
        <v>1.7939814814814815E-3</v>
      </c>
      <c r="G1205" s="24">
        <v>1.238425925925926E-3</v>
      </c>
      <c r="H1205" s="24">
        <v>0.90449999999999997</v>
      </c>
      <c r="I1205" s="18">
        <f t="shared" si="91"/>
        <v>9.6380000000000007E-3</v>
      </c>
      <c r="J1205" s="18">
        <f t="shared" si="95"/>
        <v>9.0449999999999992E-3</v>
      </c>
      <c r="K1205" s="19">
        <f t="shared" si="92"/>
        <v>8</v>
      </c>
      <c r="L1205" s="18">
        <f t="shared" si="93"/>
        <v>3.6199095022624438E-2</v>
      </c>
      <c r="M1205" s="18">
        <f t="shared" si="94"/>
        <v>0.96380090497737558</v>
      </c>
    </row>
    <row r="1206" spans="1:13" x14ac:dyDescent="0.3">
      <c r="A1206" s="22">
        <v>201</v>
      </c>
      <c r="B1206" s="22">
        <v>193</v>
      </c>
      <c r="C1206" s="23">
        <v>0.96020000000000005</v>
      </c>
      <c r="D1206" s="22">
        <v>8</v>
      </c>
      <c r="E1206" s="24">
        <v>3.4722222222222222E-5</v>
      </c>
      <c r="F1206" s="24">
        <v>1.9212962962962964E-3</v>
      </c>
      <c r="G1206" s="24">
        <v>6.7129629629629625E-4</v>
      </c>
      <c r="H1206" s="24">
        <v>0.98450000000000004</v>
      </c>
      <c r="I1206" s="18">
        <f t="shared" si="91"/>
        <v>9.6020000000000012E-3</v>
      </c>
      <c r="J1206" s="18">
        <f t="shared" si="95"/>
        <v>9.8449999999999996E-3</v>
      </c>
      <c r="K1206" s="19">
        <f t="shared" si="92"/>
        <v>8</v>
      </c>
      <c r="L1206" s="18">
        <f t="shared" si="93"/>
        <v>3.9800995024875621E-2</v>
      </c>
      <c r="M1206" s="18">
        <f t="shared" si="94"/>
        <v>0.96019900497512434</v>
      </c>
    </row>
    <row r="1207" spans="1:13" x14ac:dyDescent="0.3">
      <c r="A1207" s="22">
        <v>205</v>
      </c>
      <c r="B1207" s="22">
        <v>202</v>
      </c>
      <c r="C1207" s="23">
        <v>0.98540000000000005</v>
      </c>
      <c r="D1207" s="22">
        <v>3</v>
      </c>
      <c r="E1207" s="24">
        <v>5.7870370370370373E-5</v>
      </c>
      <c r="F1207" s="24">
        <v>1.9444444444444444E-3</v>
      </c>
      <c r="G1207" s="24">
        <v>7.9861111111111116E-4</v>
      </c>
      <c r="H1207" s="24">
        <v>0.96060000000000001</v>
      </c>
      <c r="I1207" s="18">
        <f t="shared" si="91"/>
        <v>9.8539999999999999E-3</v>
      </c>
      <c r="J1207" s="18">
        <f t="shared" si="95"/>
        <v>9.606E-3</v>
      </c>
      <c r="K1207" s="19">
        <f t="shared" si="92"/>
        <v>3</v>
      </c>
      <c r="L1207" s="18">
        <f t="shared" si="93"/>
        <v>1.4634146341463415E-2</v>
      </c>
      <c r="M1207" s="18">
        <f t="shared" si="94"/>
        <v>0.98536585365853657</v>
      </c>
    </row>
    <row r="1208" spans="1:13" x14ac:dyDescent="0.3">
      <c r="A1208" s="22">
        <v>201</v>
      </c>
      <c r="B1208" s="22">
        <v>194</v>
      </c>
      <c r="C1208" s="23">
        <v>0.96519999999999995</v>
      </c>
      <c r="D1208" s="22">
        <v>7</v>
      </c>
      <c r="E1208" s="24">
        <v>1.6203703703703703E-4</v>
      </c>
      <c r="F1208" s="24">
        <v>1.8981481481481482E-3</v>
      </c>
      <c r="G1208" s="24">
        <v>1.724537037037037E-3</v>
      </c>
      <c r="H1208" s="24">
        <v>0.84260000000000002</v>
      </c>
      <c r="I1208" s="18">
        <f t="shared" si="91"/>
        <v>9.6519999999999991E-3</v>
      </c>
      <c r="J1208" s="18">
        <f t="shared" si="95"/>
        <v>8.4259999999999995E-3</v>
      </c>
      <c r="K1208" s="19">
        <f t="shared" si="92"/>
        <v>7</v>
      </c>
      <c r="L1208" s="18">
        <f t="shared" si="93"/>
        <v>3.482587064676617E-2</v>
      </c>
      <c r="M1208" s="18">
        <f t="shared" si="94"/>
        <v>0.96517412935323388</v>
      </c>
    </row>
    <row r="1209" spans="1:13" x14ac:dyDescent="0.3">
      <c r="A1209" s="22">
        <v>140</v>
      </c>
      <c r="B1209" s="22">
        <v>132</v>
      </c>
      <c r="C1209" s="23">
        <v>0.94289999999999996</v>
      </c>
      <c r="D1209" s="22">
        <v>8</v>
      </c>
      <c r="E1209" s="24">
        <v>8.1018518518518516E-5</v>
      </c>
      <c r="F1209" s="24">
        <v>1.2847222222222223E-3</v>
      </c>
      <c r="G1209" s="24">
        <v>1.3425925925925925E-3</v>
      </c>
      <c r="H1209" s="24">
        <v>0.92479999999999996</v>
      </c>
      <c r="I1209" s="18">
        <f t="shared" si="91"/>
        <v>9.4289999999999999E-3</v>
      </c>
      <c r="J1209" s="18">
        <f t="shared" si="95"/>
        <v>9.2479999999999993E-3</v>
      </c>
      <c r="K1209" s="19">
        <f t="shared" si="92"/>
        <v>8</v>
      </c>
      <c r="L1209" s="18">
        <f t="shared" si="93"/>
        <v>5.7142857142857141E-2</v>
      </c>
      <c r="M1209" s="18">
        <f t="shared" si="94"/>
        <v>0.94285714285714284</v>
      </c>
    </row>
    <row r="1210" spans="1:13" x14ac:dyDescent="0.3">
      <c r="A1210" s="22">
        <v>29</v>
      </c>
      <c r="B1210" s="22">
        <v>28</v>
      </c>
      <c r="C1210" s="23">
        <v>0.96550000000000002</v>
      </c>
      <c r="D1210" s="22">
        <v>1</v>
      </c>
      <c r="E1210" s="24">
        <v>1.5046296296296297E-4</v>
      </c>
      <c r="F1210" s="24">
        <v>2.1875000000000002E-3</v>
      </c>
      <c r="G1210" s="24">
        <v>1.238425925925926E-3</v>
      </c>
      <c r="H1210" s="24">
        <v>0.8276</v>
      </c>
      <c r="I1210" s="18">
        <f t="shared" si="91"/>
        <v>9.6550000000000004E-3</v>
      </c>
      <c r="J1210" s="18">
        <f t="shared" si="95"/>
        <v>8.2760000000000004E-3</v>
      </c>
      <c r="K1210" s="19">
        <f t="shared" si="92"/>
        <v>1</v>
      </c>
      <c r="L1210" s="18">
        <f t="shared" si="93"/>
        <v>3.4482758620689655E-2</v>
      </c>
      <c r="M1210" s="18">
        <f t="shared" si="94"/>
        <v>0.96551724137931039</v>
      </c>
    </row>
    <row r="1211" spans="1:13" x14ac:dyDescent="0.3">
      <c r="A1211" s="22">
        <v>398</v>
      </c>
      <c r="B1211" s="22">
        <v>372</v>
      </c>
      <c r="C1211" s="23">
        <v>0.93469999999999998</v>
      </c>
      <c r="D1211" s="22">
        <v>26</v>
      </c>
      <c r="E1211" s="24">
        <v>2.4305555555555555E-4</v>
      </c>
      <c r="F1211" s="24">
        <v>1.9791666666666668E-3</v>
      </c>
      <c r="G1211" s="24">
        <v>2.9282407407407408E-3</v>
      </c>
      <c r="H1211" s="24">
        <v>0.72519999999999996</v>
      </c>
      <c r="I1211" s="18">
        <f t="shared" si="91"/>
        <v>9.3469999999999994E-3</v>
      </c>
      <c r="J1211" s="18">
        <f t="shared" si="95"/>
        <v>7.2519999999999998E-3</v>
      </c>
      <c r="K1211" s="19">
        <f t="shared" si="92"/>
        <v>26</v>
      </c>
      <c r="L1211" s="18">
        <f t="shared" si="93"/>
        <v>6.5326633165829151E-2</v>
      </c>
      <c r="M1211" s="18">
        <f t="shared" si="94"/>
        <v>0.9346733668341709</v>
      </c>
    </row>
    <row r="1212" spans="1:13" x14ac:dyDescent="0.3">
      <c r="A1212" s="22">
        <v>255</v>
      </c>
      <c r="B1212" s="22">
        <v>249</v>
      </c>
      <c r="C1212" s="23">
        <v>0.97650000000000003</v>
      </c>
      <c r="D1212" s="22">
        <v>6</v>
      </c>
      <c r="E1212" s="24">
        <v>1.7361111111111112E-4</v>
      </c>
      <c r="F1212" s="24">
        <v>2.0949074074074073E-3</v>
      </c>
      <c r="G1212" s="24">
        <v>1.4930555555555556E-3</v>
      </c>
      <c r="H1212" s="24">
        <v>0.83330000000000004</v>
      </c>
      <c r="I1212" s="18">
        <f t="shared" si="91"/>
        <v>9.7650000000000011E-3</v>
      </c>
      <c r="J1212" s="18">
        <f t="shared" si="95"/>
        <v>8.3330000000000001E-3</v>
      </c>
      <c r="K1212" s="19">
        <f t="shared" si="92"/>
        <v>6</v>
      </c>
      <c r="L1212" s="18">
        <f t="shared" si="93"/>
        <v>2.3529411764705882E-2</v>
      </c>
      <c r="M1212" s="18">
        <f t="shared" si="94"/>
        <v>0.97647058823529409</v>
      </c>
    </row>
    <row r="1213" spans="1:13" x14ac:dyDescent="0.3">
      <c r="A1213" s="22">
        <v>283</v>
      </c>
      <c r="B1213" s="22">
        <v>278</v>
      </c>
      <c r="C1213" s="23">
        <v>0.98229999999999995</v>
      </c>
      <c r="D1213" s="22">
        <v>5</v>
      </c>
      <c r="E1213" s="24">
        <v>1.9675925925925926E-4</v>
      </c>
      <c r="F1213" s="24">
        <v>1.8287037037037037E-3</v>
      </c>
      <c r="G1213" s="24">
        <v>1.3773148148148147E-3</v>
      </c>
      <c r="H1213" s="24">
        <v>0.79569999999999996</v>
      </c>
      <c r="I1213" s="18">
        <f t="shared" si="91"/>
        <v>9.8230000000000001E-3</v>
      </c>
      <c r="J1213" s="18">
        <f t="shared" si="95"/>
        <v>7.9569999999999988E-3</v>
      </c>
      <c r="K1213" s="19">
        <f t="shared" si="92"/>
        <v>5</v>
      </c>
      <c r="L1213" s="18">
        <f t="shared" si="93"/>
        <v>1.7667844522968199E-2</v>
      </c>
      <c r="M1213" s="18">
        <f t="shared" si="94"/>
        <v>0.98233215547703179</v>
      </c>
    </row>
    <row r="1214" spans="1:13" x14ac:dyDescent="0.3">
      <c r="A1214" s="22">
        <v>230</v>
      </c>
      <c r="B1214" s="22">
        <v>222</v>
      </c>
      <c r="C1214" s="23">
        <v>0.96519999999999995</v>
      </c>
      <c r="D1214" s="22">
        <v>8</v>
      </c>
      <c r="E1214" s="24">
        <v>2.4305555555555555E-4</v>
      </c>
      <c r="F1214" s="24">
        <v>1.9212962962962964E-3</v>
      </c>
      <c r="G1214" s="24">
        <v>1.9097222222222222E-3</v>
      </c>
      <c r="H1214" s="24">
        <v>0.72250000000000003</v>
      </c>
      <c r="I1214" s="18">
        <f t="shared" si="91"/>
        <v>9.6519999999999991E-3</v>
      </c>
      <c r="J1214" s="18">
        <f t="shared" si="95"/>
        <v>7.2250000000000005E-3</v>
      </c>
      <c r="K1214" s="19">
        <f t="shared" si="92"/>
        <v>8</v>
      </c>
      <c r="L1214" s="18">
        <f t="shared" si="93"/>
        <v>3.4782608695652174E-2</v>
      </c>
      <c r="M1214" s="18">
        <f t="shared" si="94"/>
        <v>0.9652173913043478</v>
      </c>
    </row>
    <row r="1215" spans="1:13" x14ac:dyDescent="0.3">
      <c r="A1215" s="22">
        <v>185</v>
      </c>
      <c r="B1215" s="22">
        <v>183</v>
      </c>
      <c r="C1215" s="23">
        <v>0.98919999999999997</v>
      </c>
      <c r="D1215" s="22">
        <v>2</v>
      </c>
      <c r="E1215" s="24">
        <v>1.1574074074074075E-4</v>
      </c>
      <c r="F1215" s="24">
        <v>2.2569444444444442E-3</v>
      </c>
      <c r="G1215" s="24">
        <v>9.2592592592592596E-4</v>
      </c>
      <c r="H1215" s="24">
        <v>0.89729999999999999</v>
      </c>
      <c r="I1215" s="18">
        <f t="shared" si="91"/>
        <v>9.8919999999999998E-3</v>
      </c>
      <c r="J1215" s="18">
        <f t="shared" si="95"/>
        <v>8.9730000000000001E-3</v>
      </c>
      <c r="K1215" s="19">
        <f t="shared" si="92"/>
        <v>2</v>
      </c>
      <c r="L1215" s="18">
        <f t="shared" si="93"/>
        <v>1.0810810810810811E-2</v>
      </c>
      <c r="M1215" s="18">
        <f t="shared" si="94"/>
        <v>0.98918918918918919</v>
      </c>
    </row>
    <row r="1216" spans="1:13" x14ac:dyDescent="0.3">
      <c r="A1216" s="22">
        <v>197</v>
      </c>
      <c r="B1216" s="22">
        <v>194</v>
      </c>
      <c r="C1216" s="23">
        <v>0.98480000000000001</v>
      </c>
      <c r="D1216" s="22">
        <v>3</v>
      </c>
      <c r="E1216" s="24">
        <v>1.5046296296296297E-4</v>
      </c>
      <c r="F1216" s="24">
        <v>1.9560185185185184E-3</v>
      </c>
      <c r="G1216" s="24">
        <v>1.4004629629629629E-3</v>
      </c>
      <c r="H1216" s="24">
        <v>0.82650000000000001</v>
      </c>
      <c r="I1216" s="18">
        <f t="shared" si="91"/>
        <v>9.8480000000000009E-3</v>
      </c>
      <c r="J1216" s="18">
        <f t="shared" si="95"/>
        <v>8.2649999999999998E-3</v>
      </c>
      <c r="K1216" s="19">
        <f t="shared" si="92"/>
        <v>3</v>
      </c>
      <c r="L1216" s="18">
        <f t="shared" si="93"/>
        <v>1.5228426395939087E-2</v>
      </c>
      <c r="M1216" s="18">
        <f t="shared" si="94"/>
        <v>0.98477157360406087</v>
      </c>
    </row>
    <row r="1217" spans="1:13" x14ac:dyDescent="0.3">
      <c r="A1217" s="22">
        <v>15</v>
      </c>
      <c r="B1217" s="22">
        <v>14</v>
      </c>
      <c r="C1217" s="23">
        <v>0.93330000000000002</v>
      </c>
      <c r="D1217" s="22">
        <v>1</v>
      </c>
      <c r="E1217" s="24">
        <v>1.3888888888888889E-4</v>
      </c>
      <c r="F1217" s="24">
        <v>2.2453703703703702E-3</v>
      </c>
      <c r="G1217" s="24">
        <v>1.25E-3</v>
      </c>
      <c r="H1217" s="24">
        <v>0.86670000000000003</v>
      </c>
      <c r="I1217" s="18">
        <f t="shared" si="91"/>
        <v>9.333000000000001E-3</v>
      </c>
      <c r="J1217" s="18">
        <f t="shared" si="95"/>
        <v>8.6670000000000011E-3</v>
      </c>
      <c r="K1217" s="19">
        <f t="shared" si="92"/>
        <v>1</v>
      </c>
      <c r="L1217" s="18">
        <f t="shared" si="93"/>
        <v>6.6666666666666666E-2</v>
      </c>
      <c r="M1217" s="18">
        <f t="shared" si="94"/>
        <v>0.93333333333333335</v>
      </c>
    </row>
    <row r="1218" spans="1:13" x14ac:dyDescent="0.3">
      <c r="A1218" s="22">
        <v>230</v>
      </c>
      <c r="B1218" s="22">
        <v>228</v>
      </c>
      <c r="C1218" s="23">
        <v>0.99129999999999996</v>
      </c>
      <c r="D1218" s="22">
        <v>2</v>
      </c>
      <c r="E1218" s="24">
        <v>8.1018518518518516E-5</v>
      </c>
      <c r="F1218" s="24">
        <v>1.9328703703703704E-3</v>
      </c>
      <c r="G1218" s="24">
        <v>7.0601851851851847E-4</v>
      </c>
      <c r="H1218" s="24">
        <v>0.93889999999999996</v>
      </c>
      <c r="I1218" s="18">
        <f t="shared" si="91"/>
        <v>9.9129999999999999E-3</v>
      </c>
      <c r="J1218" s="18">
        <f t="shared" si="95"/>
        <v>9.3889999999999998E-3</v>
      </c>
      <c r="K1218" s="19">
        <f t="shared" si="92"/>
        <v>2</v>
      </c>
      <c r="L1218" s="18">
        <f t="shared" si="93"/>
        <v>8.6956521739130436E-3</v>
      </c>
      <c r="M1218" s="18">
        <f t="shared" si="94"/>
        <v>0.99130434782608701</v>
      </c>
    </row>
    <row r="1219" spans="1:13" x14ac:dyDescent="0.3">
      <c r="A1219" s="22">
        <v>232</v>
      </c>
      <c r="B1219" s="22">
        <v>224</v>
      </c>
      <c r="C1219" s="23">
        <v>0.96550000000000002</v>
      </c>
      <c r="D1219" s="22">
        <v>8</v>
      </c>
      <c r="E1219" s="24">
        <v>1.3888888888888889E-4</v>
      </c>
      <c r="F1219" s="24">
        <v>1.9791666666666668E-3</v>
      </c>
      <c r="G1219" s="24">
        <v>1.0879629629629629E-3</v>
      </c>
      <c r="H1219" s="24">
        <v>0.86460000000000004</v>
      </c>
      <c r="I1219" s="18">
        <f t="shared" ref="I1219:I1252" si="96">VALUE(SUBSTITUTE(C1219,"%",""))/100</f>
        <v>9.6550000000000004E-3</v>
      </c>
      <c r="J1219" s="18">
        <f t="shared" si="95"/>
        <v>8.6460000000000009E-3</v>
      </c>
      <c r="K1219" s="19">
        <f t="shared" ref="K1219:K1252" si="97">A1219-B1219</f>
        <v>8</v>
      </c>
      <c r="L1219" s="18">
        <f t="shared" ref="L1219:L1252" si="98">D1219/A1219</f>
        <v>3.4482758620689655E-2</v>
      </c>
      <c r="M1219" s="18">
        <f t="shared" ref="M1219:M1252" si="99">B1219/A1219</f>
        <v>0.96551724137931039</v>
      </c>
    </row>
    <row r="1220" spans="1:13" x14ac:dyDescent="0.3">
      <c r="A1220" s="22">
        <v>237</v>
      </c>
      <c r="B1220" s="22">
        <v>231</v>
      </c>
      <c r="C1220" s="23">
        <v>0.97470000000000001</v>
      </c>
      <c r="D1220" s="22">
        <v>6</v>
      </c>
      <c r="E1220" s="24">
        <v>1.273148148148148E-4</v>
      </c>
      <c r="F1220" s="24">
        <v>2.0949074074074073E-3</v>
      </c>
      <c r="G1220" s="24">
        <v>1.3773148148148147E-3</v>
      </c>
      <c r="H1220" s="24">
        <v>0.87709999999999999</v>
      </c>
      <c r="I1220" s="18">
        <f t="shared" si="96"/>
        <v>9.7470000000000005E-3</v>
      </c>
      <c r="J1220" s="18">
        <f t="shared" si="95"/>
        <v>8.7709999999999993E-3</v>
      </c>
      <c r="K1220" s="19">
        <f t="shared" si="97"/>
        <v>6</v>
      </c>
      <c r="L1220" s="18">
        <f t="shared" si="98"/>
        <v>2.5316455696202531E-2</v>
      </c>
      <c r="M1220" s="18">
        <f t="shared" si="99"/>
        <v>0.97468354430379744</v>
      </c>
    </row>
    <row r="1221" spans="1:13" x14ac:dyDescent="0.3">
      <c r="A1221" s="22">
        <v>42</v>
      </c>
      <c r="B1221" s="22">
        <v>39</v>
      </c>
      <c r="C1221" s="23">
        <v>0.92859999999999998</v>
      </c>
      <c r="D1221" s="22">
        <v>3</v>
      </c>
      <c r="E1221" s="24">
        <v>1.9675925925925926E-4</v>
      </c>
      <c r="F1221" s="24">
        <v>1.9791666666666668E-3</v>
      </c>
      <c r="G1221" s="24">
        <v>1.1574074074074073E-3</v>
      </c>
      <c r="H1221" s="24">
        <v>0.78569999999999995</v>
      </c>
      <c r="I1221" s="18">
        <f t="shared" si="96"/>
        <v>9.2859999999999991E-3</v>
      </c>
      <c r="J1221" s="18">
        <f t="shared" si="95"/>
        <v>7.8569999999999994E-3</v>
      </c>
      <c r="K1221" s="19">
        <f t="shared" si="97"/>
        <v>3</v>
      </c>
      <c r="L1221" s="18">
        <f t="shared" si="98"/>
        <v>7.1428571428571425E-2</v>
      </c>
      <c r="M1221" s="18">
        <f t="shared" si="99"/>
        <v>0.9285714285714286</v>
      </c>
    </row>
    <row r="1222" spans="1:13" x14ac:dyDescent="0.3">
      <c r="A1222" s="22">
        <v>215</v>
      </c>
      <c r="B1222" s="22">
        <v>211</v>
      </c>
      <c r="C1222" s="23">
        <v>0.98140000000000005</v>
      </c>
      <c r="D1222" s="22">
        <v>4</v>
      </c>
      <c r="E1222" s="24">
        <v>6.9444444444444444E-5</v>
      </c>
      <c r="F1222" s="24">
        <v>2.1527777777777778E-3</v>
      </c>
      <c r="G1222" s="24">
        <v>2.0138888888888888E-3</v>
      </c>
      <c r="H1222" s="24">
        <v>0.94810000000000005</v>
      </c>
      <c r="I1222" s="18">
        <f t="shared" si="96"/>
        <v>9.8139999999999998E-3</v>
      </c>
      <c r="J1222" s="18">
        <f t="shared" ref="J1222:J1252" si="100">VALUE(SUBSTITUTE(H1222,"%",""))/100</f>
        <v>9.4809999999999998E-3</v>
      </c>
      <c r="K1222" s="19">
        <f t="shared" si="97"/>
        <v>4</v>
      </c>
      <c r="L1222" s="18">
        <f t="shared" si="98"/>
        <v>1.8604651162790697E-2</v>
      </c>
      <c r="M1222" s="18">
        <f t="shared" si="99"/>
        <v>0.98139534883720925</v>
      </c>
    </row>
    <row r="1223" spans="1:13" x14ac:dyDescent="0.3">
      <c r="A1223" s="22">
        <v>153</v>
      </c>
      <c r="B1223" s="22">
        <v>152</v>
      </c>
      <c r="C1223" s="23">
        <v>0.99350000000000005</v>
      </c>
      <c r="D1223" s="22">
        <v>1</v>
      </c>
      <c r="E1223" s="24">
        <v>4.6296296296296294E-5</v>
      </c>
      <c r="F1223" s="24">
        <v>1.7939814814814815E-3</v>
      </c>
      <c r="G1223" s="24">
        <v>6.3657407407407413E-4</v>
      </c>
      <c r="H1223" s="24">
        <v>0.9869</v>
      </c>
      <c r="I1223" s="18">
        <f t="shared" si="96"/>
        <v>9.9350000000000011E-3</v>
      </c>
      <c r="J1223" s="18">
        <f t="shared" si="100"/>
        <v>9.8689999999999993E-3</v>
      </c>
      <c r="K1223" s="19">
        <f t="shared" si="97"/>
        <v>1</v>
      </c>
      <c r="L1223" s="18">
        <f t="shared" si="98"/>
        <v>6.5359477124183009E-3</v>
      </c>
      <c r="M1223" s="18">
        <f t="shared" si="99"/>
        <v>0.99346405228758172</v>
      </c>
    </row>
    <row r="1224" spans="1:13" x14ac:dyDescent="0.3">
      <c r="A1224" s="22">
        <v>39</v>
      </c>
      <c r="B1224" s="22">
        <v>39</v>
      </c>
      <c r="C1224" s="23">
        <v>1</v>
      </c>
      <c r="D1224" s="22">
        <v>0</v>
      </c>
      <c r="E1224" s="24">
        <v>1.6203703703703703E-4</v>
      </c>
      <c r="F1224" s="24">
        <v>2.5694444444444445E-3</v>
      </c>
      <c r="G1224" s="24">
        <v>1.1226851851851851E-3</v>
      </c>
      <c r="H1224" s="24">
        <v>0.84619999999999995</v>
      </c>
      <c r="I1224" s="18">
        <f t="shared" si="96"/>
        <v>0.01</v>
      </c>
      <c r="J1224" s="18">
        <f t="shared" si="100"/>
        <v>8.461999999999999E-3</v>
      </c>
      <c r="K1224" s="19">
        <f t="shared" si="97"/>
        <v>0</v>
      </c>
      <c r="L1224" s="18">
        <f t="shared" si="98"/>
        <v>0</v>
      </c>
      <c r="M1224" s="18">
        <f t="shared" si="99"/>
        <v>1</v>
      </c>
    </row>
    <row r="1225" spans="1:13" x14ac:dyDescent="0.3">
      <c r="A1225" s="22">
        <v>334</v>
      </c>
      <c r="B1225" s="22">
        <v>322</v>
      </c>
      <c r="C1225" s="23">
        <v>0.96409999999999996</v>
      </c>
      <c r="D1225" s="22">
        <v>12</v>
      </c>
      <c r="E1225" s="24">
        <v>1.9675925925925926E-4</v>
      </c>
      <c r="F1225" s="24">
        <v>2.0370370370370369E-3</v>
      </c>
      <c r="G1225" s="24">
        <v>1.5972222222222223E-3</v>
      </c>
      <c r="H1225" s="24">
        <v>0.77129999999999999</v>
      </c>
      <c r="I1225" s="18">
        <f t="shared" si="96"/>
        <v>9.6410000000000003E-3</v>
      </c>
      <c r="J1225" s="18">
        <f t="shared" si="100"/>
        <v>7.7130000000000002E-3</v>
      </c>
      <c r="K1225" s="19">
        <f t="shared" si="97"/>
        <v>12</v>
      </c>
      <c r="L1225" s="18">
        <f t="shared" si="98"/>
        <v>3.5928143712574849E-2</v>
      </c>
      <c r="M1225" s="18">
        <f t="shared" si="99"/>
        <v>0.9640718562874252</v>
      </c>
    </row>
    <row r="1226" spans="1:13" x14ac:dyDescent="0.3">
      <c r="A1226" s="22">
        <v>236</v>
      </c>
      <c r="B1226" s="22">
        <v>225</v>
      </c>
      <c r="C1226" s="23">
        <v>0.95340000000000003</v>
      </c>
      <c r="D1226" s="22">
        <v>11</v>
      </c>
      <c r="E1226" s="24">
        <v>1.5046296296296297E-4</v>
      </c>
      <c r="F1226" s="24">
        <v>2.0023148148148148E-3</v>
      </c>
      <c r="G1226" s="24">
        <v>1.3425925925925925E-3</v>
      </c>
      <c r="H1226" s="24">
        <v>0.85089999999999999</v>
      </c>
      <c r="I1226" s="18">
        <f t="shared" si="96"/>
        <v>9.5340000000000008E-3</v>
      </c>
      <c r="J1226" s="18">
        <f t="shared" si="100"/>
        <v>8.5089999999999992E-3</v>
      </c>
      <c r="K1226" s="19">
        <f t="shared" si="97"/>
        <v>11</v>
      </c>
      <c r="L1226" s="18">
        <f t="shared" si="98"/>
        <v>4.6610169491525424E-2</v>
      </c>
      <c r="M1226" s="18">
        <f t="shared" si="99"/>
        <v>0.95338983050847459</v>
      </c>
    </row>
    <row r="1227" spans="1:13" x14ac:dyDescent="0.3">
      <c r="A1227" s="22">
        <v>186</v>
      </c>
      <c r="B1227" s="22">
        <v>182</v>
      </c>
      <c r="C1227" s="23">
        <v>0.97850000000000004</v>
      </c>
      <c r="D1227" s="22">
        <v>4</v>
      </c>
      <c r="E1227" s="24">
        <v>9.2592592592592588E-5</v>
      </c>
      <c r="F1227" s="24">
        <v>1.8287037037037037E-3</v>
      </c>
      <c r="G1227" s="24">
        <v>1.5046296296296296E-3</v>
      </c>
      <c r="H1227" s="24">
        <v>0.95109999999999995</v>
      </c>
      <c r="I1227" s="18">
        <f t="shared" si="96"/>
        <v>9.7850000000000003E-3</v>
      </c>
      <c r="J1227" s="18">
        <f t="shared" si="100"/>
        <v>9.5109999999999986E-3</v>
      </c>
      <c r="K1227" s="19">
        <f t="shared" si="97"/>
        <v>4</v>
      </c>
      <c r="L1227" s="18">
        <f t="shared" si="98"/>
        <v>2.1505376344086023E-2</v>
      </c>
      <c r="M1227" s="18">
        <f t="shared" si="99"/>
        <v>0.978494623655914</v>
      </c>
    </row>
    <row r="1228" spans="1:13" x14ac:dyDescent="0.3">
      <c r="A1228" s="22">
        <v>202</v>
      </c>
      <c r="B1228" s="22">
        <v>197</v>
      </c>
      <c r="C1228" s="23">
        <v>0.97519999999999996</v>
      </c>
      <c r="D1228" s="22">
        <v>5</v>
      </c>
      <c r="E1228" s="24">
        <v>1.5046296296296297E-4</v>
      </c>
      <c r="F1228" s="24">
        <v>1.7708333333333332E-3</v>
      </c>
      <c r="G1228" s="24">
        <v>1.3425925925925925E-3</v>
      </c>
      <c r="H1228" s="24">
        <v>0.87</v>
      </c>
      <c r="I1228" s="18">
        <f t="shared" si="96"/>
        <v>9.7520000000000003E-3</v>
      </c>
      <c r="J1228" s="18">
        <f t="shared" si="100"/>
        <v>8.6999999999999994E-3</v>
      </c>
      <c r="K1228" s="19">
        <f t="shared" si="97"/>
        <v>5</v>
      </c>
      <c r="L1228" s="18">
        <f t="shared" si="98"/>
        <v>2.4752475247524754E-2</v>
      </c>
      <c r="M1228" s="18">
        <f t="shared" si="99"/>
        <v>0.97524752475247523</v>
      </c>
    </row>
    <row r="1229" spans="1:13" x14ac:dyDescent="0.3">
      <c r="A1229" s="22">
        <v>185</v>
      </c>
      <c r="B1229" s="22">
        <v>182</v>
      </c>
      <c r="C1229" s="23">
        <v>0.98380000000000001</v>
      </c>
      <c r="D1229" s="22">
        <v>3</v>
      </c>
      <c r="E1229" s="24">
        <v>9.2592592592592588E-5</v>
      </c>
      <c r="F1229" s="24">
        <v>1.9560185185185184E-3</v>
      </c>
      <c r="G1229" s="24">
        <v>1.7708333333333332E-3</v>
      </c>
      <c r="H1229" s="24">
        <v>0.90269999999999995</v>
      </c>
      <c r="I1229" s="18">
        <f t="shared" si="96"/>
        <v>9.8379999999999995E-3</v>
      </c>
      <c r="J1229" s="18">
        <f t="shared" si="100"/>
        <v>9.0270000000000003E-3</v>
      </c>
      <c r="K1229" s="19">
        <f t="shared" si="97"/>
        <v>3</v>
      </c>
      <c r="L1229" s="18">
        <f t="shared" si="98"/>
        <v>1.6216216216216217E-2</v>
      </c>
      <c r="M1229" s="18">
        <f t="shared" si="99"/>
        <v>0.98378378378378384</v>
      </c>
    </row>
    <row r="1230" spans="1:13" x14ac:dyDescent="0.3">
      <c r="A1230" s="22">
        <v>38</v>
      </c>
      <c r="B1230" s="22">
        <v>38</v>
      </c>
      <c r="C1230" s="23">
        <v>1</v>
      </c>
      <c r="D1230" s="22">
        <v>0</v>
      </c>
      <c r="E1230" s="24">
        <v>4.6296296296296294E-5</v>
      </c>
      <c r="F1230" s="24">
        <v>2.3842592592592591E-3</v>
      </c>
      <c r="G1230" s="24">
        <v>6.5972222222222224E-4</v>
      </c>
      <c r="H1230" s="24">
        <v>0.97370000000000001</v>
      </c>
      <c r="I1230" s="18">
        <f t="shared" si="96"/>
        <v>0.01</v>
      </c>
      <c r="J1230" s="18">
        <f t="shared" si="100"/>
        <v>9.7370000000000009E-3</v>
      </c>
      <c r="K1230" s="19">
        <f t="shared" si="97"/>
        <v>0</v>
      </c>
      <c r="L1230" s="18">
        <f t="shared" si="98"/>
        <v>0</v>
      </c>
      <c r="M1230" s="18">
        <f t="shared" si="99"/>
        <v>1</v>
      </c>
    </row>
    <row r="1231" spans="1:13" x14ac:dyDescent="0.3">
      <c r="A1231" s="22">
        <v>25</v>
      </c>
      <c r="B1231" s="22">
        <v>24</v>
      </c>
      <c r="C1231" s="23">
        <v>0.96</v>
      </c>
      <c r="D1231" s="22">
        <v>1</v>
      </c>
      <c r="E1231" s="24">
        <v>3.4722222222222222E-5</v>
      </c>
      <c r="F1231" s="24">
        <v>1.8981481481481482E-3</v>
      </c>
      <c r="G1231" s="24">
        <v>5.3240740740740744E-4</v>
      </c>
      <c r="H1231" s="24">
        <v>0.96</v>
      </c>
      <c r="I1231" s="18">
        <f t="shared" si="96"/>
        <v>9.5999999999999992E-3</v>
      </c>
      <c r="J1231" s="18">
        <f t="shared" si="100"/>
        <v>9.5999999999999992E-3</v>
      </c>
      <c r="K1231" s="19">
        <f t="shared" si="97"/>
        <v>1</v>
      </c>
      <c r="L1231" s="18">
        <f t="shared" si="98"/>
        <v>0.04</v>
      </c>
      <c r="M1231" s="18">
        <f t="shared" si="99"/>
        <v>0.96</v>
      </c>
    </row>
    <row r="1232" spans="1:13" x14ac:dyDescent="0.3">
      <c r="A1232" s="22">
        <v>203</v>
      </c>
      <c r="B1232" s="22">
        <v>195</v>
      </c>
      <c r="C1232" s="23">
        <v>0.96060000000000001</v>
      </c>
      <c r="D1232" s="22">
        <v>8</v>
      </c>
      <c r="E1232" s="24">
        <v>9.2592592592592588E-5</v>
      </c>
      <c r="F1232" s="24">
        <v>1.8287037037037037E-3</v>
      </c>
      <c r="G1232" s="24">
        <v>5.9490740740740745E-3</v>
      </c>
      <c r="H1232" s="24">
        <v>0.88560000000000005</v>
      </c>
      <c r="I1232" s="18">
        <f t="shared" si="96"/>
        <v>9.606E-3</v>
      </c>
      <c r="J1232" s="18">
        <f t="shared" si="100"/>
        <v>8.856000000000001E-3</v>
      </c>
      <c r="K1232" s="19">
        <f t="shared" si="97"/>
        <v>8</v>
      </c>
      <c r="L1232" s="18">
        <f t="shared" si="98"/>
        <v>3.9408866995073892E-2</v>
      </c>
      <c r="M1232" s="18">
        <f t="shared" si="99"/>
        <v>0.96059113300492616</v>
      </c>
    </row>
    <row r="1233" spans="1:13" x14ac:dyDescent="0.3">
      <c r="A1233" s="22">
        <v>296</v>
      </c>
      <c r="B1233" s="22">
        <v>292</v>
      </c>
      <c r="C1233" s="23">
        <v>0.98650000000000004</v>
      </c>
      <c r="D1233" s="22">
        <v>4</v>
      </c>
      <c r="E1233" s="24">
        <v>4.6296296296296294E-5</v>
      </c>
      <c r="F1233" s="24">
        <v>1.8518518518518519E-3</v>
      </c>
      <c r="G1233" s="24">
        <v>6.7129629629629625E-4</v>
      </c>
      <c r="H1233" s="24">
        <v>0.98629999999999995</v>
      </c>
      <c r="I1233" s="18">
        <f t="shared" si="96"/>
        <v>9.8650000000000005E-3</v>
      </c>
      <c r="J1233" s="18">
        <f t="shared" si="100"/>
        <v>9.8630000000000002E-3</v>
      </c>
      <c r="K1233" s="19">
        <f t="shared" si="97"/>
        <v>4</v>
      </c>
      <c r="L1233" s="18">
        <f t="shared" si="98"/>
        <v>1.3513513513513514E-2</v>
      </c>
      <c r="M1233" s="18">
        <f t="shared" si="99"/>
        <v>0.98648648648648651</v>
      </c>
    </row>
    <row r="1234" spans="1:13" x14ac:dyDescent="0.3">
      <c r="A1234" s="22">
        <v>233</v>
      </c>
      <c r="B1234" s="22">
        <v>223</v>
      </c>
      <c r="C1234" s="23">
        <v>0.95709999999999995</v>
      </c>
      <c r="D1234" s="22">
        <v>10</v>
      </c>
      <c r="E1234" s="24">
        <v>1.0416666666666667E-4</v>
      </c>
      <c r="F1234" s="24">
        <v>1.9328703703703704E-3</v>
      </c>
      <c r="G1234" s="24">
        <v>1.2268518518518518E-3</v>
      </c>
      <c r="H1234" s="24">
        <v>0.87829999999999997</v>
      </c>
      <c r="I1234" s="18">
        <f t="shared" si="96"/>
        <v>9.5709999999999996E-3</v>
      </c>
      <c r="J1234" s="18">
        <f t="shared" si="100"/>
        <v>8.7829999999999991E-3</v>
      </c>
      <c r="K1234" s="19">
        <f t="shared" si="97"/>
        <v>10</v>
      </c>
      <c r="L1234" s="18">
        <f t="shared" si="98"/>
        <v>4.2918454935622317E-2</v>
      </c>
      <c r="M1234" s="18">
        <f t="shared" si="99"/>
        <v>0.9570815450643777</v>
      </c>
    </row>
    <row r="1235" spans="1:13" x14ac:dyDescent="0.3">
      <c r="A1235" s="22">
        <v>198</v>
      </c>
      <c r="B1235" s="22">
        <v>194</v>
      </c>
      <c r="C1235" s="23">
        <v>0.9798</v>
      </c>
      <c r="D1235" s="22">
        <v>4</v>
      </c>
      <c r="E1235" s="24">
        <v>9.2592592592592588E-5</v>
      </c>
      <c r="F1235" s="24">
        <v>1.8749999999999999E-3</v>
      </c>
      <c r="G1235" s="24">
        <v>1.1921296296296296E-3</v>
      </c>
      <c r="H1235" s="24">
        <v>0.91790000000000005</v>
      </c>
      <c r="I1235" s="18">
        <f t="shared" si="96"/>
        <v>9.7979999999999994E-3</v>
      </c>
      <c r="J1235" s="18">
        <f t="shared" si="100"/>
        <v>9.1789999999999997E-3</v>
      </c>
      <c r="K1235" s="19">
        <f t="shared" si="97"/>
        <v>4</v>
      </c>
      <c r="L1235" s="18">
        <f t="shared" si="98"/>
        <v>2.0202020202020204E-2</v>
      </c>
      <c r="M1235" s="18">
        <f t="shared" si="99"/>
        <v>0.97979797979797978</v>
      </c>
    </row>
    <row r="1236" spans="1:13" x14ac:dyDescent="0.3">
      <c r="A1236" s="22">
        <v>181</v>
      </c>
      <c r="B1236" s="22">
        <v>179</v>
      </c>
      <c r="C1236" s="23">
        <v>0.98899999999999999</v>
      </c>
      <c r="D1236" s="22">
        <v>2</v>
      </c>
      <c r="E1236" s="24">
        <v>4.6296296296296294E-5</v>
      </c>
      <c r="F1236" s="24">
        <v>1.8402777777777777E-3</v>
      </c>
      <c r="G1236" s="24">
        <v>5.5555555555555556E-4</v>
      </c>
      <c r="H1236" s="24">
        <v>0.99439999999999995</v>
      </c>
      <c r="I1236" s="18">
        <f t="shared" si="96"/>
        <v>9.8899999999999995E-3</v>
      </c>
      <c r="J1236" s="18">
        <f t="shared" si="100"/>
        <v>9.9439999999999997E-3</v>
      </c>
      <c r="K1236" s="19">
        <f t="shared" si="97"/>
        <v>2</v>
      </c>
      <c r="L1236" s="18">
        <f t="shared" si="98"/>
        <v>1.1049723756906077E-2</v>
      </c>
      <c r="M1236" s="18">
        <f t="shared" si="99"/>
        <v>0.98895027624309395</v>
      </c>
    </row>
    <row r="1237" spans="1:13" x14ac:dyDescent="0.3">
      <c r="A1237" s="22">
        <v>166</v>
      </c>
      <c r="B1237" s="22">
        <v>162</v>
      </c>
      <c r="C1237" s="23">
        <v>0.97589999999999999</v>
      </c>
      <c r="D1237" s="22">
        <v>4</v>
      </c>
      <c r="E1237" s="24">
        <v>6.9444444444444444E-5</v>
      </c>
      <c r="F1237" s="24">
        <v>1.8402777777777777E-3</v>
      </c>
      <c r="G1237" s="24">
        <v>7.0601851851851847E-4</v>
      </c>
      <c r="H1237" s="24">
        <v>0.93869999999999998</v>
      </c>
      <c r="I1237" s="18">
        <f t="shared" si="96"/>
        <v>9.7590000000000003E-3</v>
      </c>
      <c r="J1237" s="18">
        <f t="shared" si="100"/>
        <v>9.3869999999999995E-3</v>
      </c>
      <c r="K1237" s="19">
        <f t="shared" si="97"/>
        <v>4</v>
      </c>
      <c r="L1237" s="18">
        <f t="shared" si="98"/>
        <v>2.4096385542168676E-2</v>
      </c>
      <c r="M1237" s="18">
        <f t="shared" si="99"/>
        <v>0.97590361445783136</v>
      </c>
    </row>
    <row r="1238" spans="1:13" x14ac:dyDescent="0.3">
      <c r="A1238" s="22">
        <v>19</v>
      </c>
      <c r="B1238" s="22">
        <v>19</v>
      </c>
      <c r="C1238" s="23">
        <v>1</v>
      </c>
      <c r="D1238" s="22">
        <v>0</v>
      </c>
      <c r="E1238" s="24">
        <v>3.4722222222222222E-5</v>
      </c>
      <c r="F1238" s="24">
        <v>1.7013888888888888E-3</v>
      </c>
      <c r="G1238" s="24">
        <v>3.4722222222222222E-5</v>
      </c>
      <c r="H1238" s="24">
        <v>1</v>
      </c>
      <c r="I1238" s="18">
        <f t="shared" si="96"/>
        <v>0.01</v>
      </c>
      <c r="J1238" s="18">
        <f t="shared" si="100"/>
        <v>0.01</v>
      </c>
      <c r="K1238" s="19">
        <f t="shared" si="97"/>
        <v>0</v>
      </c>
      <c r="L1238" s="18">
        <f t="shared" si="98"/>
        <v>0</v>
      </c>
      <c r="M1238" s="18">
        <f t="shared" si="99"/>
        <v>1</v>
      </c>
    </row>
    <row r="1239" spans="1:13" x14ac:dyDescent="0.3">
      <c r="A1239" s="22">
        <v>196</v>
      </c>
      <c r="B1239" s="22">
        <v>181</v>
      </c>
      <c r="C1239" s="23">
        <v>0.92349999999999999</v>
      </c>
      <c r="D1239" s="22">
        <v>15</v>
      </c>
      <c r="E1239" s="24">
        <v>1.6203703703703703E-4</v>
      </c>
      <c r="F1239" s="24">
        <v>1.8171296296296297E-3</v>
      </c>
      <c r="G1239" s="24">
        <v>1.8055555555555555E-3</v>
      </c>
      <c r="H1239" s="24">
        <v>0.78129999999999999</v>
      </c>
      <c r="I1239" s="18">
        <f t="shared" si="96"/>
        <v>9.2350000000000002E-3</v>
      </c>
      <c r="J1239" s="18">
        <f t="shared" si="100"/>
        <v>7.8130000000000005E-3</v>
      </c>
      <c r="K1239" s="19">
        <f t="shared" si="97"/>
        <v>15</v>
      </c>
      <c r="L1239" s="18">
        <f t="shared" si="98"/>
        <v>7.6530612244897961E-2</v>
      </c>
      <c r="M1239" s="18">
        <f t="shared" si="99"/>
        <v>0.92346938775510201</v>
      </c>
    </row>
    <row r="1240" spans="1:13" x14ac:dyDescent="0.3">
      <c r="A1240" s="22">
        <v>176</v>
      </c>
      <c r="B1240" s="22">
        <v>172</v>
      </c>
      <c r="C1240" s="23">
        <v>0.97729999999999995</v>
      </c>
      <c r="D1240" s="22">
        <v>4</v>
      </c>
      <c r="E1240" s="24">
        <v>1.8518518518518518E-4</v>
      </c>
      <c r="F1240" s="24">
        <v>1.736111111111111E-3</v>
      </c>
      <c r="G1240" s="24">
        <v>2.0370370370370369E-3</v>
      </c>
      <c r="H1240" s="24">
        <v>0.79430000000000001</v>
      </c>
      <c r="I1240" s="18">
        <f t="shared" si="96"/>
        <v>9.7729999999999987E-3</v>
      </c>
      <c r="J1240" s="18">
        <f t="shared" si="100"/>
        <v>7.9430000000000004E-3</v>
      </c>
      <c r="K1240" s="19">
        <f t="shared" si="97"/>
        <v>4</v>
      </c>
      <c r="L1240" s="18">
        <f t="shared" si="98"/>
        <v>2.2727272727272728E-2</v>
      </c>
      <c r="M1240" s="18">
        <f t="shared" si="99"/>
        <v>0.97727272727272729</v>
      </c>
    </row>
    <row r="1241" spans="1:13" x14ac:dyDescent="0.3">
      <c r="A1241" s="22">
        <v>221</v>
      </c>
      <c r="B1241" s="22">
        <v>209</v>
      </c>
      <c r="C1241" s="23">
        <v>0.94569999999999999</v>
      </c>
      <c r="D1241" s="22">
        <v>12</v>
      </c>
      <c r="E1241" s="24">
        <v>1.3888888888888889E-4</v>
      </c>
      <c r="F1241" s="24">
        <v>1.8749999999999999E-3</v>
      </c>
      <c r="G1241" s="24">
        <v>1.9675925925925924E-3</v>
      </c>
      <c r="H1241" s="24">
        <v>0.8387</v>
      </c>
      <c r="I1241" s="18">
        <f t="shared" si="96"/>
        <v>9.4570000000000001E-3</v>
      </c>
      <c r="J1241" s="18">
        <f t="shared" si="100"/>
        <v>8.3870000000000004E-3</v>
      </c>
      <c r="K1241" s="19">
        <f t="shared" si="97"/>
        <v>12</v>
      </c>
      <c r="L1241" s="18">
        <f t="shared" si="98"/>
        <v>5.4298642533936653E-2</v>
      </c>
      <c r="M1241" s="18">
        <f t="shared" si="99"/>
        <v>0.94570135746606332</v>
      </c>
    </row>
    <row r="1242" spans="1:13" x14ac:dyDescent="0.3">
      <c r="A1242" s="22">
        <v>196</v>
      </c>
      <c r="B1242" s="22">
        <v>191</v>
      </c>
      <c r="C1242" s="23">
        <v>0.97450000000000003</v>
      </c>
      <c r="D1242" s="22">
        <v>5</v>
      </c>
      <c r="E1242" s="24">
        <v>1.6203703703703703E-4</v>
      </c>
      <c r="F1242" s="24">
        <v>1.9791666666666668E-3</v>
      </c>
      <c r="G1242" s="24">
        <v>4.0972222222222226E-3</v>
      </c>
      <c r="H1242" s="24">
        <v>0.86009999999999998</v>
      </c>
      <c r="I1242" s="18">
        <f t="shared" si="96"/>
        <v>9.7450000000000002E-3</v>
      </c>
      <c r="J1242" s="18">
        <f t="shared" si="100"/>
        <v>8.6009999999999993E-3</v>
      </c>
      <c r="K1242" s="19">
        <f t="shared" si="97"/>
        <v>5</v>
      </c>
      <c r="L1242" s="18">
        <f t="shared" si="98"/>
        <v>2.5510204081632654E-2</v>
      </c>
      <c r="M1242" s="18">
        <f t="shared" si="99"/>
        <v>0.97448979591836737</v>
      </c>
    </row>
    <row r="1243" spans="1:13" x14ac:dyDescent="0.3">
      <c r="A1243" s="22">
        <v>211</v>
      </c>
      <c r="B1243" s="22">
        <v>202</v>
      </c>
      <c r="C1243" s="23">
        <v>0.95730000000000004</v>
      </c>
      <c r="D1243" s="22">
        <v>9</v>
      </c>
      <c r="E1243" s="24">
        <v>1.7361111111111112E-4</v>
      </c>
      <c r="F1243" s="24">
        <v>1.9212962962962964E-3</v>
      </c>
      <c r="G1243" s="24">
        <v>2.0138888888888888E-3</v>
      </c>
      <c r="H1243" s="24">
        <v>0.79330000000000001</v>
      </c>
      <c r="I1243" s="18">
        <f t="shared" si="96"/>
        <v>9.5729999999999999E-3</v>
      </c>
      <c r="J1243" s="18">
        <f t="shared" si="100"/>
        <v>7.9330000000000008E-3</v>
      </c>
      <c r="K1243" s="19">
        <f t="shared" si="97"/>
        <v>9</v>
      </c>
      <c r="L1243" s="18">
        <f t="shared" si="98"/>
        <v>4.2654028436018961E-2</v>
      </c>
      <c r="M1243" s="18">
        <f t="shared" si="99"/>
        <v>0.95734597156398105</v>
      </c>
    </row>
    <row r="1244" spans="1:13" x14ac:dyDescent="0.3">
      <c r="A1244" s="22">
        <v>201</v>
      </c>
      <c r="B1244" s="22">
        <v>194</v>
      </c>
      <c r="C1244" s="23">
        <v>0.96519999999999995</v>
      </c>
      <c r="D1244" s="22">
        <v>7</v>
      </c>
      <c r="E1244" s="24">
        <v>1.8518518518518518E-4</v>
      </c>
      <c r="F1244" s="24">
        <v>1.9560185185185184E-3</v>
      </c>
      <c r="G1244" s="24">
        <v>2.4074074074074076E-3</v>
      </c>
      <c r="H1244" s="24">
        <v>0.81410000000000005</v>
      </c>
      <c r="I1244" s="18">
        <f t="shared" si="96"/>
        <v>9.6519999999999991E-3</v>
      </c>
      <c r="J1244" s="18">
        <f t="shared" si="100"/>
        <v>8.1410000000000007E-3</v>
      </c>
      <c r="K1244" s="19">
        <f t="shared" si="97"/>
        <v>7</v>
      </c>
      <c r="L1244" s="18">
        <f t="shared" si="98"/>
        <v>3.482587064676617E-2</v>
      </c>
      <c r="M1244" s="18">
        <f t="shared" si="99"/>
        <v>0.96517412935323388</v>
      </c>
    </row>
    <row r="1245" spans="1:13" x14ac:dyDescent="0.3">
      <c r="A1245" s="22">
        <v>23</v>
      </c>
      <c r="B1245" s="22">
        <v>22</v>
      </c>
      <c r="C1245" s="23">
        <v>0.95650000000000002</v>
      </c>
      <c r="D1245" s="22">
        <v>1</v>
      </c>
      <c r="E1245" s="24">
        <v>1.1574074074074075E-4</v>
      </c>
      <c r="F1245" s="24">
        <v>2.1064814814814813E-3</v>
      </c>
      <c r="G1245" s="24">
        <v>7.1759259259259259E-4</v>
      </c>
      <c r="H1245" s="24">
        <v>0.82609999999999995</v>
      </c>
      <c r="I1245" s="18">
        <f t="shared" si="96"/>
        <v>9.5650000000000006E-3</v>
      </c>
      <c r="J1245" s="18">
        <f t="shared" si="100"/>
        <v>8.2609999999999992E-3</v>
      </c>
      <c r="K1245" s="19">
        <f t="shared" si="97"/>
        <v>1</v>
      </c>
      <c r="L1245" s="18">
        <f t="shared" si="98"/>
        <v>4.3478260869565216E-2</v>
      </c>
      <c r="M1245" s="18">
        <f t="shared" si="99"/>
        <v>0.95652173913043481</v>
      </c>
    </row>
    <row r="1246" spans="1:13" x14ac:dyDescent="0.3">
      <c r="A1246" s="22">
        <v>225</v>
      </c>
      <c r="B1246" s="22">
        <v>210</v>
      </c>
      <c r="C1246" s="23">
        <v>0.93330000000000002</v>
      </c>
      <c r="D1246" s="22">
        <v>15</v>
      </c>
      <c r="E1246" s="24">
        <v>1.1574074074074075E-4</v>
      </c>
      <c r="F1246" s="24">
        <v>1.8171296296296297E-3</v>
      </c>
      <c r="G1246" s="24">
        <v>2.5115740740740741E-3</v>
      </c>
      <c r="H1246" s="24">
        <v>0.85909999999999997</v>
      </c>
      <c r="I1246" s="18">
        <f t="shared" si="96"/>
        <v>9.333000000000001E-3</v>
      </c>
      <c r="J1246" s="18">
        <f t="shared" si="100"/>
        <v>8.5909999999999997E-3</v>
      </c>
      <c r="K1246" s="19">
        <f t="shared" si="97"/>
        <v>15</v>
      </c>
      <c r="L1246" s="18">
        <f t="shared" si="98"/>
        <v>6.6666666666666666E-2</v>
      </c>
      <c r="M1246" s="18">
        <f t="shared" si="99"/>
        <v>0.93333333333333335</v>
      </c>
    </row>
    <row r="1247" spans="1:13" x14ac:dyDescent="0.3">
      <c r="A1247" s="22">
        <v>202</v>
      </c>
      <c r="B1247" s="22">
        <v>195</v>
      </c>
      <c r="C1247" s="23">
        <v>0.96530000000000005</v>
      </c>
      <c r="D1247" s="22">
        <v>7</v>
      </c>
      <c r="E1247" s="24">
        <v>1.273148148148148E-4</v>
      </c>
      <c r="F1247" s="24">
        <v>1.9328703703703704E-3</v>
      </c>
      <c r="G1247" s="24">
        <v>1.2962962962962963E-3</v>
      </c>
      <c r="H1247" s="24">
        <v>0.86799999999999999</v>
      </c>
      <c r="I1247" s="18">
        <f t="shared" si="96"/>
        <v>9.6530000000000001E-3</v>
      </c>
      <c r="J1247" s="18">
        <f t="shared" si="100"/>
        <v>8.6800000000000002E-3</v>
      </c>
      <c r="K1247" s="19">
        <f t="shared" si="97"/>
        <v>7</v>
      </c>
      <c r="L1247" s="18">
        <f t="shared" si="98"/>
        <v>3.4653465346534656E-2</v>
      </c>
      <c r="M1247" s="18">
        <f t="shared" si="99"/>
        <v>0.96534653465346532</v>
      </c>
    </row>
    <row r="1248" spans="1:13" x14ac:dyDescent="0.3">
      <c r="A1248" s="22">
        <v>191</v>
      </c>
      <c r="B1248" s="22">
        <v>184</v>
      </c>
      <c r="C1248" s="23">
        <v>0.96340000000000003</v>
      </c>
      <c r="D1248" s="22">
        <v>7</v>
      </c>
      <c r="E1248" s="24">
        <v>8.1018518518518516E-5</v>
      </c>
      <c r="F1248" s="24">
        <v>1.9675925925925924E-3</v>
      </c>
      <c r="G1248" s="24">
        <v>1.3425925925925925E-3</v>
      </c>
      <c r="H1248" s="24">
        <v>0.92549999999999999</v>
      </c>
      <c r="I1248" s="18">
        <f t="shared" si="96"/>
        <v>9.6340000000000002E-3</v>
      </c>
      <c r="J1248" s="18">
        <f t="shared" si="100"/>
        <v>9.2549999999999993E-3</v>
      </c>
      <c r="K1248" s="19">
        <f t="shared" si="97"/>
        <v>7</v>
      </c>
      <c r="L1248" s="18">
        <f t="shared" si="98"/>
        <v>3.6649214659685861E-2</v>
      </c>
      <c r="M1248" s="18">
        <f t="shared" si="99"/>
        <v>0.96335078534031415</v>
      </c>
    </row>
    <row r="1249" spans="1:13" x14ac:dyDescent="0.3">
      <c r="A1249" s="22">
        <v>212</v>
      </c>
      <c r="B1249" s="22">
        <v>209</v>
      </c>
      <c r="C1249" s="23">
        <v>0.98580000000000001</v>
      </c>
      <c r="D1249" s="22">
        <v>3</v>
      </c>
      <c r="E1249" s="24">
        <v>1.1574074074074075E-4</v>
      </c>
      <c r="F1249" s="24">
        <v>1.9791666666666668E-3</v>
      </c>
      <c r="G1249" s="24">
        <v>1.2152777777777778E-3</v>
      </c>
      <c r="H1249" s="24">
        <v>0.89100000000000001</v>
      </c>
      <c r="I1249" s="18">
        <f t="shared" si="96"/>
        <v>9.8580000000000004E-3</v>
      </c>
      <c r="J1249" s="18">
        <f t="shared" si="100"/>
        <v>8.9099999999999995E-3</v>
      </c>
      <c r="K1249" s="19">
        <f t="shared" si="97"/>
        <v>3</v>
      </c>
      <c r="L1249" s="18">
        <f t="shared" si="98"/>
        <v>1.4150943396226415E-2</v>
      </c>
      <c r="M1249" s="18">
        <f t="shared" si="99"/>
        <v>0.98584905660377353</v>
      </c>
    </row>
    <row r="1250" spans="1:13" x14ac:dyDescent="0.3">
      <c r="A1250" s="22">
        <v>210</v>
      </c>
      <c r="B1250" s="22">
        <v>203</v>
      </c>
      <c r="C1250" s="23">
        <v>0.9667</v>
      </c>
      <c r="D1250" s="22">
        <v>7</v>
      </c>
      <c r="E1250" s="24">
        <v>1.3888888888888889E-4</v>
      </c>
      <c r="F1250" s="24">
        <v>2.3379629629629631E-3</v>
      </c>
      <c r="G1250" s="24">
        <v>2.685185185185185E-3</v>
      </c>
      <c r="H1250" s="24">
        <v>0.85240000000000005</v>
      </c>
      <c r="I1250" s="18">
        <f t="shared" si="96"/>
        <v>9.6670000000000002E-3</v>
      </c>
      <c r="J1250" s="18">
        <f t="shared" si="100"/>
        <v>8.5240000000000003E-3</v>
      </c>
      <c r="K1250" s="19">
        <f t="shared" si="97"/>
        <v>7</v>
      </c>
      <c r="L1250" s="18">
        <f t="shared" si="98"/>
        <v>3.3333333333333333E-2</v>
      </c>
      <c r="M1250" s="18">
        <f t="shared" si="99"/>
        <v>0.96666666666666667</v>
      </c>
    </row>
    <row r="1251" spans="1:13" x14ac:dyDescent="0.3">
      <c r="A1251" s="22">
        <v>167</v>
      </c>
      <c r="B1251" s="22">
        <v>159</v>
      </c>
      <c r="C1251" s="23">
        <v>0.95209999999999995</v>
      </c>
      <c r="D1251" s="22">
        <v>8</v>
      </c>
      <c r="E1251" s="24">
        <v>1.8518518518518518E-4</v>
      </c>
      <c r="F1251" s="24">
        <v>2.2685185185185187E-3</v>
      </c>
      <c r="G1251" s="24">
        <v>1.8749999999999999E-3</v>
      </c>
      <c r="H1251" s="24">
        <v>0.83030000000000004</v>
      </c>
      <c r="I1251" s="18">
        <f t="shared" si="96"/>
        <v>9.5209999999999999E-3</v>
      </c>
      <c r="J1251" s="18">
        <f t="shared" si="100"/>
        <v>8.3029999999999996E-3</v>
      </c>
      <c r="K1251" s="19">
        <f t="shared" si="97"/>
        <v>8</v>
      </c>
      <c r="L1251" s="18">
        <f t="shared" si="98"/>
        <v>4.790419161676647E-2</v>
      </c>
      <c r="M1251" s="18">
        <f t="shared" si="99"/>
        <v>0.95209580838323349</v>
      </c>
    </row>
    <row r="1252" spans="1:13" x14ac:dyDescent="0.3">
      <c r="A1252" s="22">
        <v>12</v>
      </c>
      <c r="B1252" s="22">
        <v>11</v>
      </c>
      <c r="C1252" s="23">
        <v>0.91669999999999996</v>
      </c>
      <c r="D1252" s="22">
        <v>1</v>
      </c>
      <c r="E1252" s="24">
        <v>3.4722222222222222E-5</v>
      </c>
      <c r="F1252" s="24">
        <v>1.5277777777777779E-3</v>
      </c>
      <c r="G1252" s="24">
        <v>6.7129629629629625E-4</v>
      </c>
      <c r="H1252" s="24">
        <v>0.91669999999999996</v>
      </c>
      <c r="I1252" s="18">
        <f t="shared" si="96"/>
        <v>9.1669999999999998E-3</v>
      </c>
      <c r="J1252" s="18">
        <f t="shared" si="100"/>
        <v>9.1669999999999998E-3</v>
      </c>
      <c r="K1252" s="19">
        <f t="shared" si="97"/>
        <v>1</v>
      </c>
      <c r="L1252" s="18">
        <f t="shared" si="98"/>
        <v>8.3333333333333329E-2</v>
      </c>
      <c r="M1252" s="18">
        <f t="shared" si="99"/>
        <v>0.91666666666666663</v>
      </c>
    </row>
    <row r="1261" spans="1:13" x14ac:dyDescent="0.3">
      <c r="H1261" s="1"/>
    </row>
  </sheetData>
  <autoFilter ref="A1:P1252" xr:uid="{8C547236-FEB8-47E0-B842-986EAE1FC3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8F7B-81D8-4765-88BD-6F321240B362}">
  <dimension ref="B2:M51"/>
  <sheetViews>
    <sheetView topLeftCell="A45" workbookViewId="0">
      <selection activeCell="E58" sqref="E58"/>
    </sheetView>
  </sheetViews>
  <sheetFormatPr defaultRowHeight="14.4" x14ac:dyDescent="0.3"/>
  <cols>
    <col min="2" max="2" width="20.109375" bestFit="1" customWidth="1"/>
    <col min="3" max="3" width="20.88671875" bestFit="1" customWidth="1"/>
    <col min="4" max="4" width="20.77734375" bestFit="1" customWidth="1"/>
    <col min="7" max="7" width="18.88671875" bestFit="1" customWidth="1"/>
    <col min="8" max="8" width="12" bestFit="1" customWidth="1"/>
  </cols>
  <sheetData>
    <row r="2" spans="2:8" x14ac:dyDescent="0.3">
      <c r="B2" t="s">
        <v>115</v>
      </c>
    </row>
    <row r="3" spans="2:8" x14ac:dyDescent="0.3">
      <c r="B3" t="s">
        <v>103</v>
      </c>
      <c r="C3" t="s">
        <v>104</v>
      </c>
      <c r="D3" t="s">
        <v>105</v>
      </c>
      <c r="G3" s="12" t="s">
        <v>111</v>
      </c>
      <c r="H3" s="12"/>
    </row>
    <row r="4" spans="2:8" x14ac:dyDescent="0.3">
      <c r="B4" s="9">
        <v>248373</v>
      </c>
      <c r="C4" s="9">
        <v>221234</v>
      </c>
      <c r="D4" s="9">
        <v>27139</v>
      </c>
      <c r="G4" s="13" t="s">
        <v>53</v>
      </c>
      <c r="H4" s="19">
        <f>SUM(Worksheet!A:A)</f>
        <v>248373</v>
      </c>
    </row>
    <row r="5" spans="2:8" x14ac:dyDescent="0.3">
      <c r="G5" s="13" t="s">
        <v>55</v>
      </c>
      <c r="H5" s="19">
        <f>SUM(Worksheet!B:B)</f>
        <v>221234</v>
      </c>
    </row>
    <row r="6" spans="2:8" x14ac:dyDescent="0.3">
      <c r="B6" t="s">
        <v>114</v>
      </c>
      <c r="G6" s="13" t="s">
        <v>59</v>
      </c>
      <c r="H6" s="19">
        <f>SUM(Worksheet!D:D)</f>
        <v>27139</v>
      </c>
    </row>
    <row r="7" spans="2:8" x14ac:dyDescent="0.3">
      <c r="B7" t="s">
        <v>106</v>
      </c>
      <c r="C7" t="s">
        <v>113</v>
      </c>
      <c r="D7" t="s">
        <v>112</v>
      </c>
      <c r="G7" s="13" t="s">
        <v>100</v>
      </c>
      <c r="H7" s="18">
        <f>AVERAGE(Worksheet!C:C)</f>
        <v>0.92692517985611511</v>
      </c>
    </row>
    <row r="8" spans="2:8" x14ac:dyDescent="0.3">
      <c r="B8" s="1">
        <v>0.92692517985611511</v>
      </c>
      <c r="C8" s="1">
        <v>0.70872909672262152</v>
      </c>
      <c r="D8" s="10">
        <v>2.6888304171477657E-3</v>
      </c>
      <c r="G8" s="13" t="s">
        <v>101</v>
      </c>
      <c r="H8" s="25">
        <f>AVERAGE(Worksheet!G:G)</f>
        <v>2.6888304171477657E-3</v>
      </c>
    </row>
    <row r="9" spans="2:8" x14ac:dyDescent="0.3">
      <c r="G9" s="13" t="s">
        <v>102</v>
      </c>
      <c r="H9" s="18">
        <f>AVERAGE(Worksheet!H:H)</f>
        <v>0.70872909746277013</v>
      </c>
    </row>
    <row r="26" spans="7:8" x14ac:dyDescent="0.3">
      <c r="G26" s="36" t="s">
        <v>111</v>
      </c>
      <c r="H26" s="37"/>
    </row>
    <row r="27" spans="7:8" x14ac:dyDescent="0.3">
      <c r="G27" s="33" t="s">
        <v>98</v>
      </c>
      <c r="H27" s="34">
        <v>9.2692517985611556E-3</v>
      </c>
    </row>
    <row r="28" spans="7:8" x14ac:dyDescent="0.3">
      <c r="G28" s="33" t="s">
        <v>99</v>
      </c>
      <c r="H28" s="34">
        <v>7.0872909746276932E-3</v>
      </c>
    </row>
    <row r="29" spans="7:8" x14ac:dyDescent="0.3">
      <c r="G29" s="33" t="s">
        <v>95</v>
      </c>
      <c r="H29" s="35">
        <v>27139</v>
      </c>
    </row>
    <row r="30" spans="7:8" x14ac:dyDescent="0.3">
      <c r="G30" s="33" t="s">
        <v>96</v>
      </c>
      <c r="H30" s="34">
        <v>7.307656871228109E-2</v>
      </c>
    </row>
    <row r="31" spans="7:8" x14ac:dyDescent="0.3">
      <c r="G31" s="33" t="s">
        <v>122</v>
      </c>
      <c r="H31" s="34">
        <v>0.92692343128772037</v>
      </c>
    </row>
    <row r="34" spans="7:13" x14ac:dyDescent="0.3">
      <c r="I34" s="32"/>
    </row>
    <row r="36" spans="7:13" x14ac:dyDescent="0.3">
      <c r="M36" t="s">
        <v>123</v>
      </c>
    </row>
    <row r="48" spans="7:13" x14ac:dyDescent="0.3">
      <c r="G48" s="38" t="s">
        <v>111</v>
      </c>
      <c r="H48" s="38"/>
    </row>
    <row r="49" spans="7:8" x14ac:dyDescent="0.3">
      <c r="G49" s="39" t="s">
        <v>124</v>
      </c>
      <c r="H49" s="40">
        <v>2.8816761405690258E-4</v>
      </c>
    </row>
    <row r="50" spans="7:8" x14ac:dyDescent="0.3">
      <c r="G50" s="13" t="s">
        <v>125</v>
      </c>
      <c r="H50" s="25">
        <v>1.8235134114930262E-3</v>
      </c>
    </row>
    <row r="51" spans="7:8" x14ac:dyDescent="0.3">
      <c r="G51" s="13" t="s">
        <v>116</v>
      </c>
      <c r="H51" s="25">
        <v>2.6888304171477657E-3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A19C-96DC-443F-BD90-E380994BEDEC}">
  <dimension ref="A1:L53"/>
  <sheetViews>
    <sheetView tabSelected="1" topLeftCell="A33" workbookViewId="0">
      <selection activeCell="O45" sqref="O45"/>
    </sheetView>
  </sheetViews>
  <sheetFormatPr defaultRowHeight="14.4" x14ac:dyDescent="0.3"/>
  <cols>
    <col min="1" max="1" width="12.6640625" bestFit="1" customWidth="1"/>
    <col min="3" max="3" width="13.44140625" bestFit="1" customWidth="1"/>
    <col min="5" max="5" width="14.5546875" bestFit="1" customWidth="1"/>
    <col min="7" max="7" width="11.88671875" bestFit="1" customWidth="1"/>
    <col min="9" max="9" width="11.33203125" bestFit="1" customWidth="1"/>
    <col min="11" max="11" width="11.21875" bestFit="1" customWidth="1"/>
  </cols>
  <sheetData>
    <row r="1" spans="1:12" x14ac:dyDescent="0.3">
      <c r="A1" s="28" t="s">
        <v>107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 x14ac:dyDescent="0.3">
      <c r="A4" s="26" t="s">
        <v>1</v>
      </c>
      <c r="B4" s="26"/>
      <c r="C4" s="26" t="s">
        <v>2</v>
      </c>
      <c r="D4" s="26"/>
      <c r="E4" s="26" t="s">
        <v>4</v>
      </c>
      <c r="F4" s="26"/>
      <c r="G4" s="26" t="s">
        <v>3</v>
      </c>
      <c r="H4" s="26"/>
      <c r="I4" s="26" t="s">
        <v>116</v>
      </c>
      <c r="J4" s="26"/>
      <c r="K4" s="26" t="s">
        <v>117</v>
      </c>
      <c r="L4" s="26"/>
    </row>
    <row r="5" spans="1:12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x14ac:dyDescent="0.3">
      <c r="A6" s="27">
        <f>[1]Worksheet!P2</f>
        <v>248373</v>
      </c>
      <c r="B6" s="27"/>
      <c r="C6" s="27">
        <f>[1]Worksheet!P3</f>
        <v>221234</v>
      </c>
      <c r="D6" s="27"/>
      <c r="E6" s="27">
        <f>[1]Worksheet!P4</f>
        <v>27139</v>
      </c>
      <c r="F6" s="27"/>
      <c r="G6" s="27">
        <f>[1]Worksheet!P5</f>
        <v>0.92692517985611511</v>
      </c>
      <c r="H6" s="27"/>
      <c r="I6" s="27">
        <f>[1]Worksheet!P6</f>
        <v>2.6888304171477657E-3</v>
      </c>
      <c r="J6" s="27"/>
      <c r="K6" s="27">
        <f>[1]Worksheet!P7</f>
        <v>0.70872909746277013</v>
      </c>
      <c r="L6" s="27"/>
    </row>
    <row r="7" spans="1:12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9" spans="1:12" x14ac:dyDescent="0.3">
      <c r="A9" s="26" t="s">
        <v>118</v>
      </c>
      <c r="B9" s="26"/>
      <c r="C9" s="26"/>
      <c r="D9" s="26"/>
      <c r="E9" s="26"/>
      <c r="F9" s="26"/>
      <c r="G9" s="26" t="s">
        <v>119</v>
      </c>
      <c r="H9" s="26"/>
      <c r="I9" s="26"/>
      <c r="J9" s="26"/>
      <c r="K9" s="26"/>
      <c r="L9" s="26"/>
    </row>
    <row r="10" spans="1:12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2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</row>
    <row r="13" spans="1:12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12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</row>
    <row r="15" spans="1:12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 spans="1:12" x14ac:dyDescent="0.3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spans="1:12" x14ac:dyDescent="0.3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1:12" x14ac:dyDescent="0.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 spans="1:12" x14ac:dyDescent="0.3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1:12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spans="1:12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spans="1:12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spans="1:12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2" x14ac:dyDescent="0.3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</row>
    <row r="27" spans="1:12" x14ac:dyDescent="0.3">
      <c r="A27" s="26" t="s">
        <v>120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45" spans="1:12" x14ac:dyDescent="0.3">
      <c r="A45" s="26" t="s">
        <v>121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x14ac:dyDescent="0.3">
      <c r="A47" s="42" t="s">
        <v>126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4"/>
    </row>
    <row r="48" spans="1:12" x14ac:dyDescent="0.3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7"/>
    </row>
    <row r="49" spans="1:12" x14ac:dyDescent="0.3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7"/>
    </row>
    <row r="50" spans="1:12" x14ac:dyDescent="0.3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1:12" x14ac:dyDescent="0.3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7"/>
    </row>
    <row r="52" spans="1:12" x14ac:dyDescent="0.3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7"/>
    </row>
    <row r="53" spans="1:12" x14ac:dyDescent="0.3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50"/>
    </row>
  </sheetData>
  <mergeCells count="18">
    <mergeCell ref="A47:L53"/>
    <mergeCell ref="A1:L2"/>
    <mergeCell ref="A4:B5"/>
    <mergeCell ref="A6:B7"/>
    <mergeCell ref="C4:D5"/>
    <mergeCell ref="E4:F5"/>
    <mergeCell ref="G4:H5"/>
    <mergeCell ref="I4:J5"/>
    <mergeCell ref="K4:L5"/>
    <mergeCell ref="C6:D7"/>
    <mergeCell ref="E6:F7"/>
    <mergeCell ref="G6:H7"/>
    <mergeCell ref="I6:J7"/>
    <mergeCell ref="K6:L7"/>
    <mergeCell ref="A9:F10"/>
    <mergeCell ref="G9:L10"/>
    <mergeCell ref="A27:L28"/>
    <mergeCell ref="A45:L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Call Center Data</vt:lpstr>
      <vt:lpstr>Worksheet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Jeycel Agustin</dc:creator>
  <cp:lastModifiedBy>Jeycel Agustin</cp:lastModifiedBy>
  <dcterms:created xsi:type="dcterms:W3CDTF">2026-06-07T02:07:24Z</dcterms:created>
  <dcterms:modified xsi:type="dcterms:W3CDTF">2026-06-09T01:38:29Z</dcterms:modified>
</cp:coreProperties>
</file>